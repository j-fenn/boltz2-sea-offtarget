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ckfenn/Desktop/AICD3_201/off_target_project/"/>
    </mc:Choice>
  </mc:AlternateContent>
  <xr:revisionPtr revIDLastSave="0" documentId="13_ncr:1_{826C9A0C-CE25-7F48-8584-EC52BCAB596E}" xr6:coauthVersionLast="47" xr6:coauthVersionMax="47" xr10:uidLastSave="{00000000-0000-0000-0000-000000000000}"/>
  <bookViews>
    <workbookView xWindow="320" yWindow="500" windowWidth="28480" windowHeight="16180" activeTab="1" xr2:uid="{D4F28E86-4E40-D146-9221-F91F18ADBE60}"/>
  </bookViews>
  <sheets>
    <sheet name="True Positive" sheetId="1" r:id="rId1"/>
    <sheet name="False Posi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0" i="2" l="1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7" i="2"/>
  <c r="H515" i="2"/>
  <c r="H514" i="2"/>
  <c r="H513" i="2"/>
  <c r="H512" i="2"/>
  <c r="H511" i="2"/>
  <c r="H510" i="2"/>
  <c r="H501" i="2"/>
  <c r="H502" i="2"/>
  <c r="H503" i="2"/>
  <c r="H504" i="2"/>
  <c r="H505" i="2"/>
  <c r="H506" i="2"/>
  <c r="H507" i="2"/>
  <c r="H508" i="2"/>
  <c r="H499" i="2"/>
  <c r="H498" i="2"/>
  <c r="H497" i="2"/>
  <c r="H494" i="2"/>
  <c r="H495" i="2"/>
  <c r="H492" i="2"/>
  <c r="H490" i="2"/>
  <c r="H484" i="2"/>
  <c r="H482" i="2"/>
  <c r="H481" i="2"/>
  <c r="H480" i="2"/>
  <c r="H477" i="2"/>
  <c r="H476" i="2"/>
  <c r="H472" i="2"/>
  <c r="H471" i="2"/>
  <c r="H470" i="2"/>
  <c r="H469" i="2"/>
  <c r="H468" i="2"/>
  <c r="H466" i="2"/>
  <c r="H464" i="2"/>
  <c r="H460" i="2"/>
  <c r="H457" i="2"/>
  <c r="H443" i="2"/>
  <c r="H438" i="2"/>
  <c r="H436" i="2"/>
  <c r="H434" i="2"/>
  <c r="H432" i="2"/>
  <c r="H426" i="2"/>
  <c r="H427" i="2"/>
  <c r="H428" i="2"/>
  <c r="H424" i="2"/>
  <c r="H419" i="2"/>
  <c r="H420" i="2"/>
  <c r="H415" i="2"/>
  <c r="H416" i="2"/>
  <c r="H408" i="2"/>
  <c r="H409" i="2"/>
  <c r="H410" i="2"/>
  <c r="H411" i="2"/>
  <c r="H412" i="2"/>
  <c r="H406" i="2"/>
  <c r="H405" i="2"/>
  <c r="H397" i="2"/>
  <c r="H396" i="2"/>
  <c r="H395" i="2"/>
  <c r="H394" i="2"/>
  <c r="H393" i="2"/>
  <c r="H392" i="2"/>
  <c r="H391" i="2"/>
  <c r="H387" i="2"/>
  <c r="H388" i="2"/>
  <c r="H389" i="2"/>
  <c r="H384" i="2"/>
  <c r="H382" i="2"/>
  <c r="H369" i="2"/>
  <c r="H362" i="2"/>
  <c r="H355" i="2"/>
  <c r="H350" i="2"/>
  <c r="H345" i="2"/>
  <c r="H343" i="2"/>
  <c r="H339" i="2"/>
  <c r="H336" i="2"/>
  <c r="H334" i="2"/>
  <c r="H333" i="2"/>
  <c r="H330" i="2"/>
  <c r="H325" i="2"/>
  <c r="H324" i="2"/>
  <c r="H322" i="2"/>
  <c r="H321" i="2"/>
  <c r="H320" i="2"/>
  <c r="H319" i="2"/>
  <c r="H318" i="2"/>
  <c r="H317" i="2"/>
  <c r="H316" i="2"/>
  <c r="H313" i="2"/>
  <c r="H312" i="2"/>
  <c r="H302" i="2"/>
  <c r="H303" i="2"/>
  <c r="H304" i="2"/>
  <c r="H305" i="2"/>
  <c r="H306" i="2"/>
  <c r="H297" i="2"/>
  <c r="H298" i="2"/>
  <c r="H299" i="2"/>
  <c r="H300" i="2"/>
  <c r="H295" i="2"/>
  <c r="H294" i="2"/>
  <c r="H293" i="2"/>
  <c r="H291" i="2"/>
  <c r="H290" i="2"/>
  <c r="H289" i="2"/>
  <c r="H288" i="2"/>
  <c r="H287" i="2"/>
  <c r="H267" i="2"/>
  <c r="H261" i="2"/>
  <c r="H259" i="2"/>
  <c r="H257" i="2"/>
  <c r="H274" i="2"/>
  <c r="H273" i="2"/>
  <c r="H272" i="2"/>
  <c r="H271" i="2"/>
  <c r="H270" i="2"/>
  <c r="H269" i="2"/>
  <c r="H250" i="2"/>
  <c r="H251" i="2"/>
  <c r="H252" i="2"/>
  <c r="H253" i="2"/>
  <c r="H248" i="2"/>
  <c r="H247" i="2"/>
  <c r="H246" i="2"/>
  <c r="H245" i="2"/>
  <c r="H242" i="2"/>
  <c r="H243" i="2"/>
  <c r="H244" i="2"/>
  <c r="H240" i="2"/>
  <c r="H239" i="2"/>
  <c r="H238" i="2"/>
  <c r="H237" i="2"/>
  <c r="H236" i="2"/>
  <c r="H235" i="2"/>
  <c r="H234" i="2"/>
  <c r="H233" i="2"/>
  <c r="H232" i="2"/>
  <c r="H229" i="2"/>
  <c r="H226" i="2"/>
  <c r="H223" i="2"/>
  <c r="H224" i="2"/>
  <c r="H219" i="2"/>
  <c r="H220" i="2"/>
  <c r="H211" i="2"/>
  <c r="H212" i="2"/>
  <c r="H213" i="2"/>
  <c r="H214" i="2"/>
  <c r="H209" i="2"/>
  <c r="H207" i="2"/>
  <c r="H206" i="2"/>
  <c r="H204" i="2"/>
  <c r="H203" i="2"/>
  <c r="H202" i="2"/>
  <c r="H195" i="2"/>
  <c r="H196" i="2"/>
  <c r="H190" i="2"/>
  <c r="H186" i="2"/>
  <c r="H185" i="2"/>
  <c r="H183" i="2"/>
  <c r="H179" i="2"/>
  <c r="H178" i="2"/>
  <c r="H174" i="2"/>
  <c r="H172" i="2"/>
  <c r="H171" i="2"/>
  <c r="H170" i="2"/>
  <c r="H169" i="2"/>
  <c r="H168" i="2"/>
  <c r="H167" i="2"/>
  <c r="H166" i="2"/>
  <c r="H165" i="2"/>
  <c r="H164" i="2"/>
  <c r="H163" i="2"/>
  <c r="H162" i="2"/>
  <c r="H155" i="2"/>
  <c r="H156" i="2"/>
  <c r="H157" i="2"/>
  <c r="H158" i="2"/>
  <c r="H159" i="2"/>
  <c r="H160" i="2"/>
  <c r="H161" i="2"/>
  <c r="H151" i="2"/>
  <c r="H150" i="2"/>
  <c r="H149" i="2"/>
  <c r="H148" i="2"/>
  <c r="H147" i="2"/>
  <c r="H146" i="2"/>
  <c r="H145" i="2"/>
  <c r="H144" i="2"/>
  <c r="H143" i="2"/>
  <c r="H142" i="2"/>
  <c r="H141" i="2"/>
  <c r="H132" i="2"/>
  <c r="H130" i="2"/>
  <c r="H129" i="2"/>
  <c r="H128" i="2"/>
  <c r="H126" i="2"/>
  <c r="H124" i="2"/>
  <c r="H112" i="2"/>
  <c r="H111" i="2"/>
  <c r="H110" i="2"/>
  <c r="H108" i="2"/>
  <c r="H107" i="2"/>
  <c r="H106" i="2"/>
  <c r="H105" i="2"/>
  <c r="H103" i="2"/>
  <c r="H100" i="2"/>
  <c r="H93" i="2"/>
  <c r="H94" i="2"/>
  <c r="H95" i="2"/>
  <c r="H96" i="2"/>
  <c r="H97" i="2"/>
  <c r="H98" i="2"/>
  <c r="H87" i="2"/>
  <c r="H88" i="2"/>
  <c r="H85" i="2"/>
  <c r="H83" i="2"/>
  <c r="H78" i="2"/>
  <c r="H76" i="2"/>
  <c r="H73" i="2"/>
  <c r="H66" i="2"/>
  <c r="H67" i="2"/>
  <c r="H68" i="2"/>
  <c r="H69" i="2"/>
  <c r="H70" i="2"/>
  <c r="H71" i="2"/>
  <c r="H64" i="2"/>
  <c r="H63" i="2"/>
  <c r="H62" i="2"/>
  <c r="H49" i="2"/>
  <c r="H48" i="2"/>
  <c r="H46" i="2"/>
  <c r="H44" i="2"/>
  <c r="H42" i="2"/>
  <c r="H39" i="2"/>
  <c r="H32" i="2"/>
  <c r="H31" i="2"/>
  <c r="H29" i="2"/>
  <c r="H27" i="2"/>
  <c r="H26" i="2"/>
  <c r="H19" i="2"/>
  <c r="H18" i="2"/>
  <c r="H17" i="2"/>
  <c r="H16" i="2"/>
  <c r="H15" i="2"/>
  <c r="H14" i="2"/>
  <c r="H13" i="2"/>
  <c r="H12" i="2"/>
  <c r="H6" i="2"/>
  <c r="H7" i="2"/>
  <c r="H8" i="2"/>
  <c r="H9" i="2"/>
  <c r="H10" i="2"/>
  <c r="H4" i="2"/>
  <c r="H3" i="2"/>
  <c r="H2" i="2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535" i="2"/>
  <c r="O537" i="2"/>
  <c r="O539" i="2"/>
  <c r="O538" i="2"/>
  <c r="O534" i="2"/>
  <c r="O540" i="2"/>
  <c r="O536" i="2"/>
  <c r="O533" i="2"/>
  <c r="O530" i="2"/>
  <c r="O528" i="2"/>
  <c r="O527" i="2"/>
  <c r="O522" i="2"/>
  <c r="O526" i="2"/>
  <c r="O521" i="2"/>
  <c r="O525" i="2"/>
  <c r="O532" i="2"/>
  <c r="O524" i="2"/>
  <c r="O531" i="2"/>
  <c r="O520" i="2"/>
  <c r="O523" i="2"/>
  <c r="O529" i="2"/>
  <c r="O517" i="2"/>
  <c r="O510" i="2"/>
  <c r="O512" i="2"/>
  <c r="O513" i="2"/>
  <c r="O515" i="2"/>
  <c r="O511" i="2"/>
  <c r="O519" i="2"/>
  <c r="O518" i="2"/>
  <c r="O514" i="2"/>
  <c r="O516" i="2"/>
  <c r="O509" i="2"/>
  <c r="O501" i="2"/>
  <c r="O506" i="2"/>
  <c r="O507" i="2"/>
  <c r="O505" i="2"/>
  <c r="O499" i="2"/>
  <c r="O504" i="2"/>
  <c r="O503" i="2"/>
  <c r="O502" i="2"/>
  <c r="O508" i="2"/>
  <c r="O500" i="2"/>
  <c r="O498" i="2"/>
  <c r="O497" i="2"/>
  <c r="O496" i="2"/>
  <c r="O494" i="2"/>
  <c r="O491" i="2"/>
  <c r="O493" i="2"/>
  <c r="O492" i="2"/>
  <c r="O495" i="2"/>
  <c r="O483" i="2"/>
  <c r="O485" i="2"/>
  <c r="O487" i="2"/>
  <c r="O484" i="2"/>
  <c r="O488" i="2"/>
  <c r="O486" i="2"/>
  <c r="O489" i="2"/>
  <c r="O490" i="2"/>
  <c r="O481" i="2"/>
  <c r="O482" i="2"/>
  <c r="O480" i="2"/>
  <c r="O472" i="2"/>
  <c r="O479" i="2"/>
  <c r="O474" i="2"/>
  <c r="O477" i="2"/>
  <c r="O473" i="2"/>
  <c r="O478" i="2"/>
  <c r="O476" i="2"/>
  <c r="O471" i="2"/>
  <c r="O475" i="2"/>
  <c r="O470" i="2"/>
  <c r="O468" i="2"/>
  <c r="O469" i="2"/>
  <c r="O454" i="2"/>
  <c r="O453" i="2"/>
  <c r="O446" i="2"/>
  <c r="O450" i="2"/>
  <c r="O445" i="2"/>
  <c r="O458" i="2"/>
  <c r="O444" i="2"/>
  <c r="O448" i="2"/>
  <c r="O466" i="2"/>
  <c r="O457" i="2"/>
  <c r="O455" i="2"/>
  <c r="O449" i="2"/>
  <c r="O463" i="2"/>
  <c r="O443" i="2"/>
  <c r="O460" i="2"/>
  <c r="O447" i="2"/>
  <c r="O459" i="2"/>
  <c r="O440" i="2"/>
  <c r="O462" i="2"/>
  <c r="O441" i="2"/>
  <c r="O442" i="2"/>
  <c r="O452" i="2"/>
  <c r="O461" i="2"/>
  <c r="O465" i="2"/>
  <c r="O456" i="2"/>
  <c r="O467" i="2"/>
  <c r="O451" i="2"/>
  <c r="O464" i="2"/>
  <c r="O436" i="2"/>
  <c r="O437" i="2"/>
  <c r="O435" i="2"/>
  <c r="O438" i="2"/>
  <c r="O434" i="2"/>
  <c r="O439" i="2"/>
  <c r="O416" i="2"/>
  <c r="O427" i="2"/>
  <c r="O433" i="2"/>
  <c r="O415" i="2"/>
  <c r="O417" i="2"/>
  <c r="O409" i="2"/>
  <c r="O428" i="2"/>
  <c r="O426" i="2"/>
  <c r="O430" i="2"/>
  <c r="O412" i="2"/>
  <c r="O406" i="2"/>
  <c r="O429" i="2"/>
  <c r="O410" i="2"/>
  <c r="O419" i="2"/>
  <c r="O414" i="2"/>
  <c r="O405" i="2"/>
  <c r="O418" i="2"/>
  <c r="O424" i="2"/>
  <c r="O408" i="2"/>
  <c r="O411" i="2"/>
  <c r="O431" i="2"/>
  <c r="O404" i="2"/>
  <c r="O422" i="2"/>
  <c r="O423" i="2"/>
  <c r="O413" i="2"/>
  <c r="O421" i="2"/>
  <c r="O432" i="2"/>
  <c r="O420" i="2"/>
  <c r="O425" i="2"/>
  <c r="O407" i="2"/>
  <c r="O399" i="2"/>
  <c r="O400" i="2"/>
  <c r="O398" i="2"/>
  <c r="O403" i="2"/>
  <c r="O401" i="2"/>
  <c r="O402" i="2"/>
  <c r="O397" i="2"/>
  <c r="O396" i="2"/>
  <c r="O394" i="2"/>
  <c r="O395" i="2"/>
  <c r="O393" i="2"/>
  <c r="O392" i="2"/>
  <c r="O391" i="2"/>
  <c r="O384" i="2"/>
  <c r="O387" i="2"/>
  <c r="O386" i="2"/>
  <c r="O389" i="2"/>
  <c r="O385" i="2"/>
  <c r="O388" i="2"/>
  <c r="O390" i="2"/>
  <c r="O378" i="2"/>
  <c r="O363" i="2"/>
  <c r="O361" i="2"/>
  <c r="O373" i="2"/>
  <c r="O381" i="2"/>
  <c r="O375" i="2"/>
  <c r="O360" i="2"/>
  <c r="O365" i="2"/>
  <c r="O371" i="2"/>
  <c r="O383" i="2"/>
  <c r="O372" i="2"/>
  <c r="O364" i="2"/>
  <c r="O370" i="2"/>
  <c r="O367" i="2"/>
  <c r="O379" i="2"/>
  <c r="O376" i="2"/>
  <c r="O380" i="2"/>
  <c r="O382" i="2"/>
  <c r="O369" i="2"/>
  <c r="O362" i="2"/>
  <c r="O374" i="2"/>
  <c r="O366" i="2"/>
  <c r="O377" i="2"/>
  <c r="O368" i="2"/>
  <c r="O357" i="2"/>
  <c r="O347" i="2"/>
  <c r="O349" i="2"/>
  <c r="O355" i="2"/>
  <c r="O344" i="2"/>
  <c r="O358" i="2"/>
  <c r="O353" i="2"/>
  <c r="O351" i="2"/>
  <c r="O352" i="2"/>
  <c r="O356" i="2"/>
  <c r="O359" i="2"/>
  <c r="O345" i="2"/>
  <c r="O346" i="2"/>
  <c r="O354" i="2"/>
  <c r="O350" i="2"/>
  <c r="O348" i="2"/>
  <c r="O341" i="2"/>
  <c r="O340" i="2"/>
  <c r="O334" i="2"/>
  <c r="O336" i="2"/>
  <c r="O342" i="2"/>
  <c r="O337" i="2"/>
  <c r="O332" i="2"/>
  <c r="O331" i="2"/>
  <c r="O343" i="2"/>
  <c r="O333" i="2"/>
  <c r="O338" i="2"/>
  <c r="O339" i="2"/>
  <c r="O335" i="2"/>
  <c r="O325" i="2"/>
  <c r="O327" i="2"/>
  <c r="O329" i="2"/>
  <c r="O328" i="2"/>
  <c r="O326" i="2"/>
  <c r="O330" i="2"/>
  <c r="O323" i="2"/>
  <c r="O320" i="2"/>
  <c r="O324" i="2"/>
  <c r="O318" i="2"/>
  <c r="O321" i="2"/>
  <c r="O322" i="2"/>
  <c r="O319" i="2"/>
  <c r="O316" i="2"/>
  <c r="O313" i="2"/>
  <c r="O312" i="2"/>
  <c r="O315" i="2"/>
  <c r="O314" i="2"/>
  <c r="O317" i="2"/>
  <c r="O308" i="2"/>
  <c r="O307" i="2"/>
  <c r="O309" i="2"/>
  <c r="O310" i="2"/>
  <c r="O311" i="2"/>
  <c r="O296" i="2"/>
  <c r="O306" i="2"/>
  <c r="O295" i="2"/>
  <c r="O302" i="2"/>
  <c r="O294" i="2"/>
  <c r="O300" i="2"/>
  <c r="O293" i="2"/>
  <c r="O292" i="2"/>
  <c r="O304" i="2"/>
  <c r="O298" i="2"/>
  <c r="O301" i="2"/>
  <c r="O299" i="2"/>
  <c r="O303" i="2"/>
  <c r="O305" i="2"/>
  <c r="O297" i="2"/>
  <c r="O287" i="2"/>
  <c r="O288" i="2"/>
  <c r="O289" i="2"/>
  <c r="O291" i="2"/>
  <c r="O290" i="2"/>
  <c r="O282" i="2"/>
  <c r="O275" i="2"/>
  <c r="O286" i="2"/>
  <c r="O283" i="2"/>
  <c r="O284" i="2"/>
  <c r="O281" i="2"/>
  <c r="O279" i="2"/>
  <c r="O280" i="2"/>
  <c r="O278" i="2"/>
  <c r="O276" i="2"/>
  <c r="O285" i="2"/>
  <c r="O277" i="2"/>
  <c r="O270" i="2"/>
  <c r="O271" i="2"/>
  <c r="O272" i="2"/>
  <c r="O274" i="2"/>
  <c r="O273" i="2"/>
  <c r="O269" i="2"/>
  <c r="O267" i="2"/>
  <c r="O264" i="2"/>
  <c r="O255" i="2"/>
  <c r="O261" i="2"/>
  <c r="O260" i="2"/>
  <c r="O263" i="2"/>
  <c r="O257" i="2"/>
  <c r="O258" i="2"/>
  <c r="O262" i="2"/>
  <c r="O266" i="2"/>
  <c r="O265" i="2"/>
  <c r="O256" i="2"/>
  <c r="O259" i="2"/>
  <c r="O268" i="2"/>
  <c r="O254" i="2"/>
  <c r="O250" i="2"/>
  <c r="O252" i="2"/>
  <c r="O245" i="2"/>
  <c r="O253" i="2"/>
  <c r="O249" i="2"/>
  <c r="O246" i="2"/>
  <c r="O247" i="2"/>
  <c r="O248" i="2"/>
  <c r="O251" i="2"/>
  <c r="O241" i="2"/>
  <c r="O231" i="2"/>
  <c r="O237" i="2"/>
  <c r="O232" i="2"/>
  <c r="O239" i="2"/>
  <c r="O244" i="2"/>
  <c r="O234" i="2"/>
  <c r="O235" i="2"/>
  <c r="O233" i="2"/>
  <c r="O243" i="2"/>
  <c r="O238" i="2"/>
  <c r="O236" i="2"/>
  <c r="O240" i="2"/>
  <c r="O242" i="2"/>
  <c r="O214" i="2"/>
  <c r="O223" i="2"/>
  <c r="O207" i="2"/>
  <c r="O216" i="2"/>
  <c r="O229" i="2"/>
  <c r="O217" i="2"/>
  <c r="O210" i="2"/>
  <c r="O226" i="2"/>
  <c r="O212" i="2"/>
  <c r="O225" i="2"/>
  <c r="O221" i="2"/>
  <c r="O209" i="2"/>
  <c r="O230" i="2"/>
  <c r="O228" i="2"/>
  <c r="O224" i="2"/>
  <c r="O219" i="2"/>
  <c r="O227" i="2"/>
  <c r="O211" i="2"/>
  <c r="O218" i="2"/>
  <c r="O215" i="2"/>
  <c r="O222" i="2"/>
  <c r="O220" i="2"/>
  <c r="O213" i="2"/>
  <c r="O208" i="2"/>
  <c r="O199" i="2"/>
  <c r="O200" i="2"/>
  <c r="O193" i="2"/>
  <c r="O205" i="2"/>
  <c r="O186" i="2"/>
  <c r="O196" i="2"/>
  <c r="O189" i="2"/>
  <c r="O192" i="2"/>
  <c r="O201" i="2"/>
  <c r="O204" i="2"/>
  <c r="O191" i="2"/>
  <c r="O190" i="2"/>
  <c r="O197" i="2"/>
  <c r="O198" i="2"/>
  <c r="O185" i="2"/>
  <c r="O184" i="2"/>
  <c r="O194" i="2"/>
  <c r="O188" i="2"/>
  <c r="O206" i="2"/>
  <c r="O195" i="2"/>
  <c r="O203" i="2"/>
  <c r="O187" i="2"/>
  <c r="O202" i="2"/>
  <c r="O183" i="2"/>
  <c r="O182" i="2"/>
  <c r="O181" i="2"/>
  <c r="O180" i="2"/>
  <c r="O176" i="2"/>
  <c r="O178" i="2"/>
  <c r="O177" i="2"/>
  <c r="O179" i="2"/>
  <c r="O175" i="2"/>
  <c r="O174" i="2"/>
  <c r="O173" i="2"/>
  <c r="O172" i="2"/>
  <c r="O168" i="2"/>
  <c r="O166" i="2"/>
  <c r="O167" i="2"/>
  <c r="O162" i="2"/>
  <c r="O171" i="2"/>
  <c r="O164" i="2"/>
  <c r="O170" i="2"/>
  <c r="O163" i="2"/>
  <c r="O169" i="2"/>
  <c r="O165" i="2"/>
  <c r="O152" i="2"/>
  <c r="O153" i="2"/>
  <c r="O155" i="2"/>
  <c r="O149" i="2"/>
  <c r="O159" i="2"/>
  <c r="O150" i="2"/>
  <c r="O154" i="2"/>
  <c r="O156" i="2"/>
  <c r="O160" i="2"/>
  <c r="O157" i="2"/>
  <c r="O151" i="2"/>
  <c r="O158" i="2"/>
  <c r="O161" i="2"/>
  <c r="O146" i="2"/>
  <c r="O148" i="2"/>
  <c r="O143" i="2"/>
  <c r="O147" i="2"/>
  <c r="O145" i="2"/>
  <c r="O144" i="2"/>
  <c r="O142" i="2"/>
  <c r="O141" i="2"/>
  <c r="O140" i="2"/>
  <c r="O139" i="2"/>
  <c r="O137" i="2"/>
  <c r="O138" i="2"/>
  <c r="O135" i="2"/>
  <c r="O133" i="2"/>
  <c r="O136" i="2"/>
  <c r="O134" i="2"/>
  <c r="O130" i="2"/>
  <c r="O129" i="2"/>
  <c r="O127" i="2"/>
  <c r="O125" i="2"/>
  <c r="O124" i="2"/>
  <c r="O131" i="2"/>
  <c r="O128" i="2"/>
  <c r="O126" i="2"/>
  <c r="O132" i="2"/>
  <c r="O113" i="2"/>
  <c r="O119" i="2"/>
  <c r="O117" i="2"/>
  <c r="O115" i="2"/>
  <c r="O114" i="2"/>
  <c r="O120" i="2"/>
  <c r="O118" i="2"/>
  <c r="O122" i="2"/>
  <c r="O121" i="2"/>
  <c r="O123" i="2"/>
  <c r="O116" i="2"/>
  <c r="O104" i="2"/>
  <c r="O109" i="2"/>
  <c r="O105" i="2"/>
  <c r="O107" i="2"/>
  <c r="O108" i="2"/>
  <c r="O106" i="2"/>
  <c r="O112" i="2"/>
  <c r="O110" i="2"/>
  <c r="O111" i="2"/>
  <c r="O78" i="2"/>
  <c r="O76" i="2"/>
  <c r="O91" i="2"/>
  <c r="O85" i="2"/>
  <c r="O92" i="2"/>
  <c r="O103" i="2"/>
  <c r="O101" i="2"/>
  <c r="O80" i="2"/>
  <c r="O84" i="2"/>
  <c r="O81" i="2"/>
  <c r="O99" i="2"/>
  <c r="O94" i="2"/>
  <c r="O87" i="2"/>
  <c r="O82" i="2"/>
  <c r="O102" i="2"/>
  <c r="O96" i="2"/>
  <c r="O93" i="2"/>
  <c r="O77" i="2"/>
  <c r="O95" i="2"/>
  <c r="O86" i="2"/>
  <c r="O89" i="2"/>
  <c r="O83" i="2"/>
  <c r="O79" i="2"/>
  <c r="O100" i="2"/>
  <c r="O98" i="2"/>
  <c r="O90" i="2"/>
  <c r="O75" i="2"/>
  <c r="O88" i="2"/>
  <c r="O97" i="2"/>
  <c r="O74" i="2"/>
  <c r="O63" i="2"/>
  <c r="O73" i="2"/>
  <c r="O66" i="2"/>
  <c r="O72" i="2"/>
  <c r="O68" i="2"/>
  <c r="O69" i="2"/>
  <c r="O67" i="2"/>
  <c r="O65" i="2"/>
  <c r="O70" i="2"/>
  <c r="O71" i="2"/>
  <c r="O62" i="2"/>
  <c r="O64" i="2"/>
  <c r="O56" i="2"/>
  <c r="O50" i="2"/>
  <c r="O53" i="2"/>
  <c r="O59" i="2"/>
  <c r="O60" i="2"/>
  <c r="O52" i="2"/>
  <c r="O55" i="2"/>
  <c r="O57" i="2"/>
  <c r="O61" i="2"/>
  <c r="O54" i="2"/>
  <c r="O58" i="2"/>
  <c r="O51" i="2"/>
  <c r="O48" i="2"/>
  <c r="O43" i="2"/>
  <c r="O39" i="2"/>
  <c r="O37" i="2"/>
  <c r="O44" i="2"/>
  <c r="O41" i="2"/>
  <c r="O47" i="2"/>
  <c r="O40" i="2"/>
  <c r="O45" i="2"/>
  <c r="O38" i="2"/>
  <c r="O42" i="2"/>
  <c r="O49" i="2"/>
  <c r="O46" i="2"/>
  <c r="O36" i="2"/>
  <c r="O35" i="2"/>
  <c r="O24" i="2"/>
  <c r="O33" i="2"/>
  <c r="O34" i="2"/>
  <c r="O25" i="2"/>
  <c r="O27" i="2"/>
  <c r="O26" i="2"/>
  <c r="O32" i="2"/>
  <c r="O31" i="2"/>
  <c r="O29" i="2"/>
  <c r="O28" i="2"/>
  <c r="O30" i="2"/>
  <c r="O23" i="2"/>
  <c r="O20" i="2"/>
  <c r="O22" i="2"/>
  <c r="O21" i="2"/>
  <c r="O11" i="2"/>
  <c r="O14" i="2"/>
  <c r="O15" i="2"/>
  <c r="O12" i="2"/>
  <c r="O16" i="2"/>
  <c r="O19" i="2"/>
  <c r="O13" i="2"/>
  <c r="O18" i="2"/>
  <c r="O17" i="2"/>
  <c r="O2" i="2"/>
  <c r="O9" i="2"/>
  <c r="O8" i="2"/>
  <c r="O4" i="2"/>
  <c r="O7" i="2"/>
  <c r="O10" i="2"/>
  <c r="O3" i="2"/>
  <c r="O5" i="2"/>
  <c r="O6" i="2"/>
</calcChain>
</file>

<file path=xl/sharedStrings.xml><?xml version="1.0" encoding="utf-8"?>
<sst xmlns="http://schemas.openxmlformats.org/spreadsheetml/2006/main" count="6323" uniqueCount="1115">
  <si>
    <t>Target</t>
  </si>
  <si>
    <t>Drug</t>
  </si>
  <si>
    <t>Confidence_score</t>
  </si>
  <si>
    <t>Affinity</t>
  </si>
  <si>
    <t>Affinity_score</t>
  </si>
  <si>
    <t>ADRA1A</t>
  </si>
  <si>
    <t>Azatadine</t>
  </si>
  <si>
    <t>Domperidone</t>
  </si>
  <si>
    <t>Dyclonine</t>
  </si>
  <si>
    <t>Ketotifen</t>
  </si>
  <si>
    <t>Meperidine</t>
  </si>
  <si>
    <t>Pizotifen</t>
  </si>
  <si>
    <t>Rescinnamine</t>
  </si>
  <si>
    <t>Reserpine</t>
  </si>
  <si>
    <t>Tripelennamine</t>
  </si>
  <si>
    <t>ADRA2A</t>
  </si>
  <si>
    <t>Benzquinamide</t>
  </si>
  <si>
    <t>Buphenin</t>
  </si>
  <si>
    <t>Dextromethorphan</t>
  </si>
  <si>
    <t>Dobutamine</t>
  </si>
  <si>
    <t>Fasudil</t>
  </si>
  <si>
    <t>Levorphanol</t>
  </si>
  <si>
    <t>ADRA2B</t>
  </si>
  <si>
    <t>Benzphetamine</t>
  </si>
  <si>
    <t>Trazodone</t>
  </si>
  <si>
    <t>ADRA2C</t>
  </si>
  <si>
    <t>Bevantolol</t>
  </si>
  <si>
    <t>Deserpidine</t>
  </si>
  <si>
    <t>Verapamil</t>
  </si>
  <si>
    <t>ADRB1</t>
  </si>
  <si>
    <t>Tamsulosin</t>
  </si>
  <si>
    <t>ADRB2</t>
  </si>
  <si>
    <t>Desloratadine</t>
  </si>
  <si>
    <t>Pimozide</t>
  </si>
  <si>
    <t>Prenylamine</t>
  </si>
  <si>
    <t>AR</t>
  </si>
  <si>
    <t>Dihydrotachysterol</t>
  </si>
  <si>
    <t>Fluorometholone</t>
  </si>
  <si>
    <t>Medrysone</t>
  </si>
  <si>
    <t>Prednicarbate</t>
  </si>
  <si>
    <t>CHRM1</t>
  </si>
  <si>
    <t>Clemastine</t>
  </si>
  <si>
    <t>Ranitidine</t>
  </si>
  <si>
    <t>Tramadol</t>
  </si>
  <si>
    <t>CHRM2</t>
  </si>
  <si>
    <t>Isopropamide</t>
  </si>
  <si>
    <t>Loxapine</t>
  </si>
  <si>
    <t>DRD1</t>
  </si>
  <si>
    <t>Dihydroergotamine</t>
  </si>
  <si>
    <t>Phenylephrine</t>
  </si>
  <si>
    <t>Terfenadine</t>
  </si>
  <si>
    <t>DRD2</t>
  </si>
  <si>
    <t>Masoprocol</t>
  </si>
  <si>
    <t>DRD3</t>
  </si>
  <si>
    <t>Cisapride</t>
  </si>
  <si>
    <t>Meclozine</t>
  </si>
  <si>
    <t>Oxamniquine</t>
  </si>
  <si>
    <t>DRD4</t>
  </si>
  <si>
    <t>Donepezil</t>
  </si>
  <si>
    <t>GABRA1</t>
  </si>
  <si>
    <t>Tegaserod</t>
  </si>
  <si>
    <t>HRH1</t>
  </si>
  <si>
    <t>Sertraline</t>
  </si>
  <si>
    <t>HRH2</t>
  </si>
  <si>
    <t>HRH3</t>
  </si>
  <si>
    <t>Aripiprazole</t>
  </si>
  <si>
    <t>Dilazep</t>
  </si>
  <si>
    <t>HTR1A</t>
  </si>
  <si>
    <t>HTR2A</t>
  </si>
  <si>
    <t>Ephedrine</t>
  </si>
  <si>
    <t>Pseudoephedrine</t>
  </si>
  <si>
    <t>HTR2B</t>
  </si>
  <si>
    <t>Alosetron</t>
  </si>
  <si>
    <t>Metaraminol</t>
  </si>
  <si>
    <t>Rizatriptan</t>
  </si>
  <si>
    <t>HTR2C</t>
  </si>
  <si>
    <t>HTR3A</t>
  </si>
  <si>
    <t>KCNH2</t>
  </si>
  <si>
    <t>NR3C1</t>
  </si>
  <si>
    <t>Anecortave</t>
  </si>
  <si>
    <t>Ethinyl</t>
  </si>
  <si>
    <t>Exemestane</t>
  </si>
  <si>
    <t>Medroxyprogesterone</t>
  </si>
  <si>
    <t>Mestranol</t>
  </si>
  <si>
    <t>Norethindrone</t>
  </si>
  <si>
    <t>Quinestrol</t>
  </si>
  <si>
    <t>OPRD1</t>
  </si>
  <si>
    <t>Cinnarizine</t>
  </si>
  <si>
    <t>OPRK1</t>
  </si>
  <si>
    <t>Diperodon</t>
  </si>
  <si>
    <t>Encainide</t>
  </si>
  <si>
    <t>Methylphenidate</t>
  </si>
  <si>
    <t>Tolterodine</t>
  </si>
  <si>
    <t>OPRM1</t>
  </si>
  <si>
    <t>PDE4D</t>
  </si>
  <si>
    <t>Zafirlukast</t>
  </si>
  <si>
    <t>PGR</t>
  </si>
  <si>
    <t>Cyproterone</t>
  </si>
  <si>
    <t>Hydrocortisone</t>
  </si>
  <si>
    <t>Methylprednisolone</t>
  </si>
  <si>
    <t>Prednisone</t>
  </si>
  <si>
    <t>Rimexolone</t>
  </si>
  <si>
    <t>Testosterone</t>
  </si>
  <si>
    <t>PTGS1</t>
  </si>
  <si>
    <t>Chlorotrianisene</t>
  </si>
  <si>
    <t>Diethylstilbestrol</t>
  </si>
  <si>
    <t>SLC6A2</t>
  </si>
  <si>
    <t>SLC6A3</t>
  </si>
  <si>
    <t>Diphenhydramine</t>
  </si>
  <si>
    <t>Fluspirilene</t>
  </si>
  <si>
    <t>SLC6A4</t>
  </si>
  <si>
    <t>Clobutinol</t>
  </si>
  <si>
    <t>TACR1</t>
  </si>
  <si>
    <t>Haloperidol</t>
  </si>
  <si>
    <t>ADORA1</t>
  </si>
  <si>
    <t>Famciclovir</t>
  </si>
  <si>
    <t>Etomidate</t>
  </si>
  <si>
    <t>Cytarabine</t>
  </si>
  <si>
    <t>Zalcitabine</t>
  </si>
  <si>
    <t>Gemcitabine</t>
  </si>
  <si>
    <t>Didanosine</t>
  </si>
  <si>
    <t>Pentoxifylline</t>
  </si>
  <si>
    <t>Ribavirin</t>
  </si>
  <si>
    <t>bucladesine</t>
  </si>
  <si>
    <t>ADORA2A</t>
  </si>
  <si>
    <t>Acyclovir</t>
  </si>
  <si>
    <t>Moclobemide</t>
  </si>
  <si>
    <t>Ropinirole</t>
  </si>
  <si>
    <t>Nadolol</t>
  </si>
  <si>
    <t>Fenoterol</t>
  </si>
  <si>
    <t>Salbutamol</t>
  </si>
  <si>
    <t>Ritodrine</t>
  </si>
  <si>
    <t>Salmeterol</t>
  </si>
  <si>
    <t>Dextroamphetamine</t>
  </si>
  <si>
    <t>Ciprofloxacin</t>
  </si>
  <si>
    <t>Norfloxacin</t>
  </si>
  <si>
    <t>Chlorphenesin</t>
  </si>
  <si>
    <t>Bupropion</t>
  </si>
  <si>
    <t>Norephedrine_Phenylpropanolamine</t>
  </si>
  <si>
    <t>Methyldopa</t>
  </si>
  <si>
    <t>Dofetilide</t>
  </si>
  <si>
    <t>Levodopa</t>
  </si>
  <si>
    <t>Guaifenesin</t>
  </si>
  <si>
    <t>Phentermine_Hydrochloride</t>
  </si>
  <si>
    <t>Diethylpropion</t>
  </si>
  <si>
    <t>Carbidopa</t>
  </si>
  <si>
    <t>Imipramine</t>
  </si>
  <si>
    <t>Phenmetrazine_Hydrochloride</t>
  </si>
  <si>
    <t>Selegiline</t>
  </si>
  <si>
    <t>Chlorphentermine_Hydrochloride</t>
  </si>
  <si>
    <t>Guanfacine</t>
  </si>
  <si>
    <t>Doxepin</t>
  </si>
  <si>
    <t>Methocarbamol</t>
  </si>
  <si>
    <t>Chlophedianol</t>
  </si>
  <si>
    <t>Tramadol_HCl</t>
  </si>
  <si>
    <t>Fluoxetine</t>
  </si>
  <si>
    <t>melatonin</t>
  </si>
  <si>
    <t>Cyclobenzaprine_HCl</t>
  </si>
  <si>
    <t>Diphemanil_Methylsulfate</t>
  </si>
  <si>
    <t>Iprindole</t>
  </si>
  <si>
    <t>ADRB3</t>
  </si>
  <si>
    <t>PhenylpropanolamineNorephedrine_P</t>
  </si>
  <si>
    <t>Amitriptyline</t>
  </si>
  <si>
    <t>AGTR1</t>
  </si>
  <si>
    <t>Zofenopril_calcium</t>
  </si>
  <si>
    <t>tolbutamide</t>
  </si>
  <si>
    <t>Valsartan</t>
  </si>
  <si>
    <t>Losartan</t>
  </si>
  <si>
    <t>Telmisartan</t>
  </si>
  <si>
    <t>Candesartan_active_compound</t>
  </si>
  <si>
    <t>Eprosartan</t>
  </si>
  <si>
    <t>Irbesartan</t>
  </si>
  <si>
    <t>Olmesartan</t>
  </si>
  <si>
    <t>Candesartan</t>
  </si>
  <si>
    <t>Tranexamic_Acid</t>
  </si>
  <si>
    <t>Gabapentin</t>
  </si>
  <si>
    <t>Testolactone</t>
  </si>
  <si>
    <t>Anecortave_acetate</t>
  </si>
  <si>
    <t>Beclomethasone</t>
  </si>
  <si>
    <t>Hyoscyamine</t>
  </si>
  <si>
    <t>AVPR1A</t>
  </si>
  <si>
    <t>Dyclonine_hydrochloride</t>
  </si>
  <si>
    <t>Indapamide</t>
  </si>
  <si>
    <t>Carteolol</t>
  </si>
  <si>
    <t>AVPR2</t>
  </si>
  <si>
    <t>Lisinopril</t>
  </si>
  <si>
    <t>Benazepril</t>
  </si>
  <si>
    <t>AVPR3</t>
  </si>
  <si>
    <t>AVPR4</t>
  </si>
  <si>
    <t>CACNA1B</t>
  </si>
  <si>
    <t>CACNA1C</t>
  </si>
  <si>
    <t>dobutamine</t>
  </si>
  <si>
    <t>Venlafaxine_HCl</t>
  </si>
  <si>
    <t>isoproterenol</t>
  </si>
  <si>
    <t>CCKAR</t>
  </si>
  <si>
    <t>Timodepressin</t>
  </si>
  <si>
    <t>Oxazepam</t>
  </si>
  <si>
    <t>Camazepam</t>
  </si>
  <si>
    <t>Nordazepam</t>
  </si>
  <si>
    <t>Temazepam</t>
  </si>
  <si>
    <t>Nitrazepam</t>
  </si>
  <si>
    <t>Lorazepam</t>
  </si>
  <si>
    <t>Bromazepam</t>
  </si>
  <si>
    <t>Tadalafil_HCl</t>
  </si>
  <si>
    <t>Flurazepam</t>
  </si>
  <si>
    <t>Famotidine</t>
  </si>
  <si>
    <t>CCKBR</t>
  </si>
  <si>
    <t>Saquinavir_Mesylate</t>
  </si>
  <si>
    <t>Thalidomide</t>
  </si>
  <si>
    <t>Nizatidine</t>
  </si>
  <si>
    <t>CHRM3</t>
  </si>
  <si>
    <t>CHRNA10</t>
  </si>
  <si>
    <t>CNR1</t>
  </si>
  <si>
    <t>Celecoxib</t>
  </si>
  <si>
    <t>Tolazamide</t>
  </si>
  <si>
    <t>Phenindamine</t>
  </si>
  <si>
    <t>Clomipramine</t>
  </si>
  <si>
    <t>Glutethimide</t>
  </si>
  <si>
    <t>Atropine</t>
  </si>
  <si>
    <t>Diazepam</t>
  </si>
  <si>
    <t>Droperidol</t>
  </si>
  <si>
    <t>Procyclidine</t>
  </si>
  <si>
    <t>Fexofenadine</t>
  </si>
  <si>
    <t>Methylphenidate_HCl</t>
  </si>
  <si>
    <t>Fentanyl</t>
  </si>
  <si>
    <t>Vildagliptin</t>
  </si>
  <si>
    <t>Terfenadine_seldane</t>
  </si>
  <si>
    <t>propranolol</t>
  </si>
  <si>
    <t>Viloxazine_hydrochloride</t>
  </si>
  <si>
    <t>Atenolol</t>
  </si>
  <si>
    <t>Metoprolol</t>
  </si>
  <si>
    <t>EDNRB</t>
  </si>
  <si>
    <t>Sulfamethoxazole</t>
  </si>
  <si>
    <t>ESR1</t>
  </si>
  <si>
    <t>Testosterone_Propionate</t>
  </si>
  <si>
    <t>Hesperetin</t>
  </si>
  <si>
    <t>fludrocortisone</t>
  </si>
  <si>
    <t>prednisolone</t>
  </si>
  <si>
    <t>ESR2</t>
  </si>
  <si>
    <t>Warfarin</t>
  </si>
  <si>
    <t>Finasteride</t>
  </si>
  <si>
    <t>genistein</t>
  </si>
  <si>
    <t>Loxapine_succinate</t>
  </si>
  <si>
    <t>Sumatriptan</t>
  </si>
  <si>
    <t>Carprofen</t>
  </si>
  <si>
    <t>GHSR</t>
  </si>
  <si>
    <t>Remoxipride</t>
  </si>
  <si>
    <t>Terguride</t>
  </si>
  <si>
    <t>Pyrimethamine</t>
  </si>
  <si>
    <t>Levosulpiride</t>
  </si>
  <si>
    <t>GRIN3A</t>
  </si>
  <si>
    <t>Hydrocodone</t>
  </si>
  <si>
    <t>Buprenorphine</t>
  </si>
  <si>
    <t>Naftifine</t>
  </si>
  <si>
    <t>Praziquantel</t>
  </si>
  <si>
    <t>Disopyramide</t>
  </si>
  <si>
    <t>phenformin</t>
  </si>
  <si>
    <t>Aprindine</t>
  </si>
  <si>
    <t>Phensuximide</t>
  </si>
  <si>
    <t>Raloxifene</t>
  </si>
  <si>
    <t>Bisoprolol</t>
  </si>
  <si>
    <t>Pilocarpine</t>
  </si>
  <si>
    <t>Dibucaine</t>
  </si>
  <si>
    <t>Scopolamine</t>
  </si>
  <si>
    <t>Benztropine</t>
  </si>
  <si>
    <t>NPY1R</t>
  </si>
  <si>
    <t>NPY2R</t>
  </si>
  <si>
    <t>NR1I2</t>
  </si>
  <si>
    <t>NTSR1</t>
  </si>
  <si>
    <t>Ramipril</t>
  </si>
  <si>
    <t>Naproxen</t>
  </si>
  <si>
    <t>Enalapril</t>
  </si>
  <si>
    <t>indomethacin</t>
  </si>
  <si>
    <t>Meclozine_HCl</t>
  </si>
  <si>
    <t>Methsuximide</t>
  </si>
  <si>
    <t>Cetirizine</t>
  </si>
  <si>
    <t>Quinapril</t>
  </si>
  <si>
    <t>Hydroxyzine</t>
  </si>
  <si>
    <t>PDE3A</t>
  </si>
  <si>
    <t>Doxazosin</t>
  </si>
  <si>
    <t>Phenylbutyrate</t>
  </si>
  <si>
    <t>Mebendazole</t>
  </si>
  <si>
    <t>Glibenclamide</t>
  </si>
  <si>
    <t>Efavirenz</t>
  </si>
  <si>
    <t>probucol</t>
  </si>
  <si>
    <t>Pirprofen</t>
  </si>
  <si>
    <t>Gemfibrozil</t>
  </si>
  <si>
    <t>Bezafibrate</t>
  </si>
  <si>
    <t>Fenclofenac</t>
  </si>
  <si>
    <t>Baclofen</t>
  </si>
  <si>
    <t>PTGS2</t>
  </si>
  <si>
    <t>Sulfanilamide</t>
  </si>
  <si>
    <t>SCN5A</t>
  </si>
  <si>
    <t>SLC29A1</t>
  </si>
  <si>
    <t>Cyclopentolate</t>
  </si>
  <si>
    <t>TBXA2R</t>
  </si>
  <si>
    <t>Acetohexamide</t>
  </si>
  <si>
    <t>Niacin_Nicotinic_Acid</t>
  </si>
  <si>
    <t>chlorpropamide</t>
  </si>
  <si>
    <t>Alprostadil</t>
  </si>
  <si>
    <t>Affinity, boltz2</t>
    <phoneticPr fontId="3" type="noConversion"/>
  </si>
  <si>
    <t>Affinity, uM</t>
    <phoneticPr fontId="3" type="noConversion"/>
  </si>
  <si>
    <t>Drug name</t>
  </si>
  <si>
    <t>Drug SMILES</t>
  </si>
  <si>
    <t>Closest ChEMBL neighbor SMILES</t>
  </si>
  <si>
    <t>ECFP_4 Tc</t>
  </si>
  <si>
    <t>Combined Tc</t>
  </si>
  <si>
    <t>SEA E-value</t>
  </si>
  <si>
    <t>Closest known target</t>
  </si>
  <si>
    <t>BLAST E-value</t>
  </si>
  <si>
    <t>Confirmed activity [uM]</t>
  </si>
  <si>
    <t>Functional annotation</t>
  </si>
  <si>
    <t>CN1CCC(CC1)=C1C2=NC=CC=C2CCC2=C1C=CC=C2</t>
  </si>
  <si>
    <t>CN1CCC(=C2c(n3CCc(c24)cccc4)ccc3)CC1</t>
  </si>
  <si>
    <t>0.50</t>
  </si>
  <si>
    <t>5.0e-007</t>
  </si>
  <si>
    <t>HRH4</t>
  </si>
  <si>
    <t>4.1e-026</t>
  </si>
  <si>
    <t>8.642</t>
  </si>
  <si>
    <t>Binding</t>
  </si>
  <si>
    <t>ClC1=CC2=C(C=C1)N(C1CCN(CCCN3C(=O)NC4=C3C=CC=C4)CC1)C(=O)N2</t>
  </si>
  <si>
    <t>Clc1cc2c(S(=O)(=O)N(CCCCN3CCC(N4c(c5OC4=O)cccc5)CC3)C2=O)cc1</t>
  </si>
  <si>
    <t>0.43</t>
  </si>
  <si>
    <t>2.5e-018</t>
  </si>
  <si>
    <t>4.8e-050</t>
  </si>
  <si>
    <t>0.128</t>
  </si>
  <si>
    <t>CCCCOC1=CC=C(C=C1)C(=O)CCN1CCCCC1</t>
  </si>
  <si>
    <t>Fc1ccc(C(CCN2CCN(c3ncc(F)cn3)CC2)=O)cc1</t>
  </si>
  <si>
    <t>0.38</t>
  </si>
  <si>
    <t>6.0e-006</t>
  </si>
  <si>
    <t>SCN10A</t>
  </si>
  <si>
    <t>2.7e+000</t>
  </si>
  <si>
    <t>9.658</t>
  </si>
  <si>
    <t>CN1CCC(CC1)=C1C2=C(SC=C2)C(=O)CC2=C1C=CC=C2</t>
  </si>
  <si>
    <t>0.45</t>
  </si>
  <si>
    <t>3.8e-012</t>
  </si>
  <si>
    <t>1.3e-035</t>
  </si>
  <si>
    <t>10.379</t>
  </si>
  <si>
    <t>CCOC(=O)C1(CCN(C)CC1)C1=CC=CC=C1</t>
  </si>
  <si>
    <t>COC(C1(c2ccccc2)CCN(CCCNC(Cc3ccc(C)cc3)=O)CC1)=O</t>
  </si>
  <si>
    <t>7.4e-021</t>
  </si>
  <si>
    <t>2.7e-021</t>
  </si>
  <si>
    <t>2.560</t>
  </si>
  <si>
    <t>15.000</t>
  </si>
  <si>
    <t>Antagonist</t>
  </si>
  <si>
    <t>7.800</t>
  </si>
  <si>
    <t>CN1CCC(CC1)=C3C2C=CSC=2CCc4ccccc34</t>
  </si>
  <si>
    <t>0.52</t>
  </si>
  <si>
    <t>4.0e-013</t>
  </si>
  <si>
    <t>HTR1B</t>
  </si>
  <si>
    <t>1.5e-055</t>
  </si>
  <si>
    <t>0.162</t>
  </si>
  <si>
    <t>1.200</t>
  </si>
  <si>
    <t>[H][C@]12C[C@@H](OC(=O)C=CC3=CC(OC)=C(OC)C(OC)=C3)[C@H](OC)[C@@H](C(=O)OC)[C@@]1([H])C[C@@]1([H])N(CCC3=C1NC1=C3C=CC(OC)=C1)C2</t>
  </si>
  <si>
    <t>COC([C@@H]1[C@H]([C@H]2CC[C@@H]1O)C[C@H](N3C2)c4c(c(c5[nH]4)cccc5)CC3)=O</t>
  </si>
  <si>
    <t>0.48</t>
  </si>
  <si>
    <t>0.79</t>
  </si>
  <si>
    <t>5.8e-010</t>
  </si>
  <si>
    <t>ABCB1</t>
  </si>
  <si>
    <t>1.5e+002</t>
  </si>
  <si>
    <t>3.500</t>
  </si>
  <si>
    <t>[H][C@]12C[C@@H](OC(=O)C3=CC(OC)=C(OC)C(OC)=C3)[C@H](OC)[C@@H](C(=O)OC)[C@@]1([H])C[C@@]1([H])N(CCC3=C1NC1=C3C=CC(OC)=C1)C2</t>
  </si>
  <si>
    <t>0.49</t>
  </si>
  <si>
    <t>0.80</t>
  </si>
  <si>
    <t>2.9e-010</t>
  </si>
  <si>
    <t>12.000</t>
  </si>
  <si>
    <t>CN(C)CCN(CC1=CC=CC=C1)C1=NC=CC=C1</t>
  </si>
  <si>
    <t>Clc1c(N2CCN(Cc3ccccc3)CC2)nccc1</t>
  </si>
  <si>
    <t>0.27</t>
  </si>
  <si>
    <t>0.69</t>
  </si>
  <si>
    <t>2.4e-006</t>
  </si>
  <si>
    <t>4.0e-024</t>
  </si>
  <si>
    <t>10.764</t>
  </si>
  <si>
    <t>CCN(CC)C(=O)C1CN2CCC3=C(C=C(OC)C(OC)=C3)C2CC1OC(C)=O</t>
  </si>
  <si>
    <t>COc1c(OC)cc(c2c1)CN(Cc3c(c4c(OC)cc3)cc(C(N5CCC(N6CCCC6)CC5)=O)o4)CC2</t>
  </si>
  <si>
    <t>0.31</t>
  </si>
  <si>
    <t>0.51</t>
  </si>
  <si>
    <t>8.0e-040</t>
  </si>
  <si>
    <t>CHRM5</t>
  </si>
  <si>
    <t>4.9e-029</t>
  </si>
  <si>
    <t>0.450</t>
  </si>
  <si>
    <t>0.825</t>
  </si>
  <si>
    <t>CC(CCc1ccccc1)NC(C)C(O)c2ccc(O)cc2</t>
  </si>
  <si>
    <t>C[C@H](N1CCC(Cc2ccccc2)CC1)[C@@H](c3ccc(O)cc3)O</t>
  </si>
  <si>
    <t>0.72</t>
  </si>
  <si>
    <t>1.7e-018</t>
  </si>
  <si>
    <t>ADRA1B</t>
  </si>
  <si>
    <t>2.7e-040</t>
  </si>
  <si>
    <t>9.390</t>
  </si>
  <si>
    <t>[H][C@]12CCCC[C@]11CCN(C)[C@H]2CC2=C1C=C(OC)C=C2</t>
  </si>
  <si>
    <t>COc1cc(c2cc1)C3[C@H](N(C)CCO3)CC2</t>
  </si>
  <si>
    <t>0.40</t>
  </si>
  <si>
    <t>0.71</t>
  </si>
  <si>
    <t>1.7e-022</t>
  </si>
  <si>
    <t>3.3e-027</t>
  </si>
  <si>
    <t>11.172</t>
  </si>
  <si>
    <t>CC(CCC1=CC=C(O)C=C1)NCCC1=CC(O)=C(O)C=C1</t>
  </si>
  <si>
    <t>NCCc1cc(O)c(O)cc1</t>
  </si>
  <si>
    <t>0.41</t>
  </si>
  <si>
    <t>3.0e-026</t>
  </si>
  <si>
    <t>2.7e-035</t>
  </si>
  <si>
    <t>10.831</t>
  </si>
  <si>
    <t>O=S(=O)(N1CCCNCC1)C1=CC=CC2=C1C=CN=C2</t>
  </si>
  <si>
    <t>Clc1c(N2CCNCC2)ccnc1</t>
  </si>
  <si>
    <t>0.37</t>
  </si>
  <si>
    <t>1.1e-007</t>
  </si>
  <si>
    <t>CCR2</t>
  </si>
  <si>
    <t>1.5e-009</t>
  </si>
  <si>
    <t>3.990</t>
  </si>
  <si>
    <t>[H][C@@]12CCCC[C@@]11CCN(C)[C@@H]2CC2=C1C=C(O)C=C2</t>
  </si>
  <si>
    <t>CN1[C@H]2C(c(c3CC2)cc(O)cc3)OCC1</t>
  </si>
  <si>
    <t>0.70</t>
  </si>
  <si>
    <t>3.9e-016</t>
  </si>
  <si>
    <t>2.7e-019</t>
  </si>
  <si>
    <t>8.980</t>
  </si>
  <si>
    <t>2.0e-009</t>
  </si>
  <si>
    <t>3.6e-041</t>
  </si>
  <si>
    <t>0.577</t>
  </si>
  <si>
    <t>7.250</t>
  </si>
  <si>
    <t>CC(CC1=CC=CC=C1)N(C)CC1=CC=CC=C1</t>
  </si>
  <si>
    <t>CN(c1ccccc1)CC(NCC2)=N2</t>
  </si>
  <si>
    <t>0.26</t>
  </si>
  <si>
    <t>0.63</t>
  </si>
  <si>
    <t>1.4e-005</t>
  </si>
  <si>
    <t>6.0e-105</t>
  </si>
  <si>
    <t>CNCC(c1cc(O)ccc1)O</t>
  </si>
  <si>
    <t>0.28</t>
  </si>
  <si>
    <t>1.4e-018</t>
  </si>
  <si>
    <t>0.733</t>
  </si>
  <si>
    <t>1.9e-026</t>
  </si>
  <si>
    <t>3.2e-029</t>
  </si>
  <si>
    <t>5.800</t>
  </si>
  <si>
    <t>OCC1=C(O)C=CC(=C1)C(O)CNCCCCCCOCCCCC1=CC=CC=C1</t>
  </si>
  <si>
    <t>CNCC(c1cc(O)c(O)cc1)O</t>
  </si>
  <si>
    <t>0.34</t>
  </si>
  <si>
    <t>0.59</t>
  </si>
  <si>
    <t>7.1e-005</t>
  </si>
  <si>
    <t>13.317</t>
  </si>
  <si>
    <t>ClC1=CC=CC(=C1)N1CCN(CCCN2N=C3C=CC=CN3C2=O)CC1</t>
  </si>
  <si>
    <t>Cc1ccc(C(c(c2C(=O)N3CCCCN4CCN(c5cc(Cl)ccc5)CC4)cccc2)=N3)cc1</t>
  </si>
  <si>
    <t>1.6e-008</t>
  </si>
  <si>
    <t>3.440</t>
  </si>
  <si>
    <t>6.1e-006</t>
  </si>
  <si>
    <t>7.9e-101</t>
  </si>
  <si>
    <t>0.681</t>
  </si>
  <si>
    <t>5.4e-021</t>
  </si>
  <si>
    <t>1.739</t>
  </si>
  <si>
    <t>COC1=C(OC)C=C(CCNCC(O)COC2=CC(C)=CC=C2)C=C1</t>
  </si>
  <si>
    <t>COc1c(c2ccc1)CCC[C@H]2CNCCc3cc(c4cc3)OCO4</t>
  </si>
  <si>
    <t>0.32</t>
  </si>
  <si>
    <t>3.0e-009</t>
  </si>
  <si>
    <t>1.5e-034</t>
  </si>
  <si>
    <t>9.370</t>
  </si>
  <si>
    <t>7.1e-019</t>
  </si>
  <si>
    <t>0.641</t>
  </si>
  <si>
    <t>[H][C@]12C[C@@H](OC(=O)C3=CC(OC)=C(OC)C(OC)=C3)[C@H](OC)[C@@H](C(=O)OC)[C@@]1([H])C[C@@]1([H])N(CCC3=C1NC1=C3C=CC=C1)C2</t>
  </si>
  <si>
    <t>0.82</t>
  </si>
  <si>
    <t>1.8e-067</t>
  </si>
  <si>
    <t>SLC18A2</t>
  </si>
  <si>
    <t>8.9e+000</t>
  </si>
  <si>
    <t>11.785</t>
  </si>
  <si>
    <t>1.5e-023</t>
  </si>
  <si>
    <t>1.5e-020</t>
  </si>
  <si>
    <t>10.640</t>
  </si>
  <si>
    <t>5.4e-027</t>
  </si>
  <si>
    <t>1.6e-024</t>
  </si>
  <si>
    <t>0.490</t>
  </si>
  <si>
    <t>6.1e-009</t>
  </si>
  <si>
    <t>0.353</t>
  </si>
  <si>
    <t>COC1=C(OC)C=C(CCN(C)CCCC(C#N)(C(C)C)C2=CC(OC)=C(OC)C=C2)C=C1</t>
  </si>
  <si>
    <t>COc1c(OC)c(c2cc1)CCC[C@H]2CN(CCc3cc(c4cc3)OCO4)C</t>
  </si>
  <si>
    <t>0.57</t>
  </si>
  <si>
    <t>9.9e-005</t>
  </si>
  <si>
    <t>4.331</t>
  </si>
  <si>
    <t>CCOC1=C(OCCN[C@H](C)CC2=CC(=C(OC)C=C2)S(N)(=O)=O)C=CC=C1</t>
  </si>
  <si>
    <t>CCOc1c(C(O)=O)ccc(c2ccc(C[C@H](NC[C@@H](c3ccccc3)O)C)cc2)c1</t>
  </si>
  <si>
    <t>0.54</t>
  </si>
  <si>
    <t>3.1e-005</t>
  </si>
  <si>
    <t>2.1e-049</t>
  </si>
  <si>
    <t>2.500</t>
  </si>
  <si>
    <t>ClC1=CC2=C(C=C1)C(=C1CCNCC1)C1=NC=CC=C1CC2</t>
  </si>
  <si>
    <t>CN(CCCN1c(c2CCc(c13)cccc3)cc(Cl)cc2)C</t>
  </si>
  <si>
    <t>0.25</t>
  </si>
  <si>
    <t>1.7e-016</t>
  </si>
  <si>
    <t>9.6e-032</t>
  </si>
  <si>
    <t>12.546</t>
  </si>
  <si>
    <t>FC1=CC=C(C=C1)C(CCCN1CCC(CC1)N1C(=O)NC2=C1C=CC=C2)C1=CC=C(F)C=C1</t>
  </si>
  <si>
    <t>CC(N[C@H]1[C@H](O)c(c(c2NC3=O)N3CC1)ccc2)C</t>
  </si>
  <si>
    <t>0.53</t>
  </si>
  <si>
    <t>1.3e-021</t>
  </si>
  <si>
    <t>2.3e-060</t>
  </si>
  <si>
    <t>6.300</t>
  </si>
  <si>
    <t>CNCCC=C1c(c2CCc(c13)cccc3)cccc2</t>
  </si>
  <si>
    <t>0.58</t>
  </si>
  <si>
    <t>4.9e-018</t>
  </si>
  <si>
    <t>HTR4</t>
  </si>
  <si>
    <t>5.8e-054</t>
  </si>
  <si>
    <t>CC(CC1=CC=CC=C1)NCCC(C1=CC=CC=C1)C1=CC=CC=C1</t>
  </si>
  <si>
    <t>CC(NCC(c1ccc(O)cc1)O)CCc2ccc(O)cc2</t>
  </si>
  <si>
    <t>0.30</t>
  </si>
  <si>
    <t>1.4e-010</t>
  </si>
  <si>
    <t>SCN11A</t>
  </si>
  <si>
    <t>9.4e+000</t>
  </si>
  <si>
    <t>3.486</t>
  </si>
  <si>
    <t>COc1c(OC)cc([C@@H](NC[C@@H](Cc2cc(NS(C)(=O)=O)c(O)cc2)O)Cc3ccccc3)cc1</t>
  </si>
  <si>
    <t>8.8e-008</t>
  </si>
  <si>
    <t>ADRA1D</t>
  </si>
  <si>
    <t>8.9e-055</t>
  </si>
  <si>
    <t>2.200</t>
  </si>
  <si>
    <t>CC(C)C(C)\C=C\C(C)C1CCC2C1(C)CCC\C2=C/C=C1/CC(O)CCC1C</t>
  </si>
  <si>
    <t>CC(C(C=CC(C1C(C)(C2CC1)CCCC2=CC=C3C(=C)CC[C@H](O)C3)C)C)C</t>
  </si>
  <si>
    <t>0.73</t>
  </si>
  <si>
    <t>0.96</t>
  </si>
  <si>
    <t>VDR</t>
  </si>
  <si>
    <t>1.2e-014</t>
  </si>
  <si>
    <t>17.000</t>
  </si>
  <si>
    <t>[H][C@@]12CC[C@](O)(C(C)=O)[C@@]1(C)C[C@H](O)[C@@]1(F)[C@@]2([H])C[C@H](C)C2=CC(=O)C=C[C@]12C</t>
  </si>
  <si>
    <t>C[C@@H]1C([C@@]2(C)[C@@H]3C([C@H]4[C@]([C@](C(C)=O)(OC(C)=O)CC4)(C)CC3)C1)=CC(=O)CC2</t>
  </si>
  <si>
    <t>7.4e-007</t>
  </si>
  <si>
    <t>4.5e-110</t>
  </si>
  <si>
    <t>0.829</t>
  </si>
  <si>
    <t>[H][C@@]12CC[C@H](C(C)=O)[C@@]1(C)C[C@H](O)[C@@]1([H])[C@@]2([H])C[C@H](C)C2=CC(=O)CC[C@]12C</t>
  </si>
  <si>
    <t>CC(C1C(C)(C2CC1)C[C@@H](O)C(C23)C(C)(C(=C4)CC3)CCC4=O)=O</t>
  </si>
  <si>
    <t>0.83</t>
  </si>
  <si>
    <t>2.0e-043</t>
  </si>
  <si>
    <t>0.257</t>
  </si>
  <si>
    <t>CCOC(=O)OC1(CCC2C3CCC4=CC(=O)C=CC4(C)C3C(O)CC12C)C(=O)COC(=O)CC</t>
  </si>
  <si>
    <t>CCC(O[C@@H]1[C@](C)([C@H]2CC1)CC[C@@H]([C@H]23)[C@](C)(C(=C4)CC3)CCC4=O)=O</t>
  </si>
  <si>
    <t>2.5e-022</t>
  </si>
  <si>
    <t>0.710</t>
  </si>
  <si>
    <t>4.8e-008</t>
  </si>
  <si>
    <t>2.3e-030</t>
  </si>
  <si>
    <t>0.111</t>
  </si>
  <si>
    <t>CN1CCC[C@@H]1CCO[C@](C)(C1=CC=CC=C1)C1=CC=C(Cl)C=C1</t>
  </si>
  <si>
    <t>CN1CCC(OC(C(c2ccccc2)(c3ccccc3)O)=O)CC1</t>
  </si>
  <si>
    <t>0.35</t>
  </si>
  <si>
    <t>0.81</t>
  </si>
  <si>
    <t>2.3e-033</t>
  </si>
  <si>
    <t>0.135</t>
  </si>
  <si>
    <t>CN\C(NCCSCC1=CC=C(CN(C)C)O1)=C/[N+]([O-])=O</t>
  </si>
  <si>
    <t>CN(Cc1ccc(CSCCNC=C([N+]([O-])=O)NCCSCc2ccc(CN(C)C)o2)o1)C</t>
  </si>
  <si>
    <t>0.65</t>
  </si>
  <si>
    <t>1.1e-053</t>
  </si>
  <si>
    <t>2.3e-036</t>
  </si>
  <si>
    <t>8.574</t>
  </si>
  <si>
    <t>COC1=CC=CC(=C1)[C@@]1(O)CCCC[C@@H]1CN(C)C</t>
  </si>
  <si>
    <t>COc1cc(CN2CCN(CC(C(c3ccccc3)(C4CCC4)O)=O)CC2)ccc1</t>
  </si>
  <si>
    <t>3.8e-008</t>
  </si>
  <si>
    <t>1.4e-094</t>
  </si>
  <si>
    <t>11.082</t>
  </si>
  <si>
    <t>1.2e-009</t>
  </si>
  <si>
    <t>2.1e-045</t>
  </si>
  <si>
    <t>0.064</t>
  </si>
  <si>
    <t>0.080</t>
  </si>
  <si>
    <t>CN1C(CCC=C2c(c3Cc(c24)cccc4)cccc3)CCCC1</t>
  </si>
  <si>
    <t>0.36</t>
  </si>
  <si>
    <t>0.929</t>
  </si>
  <si>
    <t>1.420</t>
  </si>
  <si>
    <t>CC(C)[N+](C)(CCC(C(N)=O)(C1=CC=CC=C1)C1=CC=CC=C1)C(C)C</t>
  </si>
  <si>
    <t>NC(C(c1ccccc1)(c2ccccc2)CCN3CCCC3)=O</t>
  </si>
  <si>
    <t>1.5e-012</t>
  </si>
  <si>
    <t>CHRM4</t>
  </si>
  <si>
    <t>8.1e-143</t>
  </si>
  <si>
    <t>0.007</t>
  </si>
  <si>
    <t>0.010</t>
  </si>
  <si>
    <t>CN1CCN(CC1)C1=NC2=C(OC3=C1C=C(Cl)C=C3)C=CC=C2</t>
  </si>
  <si>
    <t>CN1CCN(C(c(c2Oc(c34)ccc(Cl)c3)cccc2)=N4)CC1</t>
  </si>
  <si>
    <t>6.6e-109</t>
  </si>
  <si>
    <t>1.123</t>
  </si>
  <si>
    <t>9.990</t>
  </si>
  <si>
    <t>2.0e-050</t>
  </si>
  <si>
    <t>1.9e-033</t>
  </si>
  <si>
    <t>5.563</t>
  </si>
  <si>
    <t>[H][C@@]12CCCN1C(=O)[C@H](CC1=CC=CC=C1)N1C(=O)[C@](C)(NC(=O)[C@H]3CN(C)[C@]4([H])CC5=CNC6=C5C(=CC=C6)[C@@]4([H])C3)O[C@@]21O</t>
  </si>
  <si>
    <t>CCN(S(N[C@@H]1CN(C)[C@H]2[C@@H](c(c(c3[nH]c4)c4C2)ccc3)C1)(=O)=O)CC</t>
  </si>
  <si>
    <t>HTR6</t>
  </si>
  <si>
    <t>4.2e-047</t>
  </si>
  <si>
    <t>4.810</t>
  </si>
  <si>
    <t>0.210</t>
  </si>
  <si>
    <t>Agonist</t>
  </si>
  <si>
    <t>0.67</t>
  </si>
  <si>
    <t>6.8e-060</t>
  </si>
  <si>
    <t>7.8e-054</t>
  </si>
  <si>
    <t>13.000</t>
  </si>
  <si>
    <t>CNC[C@H](O)C1=CC(O)=CC=C1</t>
  </si>
  <si>
    <t>CCCN(CCc1cc(O)ccc1)CCC</t>
  </si>
  <si>
    <t>0.75</t>
  </si>
  <si>
    <t>4.2e-009</t>
  </si>
  <si>
    <t>2.800</t>
  </si>
  <si>
    <t>CC(C)(C)C1=CC=C(C=C1)C(O)CCCN1CCC(CC1)C(O)(C1=CC=CC=C1)C1=CC=CC=C1</t>
  </si>
  <si>
    <t>OC(c1ccc(F)cc1)CCCN2C[C@@H]3[C@@H](N(c4ccccc4)c(c35)cccc5)CC2</t>
  </si>
  <si>
    <t>0.46</t>
  </si>
  <si>
    <t>0.60</t>
  </si>
  <si>
    <t>2.0e-045</t>
  </si>
  <si>
    <t>9.087</t>
  </si>
  <si>
    <t>C[C@@H](CC1=CC(O)=C(O)C=C1)[C@H](C)CC1=CC(O)=C(O)C=C1</t>
  </si>
  <si>
    <t>7.6e-005</t>
  </si>
  <si>
    <t>LTB4R</t>
  </si>
  <si>
    <t>9.3e-005</t>
  </si>
  <si>
    <t>6.900</t>
  </si>
  <si>
    <t>0.74</t>
  </si>
  <si>
    <t>1.6e-100</t>
  </si>
  <si>
    <t>CCCN(C1Cc(c2CC1)cc(O)cc2)CCc3ccccc3</t>
  </si>
  <si>
    <t>0.64</t>
  </si>
  <si>
    <t>6.0e-016</t>
  </si>
  <si>
    <t>6.1e-043</t>
  </si>
  <si>
    <t>1.289</t>
  </si>
  <si>
    <t>COC1CN(CCCOC2=CC=C(F)C=C2)CCC1NC(=O)C1=C(OC)C=C(N)C(Cl)=C1</t>
  </si>
  <si>
    <t>COc1c(C(N[C@H]2CN(Cc3ccccc3)CC2)=O)cc(Cl)c(N)c1</t>
  </si>
  <si>
    <t>3.0e-008</t>
  </si>
  <si>
    <t>6.323</t>
  </si>
  <si>
    <t>3.4e-029</t>
  </si>
  <si>
    <t>0.530</t>
  </si>
  <si>
    <t>CC1=CC=CC(CN2CCN(CC2)C(C2=CC=CC=C2)C2=CC=C(Cl)C=C2)=C1</t>
  </si>
  <si>
    <t>Clc1ccc(C(c2ccccc2)N3CCN(CCCCN4C(=O)c(c5C4=O)cccc5)CC3)cc1</t>
  </si>
  <si>
    <t>2.8e-013</t>
  </si>
  <si>
    <t>0.947</t>
  </si>
  <si>
    <t>CC(C)NCC1CCC2=C(N1)C=C(C(CO)=C2)[N+]([O-])=O</t>
  </si>
  <si>
    <t>CCN1[C@H](CNC(c2c(OC)c([N+]([O-])=O)cc(Br)c2O)=O)CCC1</t>
  </si>
  <si>
    <t>0.24</t>
  </si>
  <si>
    <t>7.8e-006</t>
  </si>
  <si>
    <t>CYP2D6</t>
  </si>
  <si>
    <t>3.6e+003</t>
  </si>
  <si>
    <t>7.400</t>
  </si>
  <si>
    <t>1.1e-013</t>
  </si>
  <si>
    <t>5.046</t>
  </si>
  <si>
    <t>Clc1cc(N2CCN(CCCOc3ccc(c4[nH]c(c5n4)cccc5)cc3)CC2)ccc1</t>
  </si>
  <si>
    <t>0.42</t>
  </si>
  <si>
    <t>6.4e-007</t>
  </si>
  <si>
    <t>1.480</t>
  </si>
  <si>
    <t>3.0e-030</t>
  </si>
  <si>
    <t>2.3e-018</t>
  </si>
  <si>
    <t>5.7e-023</t>
  </si>
  <si>
    <t>2.417</t>
  </si>
  <si>
    <t>[H][C@@]1(CC2CCN(CC3=CC=CC=C3)CC2)CC2=CC(OC)=C(OC)C=C2C1=O</t>
  </si>
  <si>
    <t>COc1c(C(NCC2CCN(Cc3ccccc3)CC2)=O)cc(c4c1)cccc4</t>
  </si>
  <si>
    <t>3.0e-035</t>
  </si>
  <si>
    <t>0.824</t>
  </si>
  <si>
    <t>OCc1c(Cl)cc(N2CCN(CCC(c3ccc(Cl)cc3)=O)CC2)cc1</t>
  </si>
  <si>
    <t>0.66</t>
  </si>
  <si>
    <t>1.5e-017</t>
  </si>
  <si>
    <t>2.3e+002</t>
  </si>
  <si>
    <t>4.107</t>
  </si>
  <si>
    <t>Cc1cc(CN2CCC(n3c(O)nc(c4ccccc4)c3C)CC2)ccc1</t>
  </si>
  <si>
    <t>2.7e-036</t>
  </si>
  <si>
    <t>4.240</t>
  </si>
  <si>
    <t>CCCCCNC(=N)N/N=C\C1=CNc2ccc(cc12)OC</t>
  </si>
  <si>
    <t>COc1ccc(CNC(C(c2c(c3[nH]c2)cc(OC)cc3)=O)=O)cc1</t>
  </si>
  <si>
    <t>1.7e-008</t>
  </si>
  <si>
    <t>HTR3B</t>
  </si>
  <si>
    <t>1.4e-017</t>
  </si>
  <si>
    <t>3.3e-001</t>
  </si>
  <si>
    <t>CN(C(c1ccc(OCCCN2CCCCC2)cc1)=O)CCC=C3c(c4CCc(c35)cccc5)cccc4</t>
  </si>
  <si>
    <t>0.44</t>
  </si>
  <si>
    <t>2.8e-011</t>
  </si>
  <si>
    <t>3.5e+000</t>
  </si>
  <si>
    <t>8.523</t>
  </si>
  <si>
    <t>C(NCCc1[nH]cnc1)Cc2nc(CCC(c3ccccc3)c4ccccc4)[nH]c2</t>
  </si>
  <si>
    <t>3.2e-066</t>
  </si>
  <si>
    <t>7.868</t>
  </si>
  <si>
    <t>CN[C@H]1CC[C@@H](C2=CC(Cl)=C(Cl)C=C2)C2=C1C=CC=C2</t>
  </si>
  <si>
    <t>CNC1Cc(c2C(c3ccccc3)C1)cccc2</t>
  </si>
  <si>
    <t>1.9e-090</t>
  </si>
  <si>
    <t>4.6e-044</t>
  </si>
  <si>
    <t>23.000</t>
  </si>
  <si>
    <t>CCc1ccc(S(N[C@@H]2CN(CCCOc3ccc(C(C4CC4)=O)cc3)CC2)(=O)=O)cc1</t>
  </si>
  <si>
    <t>9.5e-018</t>
  </si>
  <si>
    <t>4.4e+001</t>
  </si>
  <si>
    <t>3.127</t>
  </si>
  <si>
    <t>CNC1Cc(c2C(c3ccccc3)C1)cc(Cl)c(O)c2</t>
  </si>
  <si>
    <t>0.33</t>
  </si>
  <si>
    <t>5.1e-045</t>
  </si>
  <si>
    <t>6.8e-051</t>
  </si>
  <si>
    <t>1.440</t>
  </si>
  <si>
    <t>ClC1=CC=CC(N2CCN(CCCCOC3=CC4=C(CCC(=O)N4)C=C3)CC2)=C1Cl</t>
  </si>
  <si>
    <t>C(CN1CCCCC1)COc2cc(c3cc2)NCCC3</t>
  </si>
  <si>
    <t>1.4e-009</t>
  </si>
  <si>
    <t>4.0e-037</t>
  </si>
  <si>
    <t>3.061</t>
  </si>
  <si>
    <t>COc1cc(cc(OC)c1OC)C(=O)OCCCN3CCCN(CCCOC(=O)c2cc(OC)c(OC)c(c2)OC)CC3</t>
  </si>
  <si>
    <t>COc1c(COc2c(C(N(C)C)=O)cc(OCCCN3CCCCC3)cc2)cccc1</t>
  </si>
  <si>
    <t>1.3e-005</t>
  </si>
  <si>
    <t>SCN8A</t>
  </si>
  <si>
    <t>5.8e+001</t>
  </si>
  <si>
    <t>3.778</t>
  </si>
  <si>
    <t>CCCCCC(c1ccc(OCCCN2CCN(C(OCC)=O)CC2)cc1)=O</t>
  </si>
  <si>
    <t>1.5e-102</t>
  </si>
  <si>
    <t>3.4e+002</t>
  </si>
  <si>
    <t>3.889</t>
  </si>
  <si>
    <t>CN(CCc1ccccc1)C</t>
  </si>
  <si>
    <t>0.29</t>
  </si>
  <si>
    <t>1.8e-018</t>
  </si>
  <si>
    <t>7.9e-055</t>
  </si>
  <si>
    <t>3.382</t>
  </si>
  <si>
    <t>11.750</t>
  </si>
  <si>
    <t>Clc1cc(N2CCN(CCCCCN3c(c4NC3=O)cccc4)CC2)ccc1</t>
  </si>
  <si>
    <t>1.2e-016</t>
  </si>
  <si>
    <t>6.7e-054</t>
  </si>
  <si>
    <t>7.220</t>
  </si>
  <si>
    <t>NC(NN=Cc1c(c2[nH]c1)cc(O)cc2)=N</t>
  </si>
  <si>
    <t>0.47</t>
  </si>
  <si>
    <t>2.2e-011</t>
  </si>
  <si>
    <t>1.2e-032</t>
  </si>
  <si>
    <t>0.143</t>
  </si>
  <si>
    <t>0.870</t>
  </si>
  <si>
    <t>CN[C@@H](C)[C@@H](O)C1=CC=CC=C1</t>
  </si>
  <si>
    <t>OC(c1ccccc1)C2CCN(CCc3ccccc3)CC2</t>
  </si>
  <si>
    <t>1.6e-007</t>
  </si>
  <si>
    <t>4.7e-043</t>
  </si>
  <si>
    <t>1.625</t>
  </si>
  <si>
    <t>CN1C2=C(C3=C1C=CC=C3)C(=O)N(CC1=C(C)NC=N1)CC2</t>
  </si>
  <si>
    <t>Cn1c(c2c(c13)C(N(CCCC(c4ccc(F)cc4)=O)C5C3)CC5)cccc2</t>
  </si>
  <si>
    <t>1.6e-017</t>
  </si>
  <si>
    <t>KCNH7</t>
  </si>
  <si>
    <t>3.6e+002</t>
  </si>
  <si>
    <t>0.018</t>
  </si>
  <si>
    <t>0.190</t>
  </si>
  <si>
    <t>COc1cc(CCc2c(OCC(CN(C)C)O)cccc2)ccc1</t>
  </si>
  <si>
    <t>2.3e-037</t>
  </si>
  <si>
    <t>13.960</t>
  </si>
  <si>
    <t>COc1cc(c2cc1)CCC(C3CCN(Cc4ccccc4)CC3)C2=O</t>
  </si>
  <si>
    <t>1.7e-042</t>
  </si>
  <si>
    <t>8.0e-104</t>
  </si>
  <si>
    <t>8.206</t>
  </si>
  <si>
    <t>C[C@H](N)[C@H](O)C1=CC(O)=CC=C1</t>
  </si>
  <si>
    <t>CC(Cc1c(c2[nH]c1)cc(O)cc2)N</t>
  </si>
  <si>
    <t>1.3e-020</t>
  </si>
  <si>
    <t>7.380</t>
  </si>
  <si>
    <t>12.420</t>
  </si>
  <si>
    <t>CN(C)CCC1=CNC2=C1C=C(CN1C=NC=N1)C=C2</t>
  </si>
  <si>
    <t>CN(CCc1c(c2[nH]c1)cc(O)cc2)C</t>
  </si>
  <si>
    <t>0.61</t>
  </si>
  <si>
    <t>1.5e-006</t>
  </si>
  <si>
    <t>14.000</t>
  </si>
  <si>
    <t>OC(c1ccc(F)cc1)CC2CCN(CCc3ccccc3)CC2</t>
  </si>
  <si>
    <t>1.8e-031</t>
  </si>
  <si>
    <t>0.665</t>
  </si>
  <si>
    <t>4.280</t>
  </si>
  <si>
    <t>Cn1c(c2c(c13)CN(CCCOc4ccc(N)cc4)CC3)cccc2</t>
  </si>
  <si>
    <t>3.9e-017</t>
  </si>
  <si>
    <t>3.8e+001</t>
  </si>
  <si>
    <t>6.832</t>
  </si>
  <si>
    <t>CNCCc1c(c2[nH]c1)cc(OC)cc2</t>
  </si>
  <si>
    <t>1.3e-028</t>
  </si>
  <si>
    <t>0.197</t>
  </si>
  <si>
    <t>Cn1c(c2c(c13)CN(CCCC(c4ccc(F)cc4)O)CC3)cccc2</t>
  </si>
  <si>
    <t>0.39</t>
  </si>
  <si>
    <t>7.0e-031</t>
  </si>
  <si>
    <t>4.9e-034</t>
  </si>
  <si>
    <t>8.458</t>
  </si>
  <si>
    <t>3.4e-007</t>
  </si>
  <si>
    <t>7.3e+001</t>
  </si>
  <si>
    <t>0.377</t>
  </si>
  <si>
    <t>CCCCOc1cc(c2cc1)C(=NN3C(=O)N(CCCCN4CCCCC4)C(=O)C3)CCO2</t>
  </si>
  <si>
    <t>1.1e-014</t>
  </si>
  <si>
    <t>1.0e+002</t>
  </si>
  <si>
    <t>3.300</t>
  </si>
  <si>
    <t>CC(=O)OCC(=O)[C@@]4(O)CC[C@H]3[C@@H]2CCC1=CC(=O)CC[C@]1(C)C2=CC[C@@]34C</t>
  </si>
  <si>
    <t>CC#C[C@]1([C@](C)(C2CC1)CC=C(C23)[C@](Cc4ccc(C)cc4)(C(=C5)CC3)CCC5=O)O</t>
  </si>
  <si>
    <t>7.4e-024</t>
  </si>
  <si>
    <t>CYP19A1</t>
  </si>
  <si>
    <t>2.4e+003</t>
  </si>
  <si>
    <t>1.700</t>
  </si>
  <si>
    <t>Ethinyl estradiol</t>
  </si>
  <si>
    <t>[H][C@@]12CC[C@@](O)(C#C)[C@@]1(C)CC[C@]1([H])C3=C(CC[C@@]21[H])C=C(O)C=C3</t>
  </si>
  <si>
    <t>CC#C[C@@]1(C[C@@H]2[C@@](c(c3CC2)ccc(O)c3)(C)CC1)O</t>
  </si>
  <si>
    <t>0.85</t>
  </si>
  <si>
    <t>1.2e-006</t>
  </si>
  <si>
    <t>1.8e-042</t>
  </si>
  <si>
    <t>0.120</t>
  </si>
  <si>
    <t>[H][C@@]12CCC(=O)[C@@]1(C)CC[C@@]1([H])[C@@]2([H])CC(=C)C2=CC(=O)C=C[C@]12C</t>
  </si>
  <si>
    <t>C[C@@]1([C@](C(CO)=O)(O)CC2)[C@@H]2C3[C@@H]([C@](C)(C(=C4)CC3)C=CC4=O)[C@@H](O)C1</t>
  </si>
  <si>
    <t>1.0e-011</t>
  </si>
  <si>
    <t>9.6e-108</t>
  </si>
  <si>
    <t>6.760</t>
  </si>
  <si>
    <t>[H][C@@]12CC[C@](O)(C(C)=O)[C@@]1(C)CC[C@@]1([H])[C@@]2([H])C[C@H](C)C2=CC(=O)CC[C@]12C</t>
  </si>
  <si>
    <t>C[C@@H]1C([C@@]2(C)C([C@H]3C1)CC[C@@](C)([C@H]34)[C@](C(C)=O)(OC(C)=O)CC4)=CC(=O)CC2</t>
  </si>
  <si>
    <t>0.87</t>
  </si>
  <si>
    <t>8.3e-019</t>
  </si>
  <si>
    <t>6.0e-124</t>
  </si>
  <si>
    <t>0.001</t>
  </si>
  <si>
    <t>[H][C@@]12CC[C@@](O)(C#C)[C@@]1(C)CC[C@]1([H])C3=C(CC[C@@]21[H])C=C(OC)C=C3</t>
  </si>
  <si>
    <t>COc1cc(C)c([C@@H]2C([C@@H]3[C@H]4[C@]([C@@](C#CC)(O)CC4)(C)C2)=C(C(=C5)CC3)CCC5=O)cc1</t>
  </si>
  <si>
    <t>0.516</t>
  </si>
  <si>
    <t>[H][C@@]12CC[C@@](O)(C#C)[C@@]1(C)CC[C@]1([H])[C@@]3([H])CCC(=O)C=C3CC[C@@]21[H]</t>
  </si>
  <si>
    <t>CN(c1ccc([C@@H]2C([C@@H]3[C@H]4[C@]([C@@](C#C)(O)CC4)(C)C2)=C(C(=C5)CC3)CCC5=O)cc1)C(C)=O</t>
  </si>
  <si>
    <t>1.6e-020</t>
  </si>
  <si>
    <t>NR3C2</t>
  </si>
  <si>
    <t>4.2e-129</t>
  </si>
  <si>
    <t>0.082</t>
  </si>
  <si>
    <t>[H][C@@]12CC[C@@](O)(C#C)[C@@]1(C)CC[C@]1([H])C3=C(CC[C@@]21[H])C=C(OC1CCCC1)C=C3</t>
  </si>
  <si>
    <t>0.097</t>
  </si>
  <si>
    <t>C(C=CC1=CC=CC=C1)N1CCN(CC1)C(C1=CC=CC=C1)C1=CC=CC=C1</t>
  </si>
  <si>
    <t>C=CCN1CCN(C(c2ccc(c3cnccc3)cc2)c4ccccc4)CC1</t>
  </si>
  <si>
    <t>5.6e-015</t>
  </si>
  <si>
    <t>24.000</t>
  </si>
  <si>
    <t>CCC(C(c1ccc(O)cc1)C2CCN(CCc3ccccc3)CC2)=O</t>
  </si>
  <si>
    <t>9.9e-019</t>
  </si>
  <si>
    <t>2.8e-018</t>
  </si>
  <si>
    <t>4.978</t>
  </si>
  <si>
    <t>O=C(Nc1ccccc1)OCC(CN2CCCCC2)OC(=O)Nc3ccccc3</t>
  </si>
  <si>
    <t>CC([C@H](NC(Cc1ccccc1)=O)CN2CCCC2)C</t>
  </si>
  <si>
    <t>4.4e-007</t>
  </si>
  <si>
    <t>SCNN1A</t>
  </si>
  <si>
    <t>1.5e+001</t>
  </si>
  <si>
    <t>1.423</t>
  </si>
  <si>
    <t>CN(C(C(C(NCCc1ccccc1)=O)(C)C)c2cc(O)ccc2)CC3CC3</t>
  </si>
  <si>
    <t>0.68</t>
  </si>
  <si>
    <t>4.1e-027</t>
  </si>
  <si>
    <t>1.4e-015</t>
  </si>
  <si>
    <t>5.300</t>
  </si>
  <si>
    <t>COc1ccc(cc1)C(=O)Nc2ccccc2CCC3CCCCN3C</t>
  </si>
  <si>
    <t>COc1ccc(C(NCC(N([C@@H](c2ccccc2)CN3C[C@H](O)CC3)C)=O)=O)cc1</t>
  </si>
  <si>
    <t>9.3e-007</t>
  </si>
  <si>
    <t>3.603</t>
  </si>
  <si>
    <t>COC(=O)[C@@H]([C@H]1CCCCN1)C1=CC=CC=C1</t>
  </si>
  <si>
    <t>CNC(C(C(NCC1CCCCC1)=O)(C)C)c2ccccc2</t>
  </si>
  <si>
    <t>5.8e-013</t>
  </si>
  <si>
    <t>4.6e-014</t>
  </si>
  <si>
    <t>6.904</t>
  </si>
  <si>
    <t>2.6e-020</t>
  </si>
  <si>
    <t>6.1e-020</t>
  </si>
  <si>
    <t>10.263</t>
  </si>
  <si>
    <t>CC(C)N(CC[C@@H](C1=CC=CC=C1)C1=CC(C)=CC=C1O)C(C)C</t>
  </si>
  <si>
    <t>C[C@H](C(N(CCCc1ccccc1)C)=O)NC(C(Cc2c(C)cc(O)cc2C)N)=O</t>
  </si>
  <si>
    <t>1.1e-006</t>
  </si>
  <si>
    <t>7.2e-020</t>
  </si>
  <si>
    <t>6.711</t>
  </si>
  <si>
    <t>Fc1ccc(C(c2ccc(F)cc2)CCCN3CCC(N4c(c5NC4=O)cccc5)CC3)cc1</t>
  </si>
  <si>
    <t>0.56</t>
  </si>
  <si>
    <t>6.1e-015</t>
  </si>
  <si>
    <t>3.6e-020</t>
  </si>
  <si>
    <t>4.385</t>
  </si>
  <si>
    <t>2.000</t>
  </si>
  <si>
    <t>CNC(C(C(NCCc1ccccc1)=O)(C)C)c2ccccc2</t>
  </si>
  <si>
    <t>1.1e-008</t>
  </si>
  <si>
    <t>CACNA1G</t>
  </si>
  <si>
    <t>1.794</t>
  </si>
  <si>
    <t>CN(C(CCCOc1cc(c2cc1)CN(CC(N3CCCCC3)=O)C(N)=N2)=O)C4CCCCC4</t>
  </si>
  <si>
    <t>7.6e-017</t>
  </si>
  <si>
    <t>1.1e+002</t>
  </si>
  <si>
    <t>11.302</t>
  </si>
  <si>
    <t>COC1=C(CC2=CN(C)C3=C2C=C(NC(=O)OC2CCCC2)C=C3)C=CC(=C1)C(=O)NS(=O)(=O)C1=C(C)C=CC=C1</t>
  </si>
  <si>
    <t>COc1c(OC2CCCC2)cc(C(Nc3c(C)cccc3C)=O)cc1</t>
  </si>
  <si>
    <t>3.7e-006</t>
  </si>
  <si>
    <t>3.3e+001</t>
  </si>
  <si>
    <t>5.384</t>
  </si>
  <si>
    <t>[H][C@@]12C[C@]1([H])[C@@]1(C)C(=CC2=O)C(Cl)=C[C@@]2([H])[C@]3([H])CC[C@](O)(C(C)=O)[C@@]3(C)CC[C@]12[H]</t>
  </si>
  <si>
    <t>CC1([C@@](C#C)(O)CC2)C2C3C(C(C(=C4)CC3)CCC4=O)CC1</t>
  </si>
  <si>
    <t>1.2e-012</t>
  </si>
  <si>
    <t>2.9e-120</t>
  </si>
  <si>
    <t>0.003</t>
  </si>
  <si>
    <t>CC=C1[C@](C)(C2CC1=O)CCC(C23)[C@](C)(C(=C4)CC3)CCC4=O</t>
  </si>
  <si>
    <t>3.1e-006</t>
  </si>
  <si>
    <t>29.260</t>
  </si>
  <si>
    <t>Fluoxymesterone</t>
  </si>
  <si>
    <t>[H][C@@]12CC[C@](C)(O)[C@@]1(C)C[C@H](O)[C@@]1(F)[C@@]2([H])CCC2=CC(=O)CC[C@]12C</t>
  </si>
  <si>
    <t>C[C@@H]1[C@@](C(CO)=O)(OC(NC2CCCCC2)=O)[C@](C)([C@H]3C1)C[C@H](O)[C@@](F)([C@H]34)[C@](C)(C(=C5)CC4)C=CC5=O</t>
  </si>
  <si>
    <t>2.3e-016</t>
  </si>
  <si>
    <t>0.074</t>
  </si>
  <si>
    <t>[H][C@@]12CC[C@](O)(C(=O)CO)[C@@]1(C)C[C@]([H])(O)[C@@]1([H])[C@@]2([H])CCC2=CC(=O)CC[C@]12C</t>
  </si>
  <si>
    <t>CC([C@@H]1[C@](C)([C@H]2CC1)CC[C@@H]([C@H]23)[C@](C)(C(=C4)CC3)CCC4=O)=O</t>
  </si>
  <si>
    <t>0.88</t>
  </si>
  <si>
    <t>3.6e-021</t>
  </si>
  <si>
    <t>9.2e-120</t>
  </si>
  <si>
    <t>7.610</t>
  </si>
  <si>
    <t>0.91</t>
  </si>
  <si>
    <t>8.7e-022</t>
  </si>
  <si>
    <t>1.8e-118</t>
  </si>
  <si>
    <t>[H][C@@]12CC[C@](O)(C(=O)CO)[C@@]1(C)C[C@H](O)[C@@]1([H])[C@@]2([H])C[C@H](C)C2=CC(=O)C=C[C@]12C</t>
  </si>
  <si>
    <t>C[C@@H]1C([C@@]2(C)[C@@H]3C([C@H]4[C@]([C@](C(C)=O)(CC(C)=O)CC4)(C)CC3)C1)=CC(=O)CC2</t>
  </si>
  <si>
    <t>9.4e-014</t>
  </si>
  <si>
    <t>1.300</t>
  </si>
  <si>
    <t>[H][C@@]12CC[C@](O)(C(=O)CO)[C@@]1(C)CC(=O)[C@@]1([H])[C@@]2([H])CCC2=CC(=O)C=C[C@]12C</t>
  </si>
  <si>
    <t>3.7e-013</t>
  </si>
  <si>
    <t>23.284</t>
  </si>
  <si>
    <t>CCC(=O)[C@@]1(C)[C@H](C)CC2C3CCC4=CC(=O)C=C[C@]4(C)C3[C@@H](O)C[C@]12C</t>
  </si>
  <si>
    <t>CCCNC(O[C@@]1(C(CO)=O)[C@](C)([C@H]2C[C@@H]1C)C[C@H](O)[C@@](F)([C@H]23)[C@](C)(C(=C4)CC3)C=CC4=O)=O</t>
  </si>
  <si>
    <t>9.7e-014</t>
  </si>
  <si>
    <t>Testosterone propionate</t>
  </si>
  <si>
    <t>[H][C@@]12CC[C@H](OC(=O)CC)[C@@]1(C)CC[C@@]1([H])[C@@]2([H])CCC2=CC(=O)CC[C@]12C</t>
  </si>
  <si>
    <t>0.94</t>
  </si>
  <si>
    <t>3.0e-021</t>
  </si>
  <si>
    <t>0.328</t>
  </si>
  <si>
    <t>COC1=CC=C(C=C1)C(Cl)=C(C1=CC=C(OC)C=C1)C1=CC=C(OC)C=C1</t>
  </si>
  <si>
    <t>COc1cc2c(n(C(c3ccc(Cl)cc3)=O)c(C)c2CC(O)=O)cc1</t>
  </si>
  <si>
    <t>1.9e-017</t>
  </si>
  <si>
    <t>9.0e+002</t>
  </si>
  <si>
    <t>0.160</t>
  </si>
  <si>
    <t>CCC(=C(CC)C1=CC=C(O)C=C1)C1=CC=C(O)C=C1</t>
  </si>
  <si>
    <t>CCC(c1cc(O)cc(O)c1)=Cc2ccc(C(F)(F)F)cc2</t>
  </si>
  <si>
    <t>8.7e-010</t>
  </si>
  <si>
    <t>PDIA2</t>
  </si>
  <si>
    <t>1.3e+002</t>
  </si>
  <si>
    <t>25.000</t>
  </si>
  <si>
    <t>C(C(N1CCNCC1)Cc2ccccc2)Cc3ccccc3</t>
  </si>
  <si>
    <t>1.6e-012</t>
  </si>
  <si>
    <t>3.0e+001</t>
  </si>
  <si>
    <t>11.000</t>
  </si>
  <si>
    <t>CN(C)CCOC(C1=CC=CC=C1)C1=CC=CC=C1</t>
  </si>
  <si>
    <t>CN(CCCc1ccccc1)CCCN(CCOC(c2ccccc2)c3ccccc3)C</t>
  </si>
  <si>
    <t>8.7e-015</t>
  </si>
  <si>
    <t>5.2e+000</t>
  </si>
  <si>
    <t>4.800</t>
  </si>
  <si>
    <t>SLC6A5</t>
  </si>
  <si>
    <t>2.6e+001</t>
  </si>
  <si>
    <t>FC1=CC=C(C=C1)C(CCCN1CCC2(CC1)N(CNC2=O)C1=CC=CC=C1)C1=CC=C(F)C=C1</t>
  </si>
  <si>
    <t>Fc1ccc(C(c2ccc(F)cc2)OCCN3CCN(CCCc4ccccc4)CC3)cc1</t>
  </si>
  <si>
    <t>7.8e-008</t>
  </si>
  <si>
    <t>3.000</t>
  </si>
  <si>
    <t>COC(C1C2CCC(CN2C)CC1OC(c3ccccc3)=O)=O</t>
  </si>
  <si>
    <t>3.7e-015</t>
  </si>
  <si>
    <t>OC(c1ccc(F)cc1)CCCN(C2CC3)C3CC(c4ccccc4)C2</t>
  </si>
  <si>
    <t>2.6e-037</t>
  </si>
  <si>
    <t>2.5e-137</t>
  </si>
  <si>
    <t>3.620</t>
  </si>
  <si>
    <t>COc1ccc(CC(NCC(COc2c(C#N)c(Cl)ccc2)O)(C)C)cc1</t>
  </si>
  <si>
    <t>0.76</t>
  </si>
  <si>
    <t>1.9e-009</t>
  </si>
  <si>
    <t>CNC(C(c1ccccc1)(c2ccccc2)CCN3CCC(c4ccc(Cl)cc4)(O)CC3)=O</t>
  </si>
  <si>
    <t>6.1e+001</t>
  </si>
  <si>
    <t>0.419</t>
  </si>
  <si>
    <t>CC(CN(C)C)C(C)(O)Cc1ccc(Cl)cc1</t>
  </si>
  <si>
    <t>CN(CC(C1(CCCCC1)O)c2ccc(Cl)cc2)C</t>
  </si>
  <si>
    <t>3.4e-005</t>
  </si>
  <si>
    <t>3.2e+001</t>
  </si>
  <si>
    <t>17.800</t>
  </si>
  <si>
    <t>OC1(CCN(CCCC(=O)C2=CC=C(F)C=C2)CC1)C1=CC=C(Cl)C=C1</t>
  </si>
  <si>
    <t>CON=C(C(c1cc(Cl)c(Cl)cc1)CCN2CCC(c3ccccc3)(O)CC2)CN(C(c4cc(Cl)cc(Cl)c4)=O)C</t>
  </si>
  <si>
    <t>4.4e-013</t>
  </si>
  <si>
    <t>6.3e-021</t>
  </si>
  <si>
    <t>8.162</t>
  </si>
  <si>
    <t>o_name</t>
  </si>
  <si>
    <t>chembl</t>
  </si>
  <si>
    <t>E-value</t>
  </si>
  <si>
    <t>Max Tc</t>
  </si>
  <si>
    <t>Charge Filter</t>
  </si>
  <si>
    <t>Charge Probability</t>
  </si>
  <si>
    <t>o_chemblgene</t>
  </si>
  <si>
    <t>gene_id</t>
  </si>
  <si>
    <t>Prediction_id</t>
  </si>
  <si>
    <t>AA1R</t>
  </si>
  <si>
    <t>Pass</t>
  </si>
  <si>
    <t>AA1R_HUMAN</t>
  </si>
  <si>
    <t>AA1R_BOVIN</t>
  </si>
  <si>
    <t>AA2AR</t>
  </si>
  <si>
    <t>AA2AR_CAVPO</t>
  </si>
  <si>
    <t>AA2AR_HUMAN</t>
  </si>
  <si>
    <t>ADA1A</t>
  </si>
  <si>
    <t>ADA1A_BOVIN</t>
  </si>
  <si>
    <t>ADA1A_RAT</t>
  </si>
  <si>
    <t>ADA2A</t>
  </si>
  <si>
    <t>ADA2A_BOVIN</t>
  </si>
  <si>
    <t>ADA2A_RAT</t>
  </si>
  <si>
    <t>ADA2A_HUMAN</t>
  </si>
  <si>
    <t>ADA2B</t>
  </si>
  <si>
    <t>ADA2B_BOVIN</t>
  </si>
  <si>
    <t>ADA2B_RAT</t>
  </si>
  <si>
    <t>ADA2B_HUMAN</t>
  </si>
  <si>
    <t>ADA2C</t>
  </si>
  <si>
    <t>ADA2C_HUMAN</t>
  </si>
  <si>
    <t>ADA2C_RAT</t>
  </si>
  <si>
    <t>ADRB1_HUMAN</t>
  </si>
  <si>
    <t>ADRB1_RAT</t>
  </si>
  <si>
    <t>ADRB2_RAT</t>
  </si>
  <si>
    <t>ADRB2_BOVIN</t>
  </si>
  <si>
    <t>ADRB2_HUMAN</t>
  </si>
  <si>
    <t>ADRB2_CAVPO</t>
  </si>
  <si>
    <t>ADRB3_RAT</t>
  </si>
  <si>
    <t>ADRB3_HUMAN</t>
  </si>
  <si>
    <t>AGTR1_BOVIN</t>
  </si>
  <si>
    <t>AGTRA</t>
  </si>
  <si>
    <t>AGTRA_RAT</t>
  </si>
  <si>
    <t>AGTRB</t>
  </si>
  <si>
    <t>AGTRB_RAT</t>
  </si>
  <si>
    <t>ANDR</t>
  </si>
  <si>
    <t>ANDR_HUMAN</t>
  </si>
  <si>
    <t>ANDR_MOUSE</t>
  </si>
  <si>
    <t>CAC1B</t>
  </si>
  <si>
    <t>CAC1B_HUMAN</t>
  </si>
  <si>
    <t>CAC1C</t>
  </si>
  <si>
    <t>CAC1C_HUMAN</t>
  </si>
  <si>
    <t>CAC1C_RABIT</t>
  </si>
  <si>
    <t>CCKAR_HUMAN</t>
  </si>
  <si>
    <t>CCKAR_MOUSE</t>
  </si>
  <si>
    <t>CCKAR_RAT</t>
  </si>
  <si>
    <t>CNR1_RAT</t>
  </si>
  <si>
    <t>CNR1_HUMAN</t>
  </si>
  <si>
    <t>DRD1_RAT</t>
  </si>
  <si>
    <t>DRD1_HUMAN</t>
  </si>
  <si>
    <t>DRD1_BOVIN</t>
  </si>
  <si>
    <t>DRD1_PIG</t>
  </si>
  <si>
    <t>DRD2_HUMAN</t>
  </si>
  <si>
    <t>DRD2_RAT</t>
  </si>
  <si>
    <t>DRD2_BOVIN</t>
  </si>
  <si>
    <t>DRD2_MOUSE</t>
  </si>
  <si>
    <t>DRD3_HUMAN</t>
  </si>
  <si>
    <t>DRD3_RAT</t>
  </si>
  <si>
    <t>DRD4_HUMAN</t>
  </si>
  <si>
    <t>DRD4_RAT</t>
  </si>
  <si>
    <t>EDNRB_PIG</t>
  </si>
  <si>
    <t>ESR1_RAT</t>
  </si>
  <si>
    <t>ESR1_HUMAN</t>
  </si>
  <si>
    <t>ESR2_HUMAN</t>
  </si>
  <si>
    <t>GASR</t>
  </si>
  <si>
    <t>GASR_HUMAN</t>
  </si>
  <si>
    <t>GBRA1</t>
  </si>
  <si>
    <t>GBRA1_BOVIN</t>
  </si>
  <si>
    <t>GBRA1_RAT</t>
  </si>
  <si>
    <t>GBRA1_MOUSE</t>
  </si>
  <si>
    <t>GCR</t>
  </si>
  <si>
    <t>GCR_HUMAN</t>
  </si>
  <si>
    <t>GHSR_HUMAN</t>
  </si>
  <si>
    <t>HRH1_RAT</t>
  </si>
  <si>
    <t>HRH1_MOUSE</t>
  </si>
  <si>
    <t>HRH1_CAVPO</t>
  </si>
  <si>
    <t>HRH2_HUMAN</t>
  </si>
  <si>
    <t>HRH2_CAVPO</t>
  </si>
  <si>
    <t>HRH2_RAT</t>
  </si>
  <si>
    <t>HRH3_HUMAN</t>
  </si>
  <si>
    <t>HRH3_RAT</t>
  </si>
  <si>
    <t>5HT1A</t>
  </si>
  <si>
    <t>5HT1A_HUMAN</t>
  </si>
  <si>
    <t>5HT1A_RAT</t>
  </si>
  <si>
    <t>5HT2A</t>
  </si>
  <si>
    <t>5HT2A_RAT</t>
  </si>
  <si>
    <t>5HT2A_MOUSE</t>
  </si>
  <si>
    <t>5HT2A_HUMAN</t>
  </si>
  <si>
    <t>5HT2B</t>
  </si>
  <si>
    <t>5HT2B_RAT</t>
  </si>
  <si>
    <t>5HT2B_HUMAN</t>
  </si>
  <si>
    <t>5HT2B_MOUSE</t>
  </si>
  <si>
    <t>5HT2C</t>
  </si>
  <si>
    <t>5HT2C_RAT</t>
  </si>
  <si>
    <t>5HT2C_HUMAN</t>
  </si>
  <si>
    <t>5HT2C_MOUSE</t>
  </si>
  <si>
    <t>5HT3A</t>
  </si>
  <si>
    <t>5HT3A_HUMAN</t>
  </si>
  <si>
    <t>5HT3A_RAT</t>
  </si>
  <si>
    <t>5HT3A_MOUSE</t>
  </si>
  <si>
    <t>NK1R</t>
  </si>
  <si>
    <t>NK1R_HUMAN</t>
  </si>
  <si>
    <t>NMDZ1</t>
  </si>
  <si>
    <t>NMDZ1_RAT</t>
  </si>
  <si>
    <t>NMDZ1_HUMAN</t>
  </si>
  <si>
    <t>NPY1R_HUMAN</t>
  </si>
  <si>
    <t>NPY2R_HUMAN</t>
  </si>
  <si>
    <t>NR1I2_HUMAN</t>
  </si>
  <si>
    <t>NTR1</t>
  </si>
  <si>
    <t>NTR1_RAT</t>
  </si>
  <si>
    <t>NTR1_MOUSE</t>
  </si>
  <si>
    <t>OPRD</t>
  </si>
  <si>
    <t>OPRD_PIG</t>
  </si>
  <si>
    <t>OPRD_HUMAN</t>
  </si>
  <si>
    <t>OPRD_RAT</t>
  </si>
  <si>
    <t>OPRK</t>
  </si>
  <si>
    <t>OPRK_HUMAN</t>
  </si>
  <si>
    <t>OPRK_CAVPO</t>
  </si>
  <si>
    <t>OPRK_RAT</t>
  </si>
  <si>
    <t>OPRM</t>
  </si>
  <si>
    <t>OPRM_RAT</t>
  </si>
  <si>
    <t>OPRM_HUMAN</t>
  </si>
  <si>
    <t>OPRM_BOVIN</t>
  </si>
  <si>
    <t>OPRM_MOUSE</t>
  </si>
  <si>
    <t>PDE3A_HUMAN</t>
  </si>
  <si>
    <t>PDE4D_HUMAN</t>
  </si>
  <si>
    <t>PDE4D_MOUSE</t>
  </si>
  <si>
    <t>PDE4D_RAT</t>
  </si>
  <si>
    <t>PGH1</t>
  </si>
  <si>
    <t>PGH1_BOVIN</t>
  </si>
  <si>
    <t>PGH1_HUMAN</t>
  </si>
  <si>
    <t>PGH1_SHEEP</t>
  </si>
  <si>
    <t>PGH2</t>
  </si>
  <si>
    <t>PGH2_BOVIN</t>
  </si>
  <si>
    <t>PGH2_HUMAN</t>
  </si>
  <si>
    <t>PGH2_MOUSE</t>
  </si>
  <si>
    <t>PRGR</t>
  </si>
  <si>
    <t>PRGR_HUMAN</t>
  </si>
  <si>
    <t>S29A1</t>
  </si>
  <si>
    <t>S29A1_HUMAN</t>
  </si>
  <si>
    <t>SC6A2</t>
  </si>
  <si>
    <t>SC6A2_HUMAN</t>
  </si>
  <si>
    <t>SC6A3</t>
  </si>
  <si>
    <t>SC6A3_HUMAN</t>
  </si>
  <si>
    <t>SC6A3_RAT</t>
  </si>
  <si>
    <t>SC6A4</t>
  </si>
  <si>
    <t>SC6A4_HUMAN</t>
  </si>
  <si>
    <t>SC6A4_MACMU</t>
  </si>
  <si>
    <t>SCN5A_RAT</t>
  </si>
  <si>
    <t>TA2R</t>
  </si>
  <si>
    <t>TA2R_HUMAN</t>
  </si>
  <si>
    <t>TA2R_RAT</t>
  </si>
  <si>
    <t>V1AR</t>
  </si>
  <si>
    <t>V1AR_RAT</t>
  </si>
  <si>
    <t>V2R</t>
  </si>
  <si>
    <t>V2R_HUMAN</t>
  </si>
  <si>
    <t>V2R_RAT</t>
  </si>
  <si>
    <t>ACM1</t>
  </si>
  <si>
    <t>ACM1_HUMAN</t>
  </si>
  <si>
    <t>ACM1_MOUSE</t>
  </si>
  <si>
    <t>ACM2</t>
  </si>
  <si>
    <t>ACM2_HUMAN</t>
  </si>
  <si>
    <t>ACM2_MOUSE</t>
  </si>
  <si>
    <t>ACM3</t>
  </si>
  <si>
    <t>ACM3_RAT</t>
  </si>
  <si>
    <t>ACM3_HUMAN</t>
  </si>
  <si>
    <t xml:space="preserve">With uniprot </t>
  </si>
  <si>
    <t>with PDB bank</t>
  </si>
  <si>
    <t>Experiment_result</t>
  </si>
  <si>
    <t>Affinity uM</t>
    <phoneticPr fontId="3" type="noConversion"/>
  </si>
  <si>
    <t>Positive</t>
  </si>
  <si>
    <t>with uniprot</t>
  </si>
  <si>
    <t>with PDB Bank</t>
  </si>
  <si>
    <t>inactive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</si>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</sst>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0_ "/>
    <numFmt numFmtId="170" formatCode="0.0000_ "/>
  </numFmts>
  <fonts count="7" x14ac:knownFonts="1">
    <font>
      <sz val="12"/>
      <color theme="1"/>
      <name val="Aptos Narrow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Aptos Narrow"/>
      <family val="2"/>
      <charset val="134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99BBE8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99BBE8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99BBE8"/>
      </bottom>
      <diagonal/>
    </border>
    <border>
      <left style="thin">
        <color rgb="FFD0D0D0"/>
      </left>
      <right style="thin">
        <color rgb="FF99BBE8"/>
      </right>
      <top style="thin">
        <color rgb="FFD0D0D0"/>
      </top>
      <bottom style="thin">
        <color rgb="FF99BBE8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3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0" fillId="0" borderId="0" xfId="0" applyAlignment="1"/>
    <xf numFmtId="11" fontId="0" fillId="0" borderId="0" xfId="0" applyNumberFormat="1" applyAlignment="1"/>
    <xf numFmtId="0" fontId="6" fillId="0" borderId="0" xfId="0" applyFont="1" applyAlignment="1"/>
    <xf numFmtId="11" fontId="6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4187-7B4F-7548-980E-6E50E191D8BF}">
  <dimension ref="A1:AY133"/>
  <sheetViews>
    <sheetView topLeftCell="A111" zoomScale="75" workbookViewId="0">
      <selection activeCell="AD38" sqref="AD38"/>
    </sheetView>
  </sheetViews>
  <sheetFormatPr baseColWidth="10" defaultRowHeight="16" x14ac:dyDescent="0.2"/>
  <cols>
    <col min="3" max="3" width="14.5" customWidth="1"/>
    <col min="10" max="10" width="8.6640625" bestFit="1" customWidth="1"/>
    <col min="11" max="11" width="15.5" customWidth="1"/>
    <col min="12" max="12" width="17" style="4" bestFit="1" customWidth="1"/>
    <col min="13" max="13" width="13.83203125" style="4" bestFit="1" customWidth="1"/>
    <col min="14" max="14" width="13" style="4" bestFit="1" customWidth="1"/>
    <col min="17" max="17" width="13.1640625" customWidth="1"/>
    <col min="18" max="18" width="14" customWidth="1"/>
    <col min="19" max="19" width="10.6640625" customWidth="1"/>
  </cols>
  <sheetData>
    <row r="1" spans="1:39" x14ac:dyDescent="0.2">
      <c r="A1" t="s">
        <v>1107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1108</v>
      </c>
      <c r="H1" s="20" t="s">
        <v>1109</v>
      </c>
      <c r="I1" t="s">
        <v>1106</v>
      </c>
      <c r="J1" s="1" t="s">
        <v>0</v>
      </c>
      <c r="K1" s="1" t="s">
        <v>1</v>
      </c>
      <c r="L1" s="3" t="s">
        <v>2</v>
      </c>
      <c r="M1" s="3" t="s">
        <v>3</v>
      </c>
      <c r="N1" s="3" t="s">
        <v>4</v>
      </c>
      <c r="O1" s="6" t="s">
        <v>301</v>
      </c>
      <c r="Q1" s="8" t="s">
        <v>302</v>
      </c>
      <c r="R1" s="8" t="s">
        <v>303</v>
      </c>
      <c r="S1" s="8" t="s">
        <v>304</v>
      </c>
      <c r="T1" s="8" t="s">
        <v>305</v>
      </c>
      <c r="U1" s="8" t="s">
        <v>306</v>
      </c>
      <c r="V1" s="8" t="s">
        <v>307</v>
      </c>
      <c r="W1" s="8" t="s">
        <v>0</v>
      </c>
      <c r="X1" s="8" t="s">
        <v>308</v>
      </c>
      <c r="Y1" s="8" t="s">
        <v>309</v>
      </c>
      <c r="Z1" s="8" t="s">
        <v>310</v>
      </c>
      <c r="AA1" s="8" t="s">
        <v>311</v>
      </c>
    </row>
    <row r="2" spans="1:39" x14ac:dyDescent="0.2">
      <c r="B2" s="21" t="s">
        <v>5</v>
      </c>
      <c r="C2" s="21" t="s">
        <v>6</v>
      </c>
      <c r="D2" s="22">
        <v>0.91749745607376099</v>
      </c>
      <c r="E2" s="22">
        <v>-1.6217222213745099</v>
      </c>
      <c r="F2" s="22">
        <v>0.886177659034729</v>
      </c>
      <c r="G2" s="21" t="s">
        <v>1110</v>
      </c>
      <c r="H2" s="22">
        <f>POWER(10,E2)</f>
        <v>2.389339036844711E-2</v>
      </c>
      <c r="J2" s="2" t="s">
        <v>5</v>
      </c>
      <c r="K2" s="2" t="s">
        <v>6</v>
      </c>
      <c r="L2" s="5">
        <v>0.76311069726944003</v>
      </c>
      <c r="M2" s="5">
        <v>-0.75479602813720703</v>
      </c>
      <c r="N2" s="5">
        <v>0.91074883937835704</v>
      </c>
      <c r="O2" s="5">
        <f>EXP(M2)</f>
        <v>0.47010649344910505</v>
      </c>
      <c r="Q2" s="9" t="s">
        <v>6</v>
      </c>
      <c r="R2" s="9" t="s">
        <v>312</v>
      </c>
      <c r="S2" s="9" t="s">
        <v>313</v>
      </c>
      <c r="T2" s="9" t="s">
        <v>314</v>
      </c>
      <c r="U2" s="9" t="s">
        <v>314</v>
      </c>
      <c r="V2" s="9" t="s">
        <v>315</v>
      </c>
      <c r="W2" s="9" t="s">
        <v>5</v>
      </c>
      <c r="X2" s="9" t="s">
        <v>316</v>
      </c>
      <c r="Y2" s="9" t="s">
        <v>317</v>
      </c>
      <c r="Z2" s="9" t="s">
        <v>318</v>
      </c>
      <c r="AA2" s="10" t="s">
        <v>319</v>
      </c>
    </row>
    <row r="3" spans="1:39" x14ac:dyDescent="0.2">
      <c r="B3" s="21" t="s">
        <v>5</v>
      </c>
      <c r="C3" s="21" t="s">
        <v>7</v>
      </c>
      <c r="D3" s="22">
        <v>0.91559612751007102</v>
      </c>
      <c r="E3" s="22">
        <v>-1.5698872804641699</v>
      </c>
      <c r="F3" s="22">
        <v>0.88059759140014704</v>
      </c>
      <c r="G3" s="21" t="s">
        <v>1110</v>
      </c>
      <c r="H3" s="22">
        <f>POWER(10,E3)</f>
        <v>2.6922334725527224E-2</v>
      </c>
      <c r="J3" s="2" t="s">
        <v>5</v>
      </c>
      <c r="K3" s="2" t="s">
        <v>7</v>
      </c>
      <c r="L3" s="5">
        <v>0.77878826856613204</v>
      </c>
      <c r="M3" s="5">
        <v>-1.3247209787368801</v>
      </c>
      <c r="N3" s="5">
        <v>0.86779201030731201</v>
      </c>
      <c r="O3" s="5">
        <f t="shared" ref="O3:O66" si="0">EXP(M3)</f>
        <v>0.26587713411403596</v>
      </c>
      <c r="Q3" s="9" t="s">
        <v>7</v>
      </c>
      <c r="R3" s="9" t="s">
        <v>320</v>
      </c>
      <c r="S3" s="9" t="s">
        <v>321</v>
      </c>
      <c r="T3" s="9" t="s">
        <v>322</v>
      </c>
      <c r="U3" s="9" t="s">
        <v>322</v>
      </c>
      <c r="V3" s="9" t="s">
        <v>323</v>
      </c>
      <c r="W3" s="9" t="s">
        <v>5</v>
      </c>
      <c r="X3" s="9" t="s">
        <v>47</v>
      </c>
      <c r="Y3" s="9" t="s">
        <v>324</v>
      </c>
      <c r="Z3" s="9" t="s">
        <v>325</v>
      </c>
      <c r="AA3" s="10" t="s">
        <v>319</v>
      </c>
    </row>
    <row r="4" spans="1:39" x14ac:dyDescent="0.2">
      <c r="B4" s="21" t="s">
        <v>5</v>
      </c>
      <c r="C4" s="21" t="s">
        <v>8</v>
      </c>
      <c r="D4" s="22">
        <v>0.90772408246993996</v>
      </c>
      <c r="E4" s="22">
        <v>-0.114217206835747</v>
      </c>
      <c r="F4" s="22">
        <v>0.64782667160034202</v>
      </c>
      <c r="G4" s="21" t="s">
        <v>1110</v>
      </c>
      <c r="H4" s="22">
        <f>POWER(10,E4)</f>
        <v>0.76874586570283021</v>
      </c>
      <c r="J4" s="2" t="s">
        <v>5</v>
      </c>
      <c r="K4" s="2" t="s">
        <v>8</v>
      </c>
      <c r="L4" s="5">
        <v>0.74377852678298995</v>
      </c>
      <c r="M4" s="5">
        <v>7.6932229101657895E-2</v>
      </c>
      <c r="N4" s="5">
        <v>0.68900209665298495</v>
      </c>
      <c r="O4" s="5">
        <f t="shared" si="0"/>
        <v>1.0799688834510397</v>
      </c>
      <c r="Q4" s="9" t="s">
        <v>8</v>
      </c>
      <c r="R4" s="9" t="s">
        <v>326</v>
      </c>
      <c r="S4" s="9" t="s">
        <v>327</v>
      </c>
      <c r="T4" s="9" t="s">
        <v>328</v>
      </c>
      <c r="U4" s="9" t="s">
        <v>328</v>
      </c>
      <c r="V4" s="9" t="s">
        <v>329</v>
      </c>
      <c r="W4" s="9" t="s">
        <v>5</v>
      </c>
      <c r="X4" s="9" t="s">
        <v>330</v>
      </c>
      <c r="Y4" s="9" t="s">
        <v>331</v>
      </c>
      <c r="Z4" s="9" t="s">
        <v>332</v>
      </c>
      <c r="AA4" s="10" t="s">
        <v>319</v>
      </c>
    </row>
    <row r="5" spans="1:39" x14ac:dyDescent="0.2">
      <c r="B5" s="21" t="s">
        <v>5</v>
      </c>
      <c r="C5" s="21" t="s">
        <v>9</v>
      </c>
      <c r="D5" s="22">
        <v>0.91449111700057995</v>
      </c>
      <c r="E5" s="22">
        <v>-1.5621038675308201</v>
      </c>
      <c r="F5" s="22">
        <v>0.81607007980346702</v>
      </c>
      <c r="G5" s="21" t="s">
        <v>1110</v>
      </c>
      <c r="H5" s="22">
        <f>POWER(10,E5)</f>
        <v>2.7409185649557306E-2</v>
      </c>
      <c r="J5" s="2" t="s">
        <v>5</v>
      </c>
      <c r="K5" s="2" t="s">
        <v>9</v>
      </c>
      <c r="L5" s="5">
        <v>0.75478279590606701</v>
      </c>
      <c r="M5" s="5">
        <v>-1.71131014823914</v>
      </c>
      <c r="N5" s="5">
        <v>0.85281723737716697</v>
      </c>
      <c r="O5" s="5">
        <f t="shared" si="0"/>
        <v>0.18062898677665443</v>
      </c>
      <c r="Q5" s="9" t="s">
        <v>9</v>
      </c>
      <c r="R5" s="9" t="s">
        <v>333</v>
      </c>
      <c r="S5" s="9" t="s">
        <v>313</v>
      </c>
      <c r="T5" s="9" t="s">
        <v>334</v>
      </c>
      <c r="U5" s="9" t="s">
        <v>334</v>
      </c>
      <c r="V5" s="9" t="s">
        <v>335</v>
      </c>
      <c r="W5" s="9" t="s">
        <v>5</v>
      </c>
      <c r="X5" s="9" t="s">
        <v>68</v>
      </c>
      <c r="Y5" s="9" t="s">
        <v>336</v>
      </c>
      <c r="Z5" s="9" t="s">
        <v>337</v>
      </c>
      <c r="AA5" s="10" t="s">
        <v>319</v>
      </c>
      <c r="AC5" s="9" t="s">
        <v>9</v>
      </c>
      <c r="AD5" s="9" t="s">
        <v>333</v>
      </c>
      <c r="AE5" s="9" t="s">
        <v>313</v>
      </c>
      <c r="AF5" s="9" t="s">
        <v>334</v>
      </c>
      <c r="AG5" s="9" t="s">
        <v>334</v>
      </c>
      <c r="AH5" s="9" t="s">
        <v>335</v>
      </c>
      <c r="AI5" s="9" t="s">
        <v>5</v>
      </c>
      <c r="AJ5" s="9" t="s">
        <v>68</v>
      </c>
      <c r="AK5" s="9" t="s">
        <v>336</v>
      </c>
      <c r="AL5" s="9" t="s">
        <v>343</v>
      </c>
      <c r="AM5" s="10" t="s">
        <v>344</v>
      </c>
    </row>
    <row r="6" spans="1:39" x14ac:dyDescent="0.2">
      <c r="B6" s="21" t="s">
        <v>5</v>
      </c>
      <c r="C6" s="21" t="s">
        <v>10</v>
      </c>
      <c r="D6" s="22">
        <v>0.92222195863723799</v>
      </c>
      <c r="E6" s="22">
        <v>-0.49306851625442499</v>
      </c>
      <c r="F6" s="22">
        <v>0.81229531764984098</v>
      </c>
      <c r="G6" s="21" t="s">
        <v>1110</v>
      </c>
      <c r="H6" s="22">
        <f>POWER(10,E6)</f>
        <v>0.32131535770640945</v>
      </c>
      <c r="J6" s="2" t="s">
        <v>5</v>
      </c>
      <c r="K6" s="2" t="s">
        <v>10</v>
      </c>
      <c r="L6" s="5">
        <v>0.77383589744567904</v>
      </c>
      <c r="M6" s="5">
        <v>-0.25517329573631298</v>
      </c>
      <c r="N6" s="5">
        <v>0.86779165267944303</v>
      </c>
      <c r="O6" s="5">
        <f t="shared" si="0"/>
        <v>0.77478221987123197</v>
      </c>
      <c r="Q6" s="9" t="s">
        <v>10</v>
      </c>
      <c r="R6" s="9" t="s">
        <v>338</v>
      </c>
      <c r="S6" s="9" t="s">
        <v>339</v>
      </c>
      <c r="T6" s="9" t="s">
        <v>322</v>
      </c>
      <c r="U6" s="9" t="s">
        <v>322</v>
      </c>
      <c r="V6" s="9" t="s">
        <v>340</v>
      </c>
      <c r="W6" s="9" t="s">
        <v>5</v>
      </c>
      <c r="X6" s="9" t="s">
        <v>93</v>
      </c>
      <c r="Y6" s="9" t="s">
        <v>341</v>
      </c>
      <c r="Z6" s="9" t="s">
        <v>342</v>
      </c>
      <c r="AA6" s="10" t="s">
        <v>319</v>
      </c>
      <c r="AC6" s="9" t="s">
        <v>10</v>
      </c>
      <c r="AD6" s="9" t="s">
        <v>338</v>
      </c>
      <c r="AE6" s="9" t="s">
        <v>339</v>
      </c>
      <c r="AF6" s="9" t="s">
        <v>322</v>
      </c>
      <c r="AG6" s="9" t="s">
        <v>322</v>
      </c>
      <c r="AH6" s="9" t="s">
        <v>340</v>
      </c>
      <c r="AI6" s="9" t="s">
        <v>5</v>
      </c>
      <c r="AJ6" s="9" t="s">
        <v>93</v>
      </c>
      <c r="AK6" s="9" t="s">
        <v>341</v>
      </c>
      <c r="AL6" s="9" t="s">
        <v>345</v>
      </c>
      <c r="AM6" s="10" t="s">
        <v>344</v>
      </c>
    </row>
    <row r="7" spans="1:39" x14ac:dyDescent="0.2">
      <c r="B7" s="21" t="s">
        <v>5</v>
      </c>
      <c r="C7" s="21" t="s">
        <v>11</v>
      </c>
      <c r="D7" s="22">
        <v>0.92280513048171997</v>
      </c>
      <c r="E7" s="22">
        <v>-1.92823970317841</v>
      </c>
      <c r="F7" s="22">
        <v>0.91925263404846203</v>
      </c>
      <c r="G7" s="21" t="s">
        <v>1110</v>
      </c>
      <c r="H7" s="22">
        <f>POWER(10,E7)</f>
        <v>1.1796693528120177E-2</v>
      </c>
      <c r="J7" s="2" t="s">
        <v>5</v>
      </c>
      <c r="K7" s="2" t="s">
        <v>11</v>
      </c>
      <c r="L7" s="5">
        <v>0.74685370922088601</v>
      </c>
      <c r="M7" s="5">
        <v>-1.63219082355499</v>
      </c>
      <c r="N7" s="5">
        <v>0.91682100296020497</v>
      </c>
      <c r="O7" s="5">
        <f t="shared" si="0"/>
        <v>0.19550079685996155</v>
      </c>
      <c r="Q7" s="9" t="s">
        <v>11</v>
      </c>
      <c r="R7" s="9" t="s">
        <v>346</v>
      </c>
      <c r="S7" s="9" t="s">
        <v>313</v>
      </c>
      <c r="T7" s="9" t="s">
        <v>347</v>
      </c>
      <c r="U7" s="9" t="s">
        <v>347</v>
      </c>
      <c r="V7" s="9" t="s">
        <v>348</v>
      </c>
      <c r="W7" s="9" t="s">
        <v>5</v>
      </c>
      <c r="X7" s="9" t="s">
        <v>349</v>
      </c>
      <c r="Y7" s="9" t="s">
        <v>350</v>
      </c>
      <c r="Z7" s="9" t="s">
        <v>351</v>
      </c>
      <c r="AA7" s="10" t="s">
        <v>319</v>
      </c>
      <c r="AC7" s="9" t="s">
        <v>11</v>
      </c>
      <c r="AD7" s="9" t="s">
        <v>346</v>
      </c>
      <c r="AE7" s="9" t="s">
        <v>313</v>
      </c>
      <c r="AF7" s="9" t="s">
        <v>347</v>
      </c>
      <c r="AG7" s="9" t="s">
        <v>347</v>
      </c>
      <c r="AH7" s="9" t="s">
        <v>348</v>
      </c>
      <c r="AI7" s="9" t="s">
        <v>5</v>
      </c>
      <c r="AJ7" s="9" t="s">
        <v>349</v>
      </c>
      <c r="AK7" s="9" t="s">
        <v>350</v>
      </c>
      <c r="AL7" s="9" t="s">
        <v>352</v>
      </c>
      <c r="AM7" s="10" t="s">
        <v>344</v>
      </c>
    </row>
    <row r="8" spans="1:39" x14ac:dyDescent="0.2">
      <c r="B8" s="21" t="s">
        <v>5</v>
      </c>
      <c r="C8" s="21" t="s">
        <v>12</v>
      </c>
      <c r="D8" s="22">
        <v>0.86595726013183605</v>
      </c>
      <c r="E8" s="22">
        <v>0.78769999742507901</v>
      </c>
      <c r="F8" s="22">
        <v>0.53559160232544001</v>
      </c>
      <c r="G8" s="21" t="s">
        <v>1110</v>
      </c>
      <c r="H8" s="22">
        <f>POWER(10,E8)</f>
        <v>6.1333817615615693</v>
      </c>
      <c r="J8" s="2" t="s">
        <v>5</v>
      </c>
      <c r="K8" s="2" t="s">
        <v>12</v>
      </c>
      <c r="L8" s="5">
        <v>0.73461568355560303</v>
      </c>
      <c r="M8" s="5">
        <v>0.29772275686263999</v>
      </c>
      <c r="N8" s="5">
        <v>0.78111058473587003</v>
      </c>
      <c r="O8" s="5">
        <f t="shared" si="0"/>
        <v>1.3467883482881249</v>
      </c>
      <c r="Q8" s="9" t="s">
        <v>12</v>
      </c>
      <c r="R8" s="9" t="s">
        <v>353</v>
      </c>
      <c r="S8" s="9" t="s">
        <v>354</v>
      </c>
      <c r="T8" s="9" t="s">
        <v>355</v>
      </c>
      <c r="U8" s="9" t="s">
        <v>356</v>
      </c>
      <c r="V8" s="9" t="s">
        <v>357</v>
      </c>
      <c r="W8" s="9" t="s">
        <v>5</v>
      </c>
      <c r="X8" s="9" t="s">
        <v>358</v>
      </c>
      <c r="Y8" s="9" t="s">
        <v>359</v>
      </c>
      <c r="Z8" s="9" t="s">
        <v>360</v>
      </c>
      <c r="AA8" s="10" t="s">
        <v>319</v>
      </c>
    </row>
    <row r="9" spans="1:39" x14ac:dyDescent="0.2">
      <c r="B9" s="21" t="s">
        <v>5</v>
      </c>
      <c r="C9" s="21" t="s">
        <v>13</v>
      </c>
      <c r="D9" s="22">
        <v>0.88022154569625899</v>
      </c>
      <c r="E9" s="22">
        <v>-0.93594509363174405</v>
      </c>
      <c r="F9" s="22">
        <v>0.71724861860275302</v>
      </c>
      <c r="G9" s="21" t="s">
        <v>1110</v>
      </c>
      <c r="H9" s="22">
        <f>POWER(10,E9)</f>
        <v>0.11589238656802596</v>
      </c>
      <c r="J9" s="2" t="s">
        <v>5</v>
      </c>
      <c r="K9" s="2" t="s">
        <v>13</v>
      </c>
      <c r="L9" s="5">
        <v>0.74224615097045898</v>
      </c>
      <c r="M9" s="5">
        <v>-1.3461102247238199</v>
      </c>
      <c r="N9" s="5">
        <v>0.805228590965271</v>
      </c>
      <c r="O9" s="5">
        <f t="shared" si="0"/>
        <v>0.26025061074584954</v>
      </c>
      <c r="Q9" s="9" t="s">
        <v>13</v>
      </c>
      <c r="R9" s="9" t="s">
        <v>361</v>
      </c>
      <c r="S9" s="9" t="s">
        <v>354</v>
      </c>
      <c r="T9" s="9" t="s">
        <v>362</v>
      </c>
      <c r="U9" s="9" t="s">
        <v>363</v>
      </c>
      <c r="V9" s="9" t="s">
        <v>364</v>
      </c>
      <c r="W9" s="9" t="s">
        <v>5</v>
      </c>
      <c r="X9" s="9" t="s">
        <v>330</v>
      </c>
      <c r="Y9" s="9" t="s">
        <v>331</v>
      </c>
      <c r="Z9" s="9" t="s">
        <v>365</v>
      </c>
      <c r="AA9" s="10" t="s">
        <v>319</v>
      </c>
    </row>
    <row r="10" spans="1:39" x14ac:dyDescent="0.2">
      <c r="B10" s="21" t="s">
        <v>5</v>
      </c>
      <c r="C10" s="21" t="s">
        <v>14</v>
      </c>
      <c r="D10" s="22">
        <v>0.92120820283889804</v>
      </c>
      <c r="E10" s="22">
        <v>6.6061191260814695E-2</v>
      </c>
      <c r="F10" s="22">
        <v>0.70714628696441695</v>
      </c>
      <c r="G10" s="21" t="s">
        <v>1110</v>
      </c>
      <c r="H10" s="22">
        <f>POWER(10,E10)</f>
        <v>1.164290064094518</v>
      </c>
      <c r="J10" s="2" t="s">
        <v>5</v>
      </c>
      <c r="K10" s="2" t="s">
        <v>14</v>
      </c>
      <c r="L10" s="5">
        <v>0.75607711076736495</v>
      </c>
      <c r="M10" s="5">
        <v>5.8555528521537798E-3</v>
      </c>
      <c r="N10" s="5">
        <v>0.73450088500976596</v>
      </c>
      <c r="O10" s="5">
        <f t="shared" si="0"/>
        <v>1.0058727301128421</v>
      </c>
      <c r="Q10" s="9" t="s">
        <v>14</v>
      </c>
      <c r="R10" s="9" t="s">
        <v>366</v>
      </c>
      <c r="S10" s="9" t="s">
        <v>367</v>
      </c>
      <c r="T10" s="9" t="s">
        <v>368</v>
      </c>
      <c r="U10" s="9" t="s">
        <v>369</v>
      </c>
      <c r="V10" s="9" t="s">
        <v>370</v>
      </c>
      <c r="W10" s="9" t="s">
        <v>5</v>
      </c>
      <c r="X10" s="9" t="s">
        <v>61</v>
      </c>
      <c r="Y10" s="9" t="s">
        <v>371</v>
      </c>
      <c r="Z10" s="9" t="s">
        <v>372</v>
      </c>
      <c r="AA10" s="10" t="s">
        <v>319</v>
      </c>
    </row>
    <row r="11" spans="1:39" x14ac:dyDescent="0.2">
      <c r="B11" s="21" t="s">
        <v>15</v>
      </c>
      <c r="C11" s="21" t="s">
        <v>16</v>
      </c>
      <c r="D11" s="22">
        <v>0.670485138893127</v>
      </c>
      <c r="E11" s="22">
        <v>-1.2740451097488401</v>
      </c>
      <c r="F11" s="22">
        <v>0.84486663341522195</v>
      </c>
      <c r="G11" s="21" t="s">
        <v>1110</v>
      </c>
      <c r="H11" s="22">
        <f>POWER(10,E11)</f>
        <v>5.3205299256556628E-2</v>
      </c>
      <c r="J11" s="2" t="s">
        <v>15</v>
      </c>
      <c r="K11" s="2" t="s">
        <v>16</v>
      </c>
      <c r="L11" s="5">
        <v>0.73124027252197299</v>
      </c>
      <c r="M11" s="5">
        <v>-0.87404161691665705</v>
      </c>
      <c r="N11" s="5">
        <v>0.93141192197799705</v>
      </c>
      <c r="O11" s="5">
        <f t="shared" si="0"/>
        <v>0.41726172469092354</v>
      </c>
      <c r="Q11" s="9" t="s">
        <v>16</v>
      </c>
      <c r="R11" s="9" t="s">
        <v>373</v>
      </c>
      <c r="S11" s="9" t="s">
        <v>374</v>
      </c>
      <c r="T11" s="9" t="s">
        <v>375</v>
      </c>
      <c r="U11" s="9" t="s">
        <v>376</v>
      </c>
      <c r="V11" s="9" t="s">
        <v>377</v>
      </c>
      <c r="W11" s="9" t="s">
        <v>15</v>
      </c>
      <c r="X11" s="9" t="s">
        <v>378</v>
      </c>
      <c r="Y11" s="9" t="s">
        <v>379</v>
      </c>
      <c r="Z11" s="9" t="s">
        <v>381</v>
      </c>
      <c r="AA11" s="10" t="s">
        <v>319</v>
      </c>
      <c r="AC11" s="9" t="s">
        <v>16</v>
      </c>
      <c r="AD11" s="9" t="s">
        <v>373</v>
      </c>
      <c r="AE11" s="9" t="s">
        <v>374</v>
      </c>
      <c r="AF11" s="9" t="s">
        <v>375</v>
      </c>
      <c r="AG11" s="9" t="s">
        <v>376</v>
      </c>
      <c r="AH11" s="9" t="s">
        <v>377</v>
      </c>
      <c r="AI11" s="9" t="s">
        <v>15</v>
      </c>
      <c r="AJ11" s="9" t="s">
        <v>378</v>
      </c>
      <c r="AK11" s="9" t="s">
        <v>379</v>
      </c>
      <c r="AL11" s="9" t="s">
        <v>380</v>
      </c>
      <c r="AM11" s="10" t="s">
        <v>344</v>
      </c>
    </row>
    <row r="12" spans="1:39" x14ac:dyDescent="0.2">
      <c r="B12" s="21" t="s">
        <v>15</v>
      </c>
      <c r="C12" s="21" t="s">
        <v>17</v>
      </c>
      <c r="D12" s="22">
        <v>0.69625496864318903</v>
      </c>
      <c r="E12" s="22">
        <v>-9.3227297067642198E-2</v>
      </c>
      <c r="F12" s="22">
        <v>0.38139584660530101</v>
      </c>
      <c r="G12" s="21" t="s">
        <v>1110</v>
      </c>
      <c r="H12" s="22">
        <f>POWER(10,E12)</f>
        <v>0.80681265751170295</v>
      </c>
      <c r="J12" s="2" t="s">
        <v>15</v>
      </c>
      <c r="K12" s="2" t="s">
        <v>17</v>
      </c>
      <c r="L12" s="5">
        <v>0.74259173870086703</v>
      </c>
      <c r="M12" s="5">
        <v>-0.41105884313583402</v>
      </c>
      <c r="N12" s="5">
        <v>0.84994965791702304</v>
      </c>
      <c r="O12" s="5">
        <f t="shared" si="0"/>
        <v>0.66294792051843354</v>
      </c>
      <c r="Q12" s="9" t="s">
        <v>17</v>
      </c>
      <c r="R12" s="9" t="s">
        <v>382</v>
      </c>
      <c r="S12" s="9" t="s">
        <v>383</v>
      </c>
      <c r="T12" s="9" t="s">
        <v>322</v>
      </c>
      <c r="U12" s="9" t="s">
        <v>384</v>
      </c>
      <c r="V12" s="9" t="s">
        <v>385</v>
      </c>
      <c r="W12" s="9" t="s">
        <v>15</v>
      </c>
      <c r="X12" s="9" t="s">
        <v>386</v>
      </c>
      <c r="Y12" s="9" t="s">
        <v>387</v>
      </c>
      <c r="Z12" s="9" t="s">
        <v>388</v>
      </c>
      <c r="AA12" s="10" t="s">
        <v>319</v>
      </c>
    </row>
    <row r="13" spans="1:39" x14ac:dyDescent="0.2">
      <c r="B13" s="21" t="s">
        <v>15</v>
      </c>
      <c r="C13" s="21" t="s">
        <v>18</v>
      </c>
      <c r="D13" s="22">
        <v>0.70230638980865501</v>
      </c>
      <c r="E13" s="22">
        <v>0.72254860401153598</v>
      </c>
      <c r="F13" s="22">
        <v>0.56107074022293102</v>
      </c>
      <c r="G13" s="21" t="s">
        <v>1110</v>
      </c>
      <c r="H13" s="22">
        <f>POWER(10,E13)</f>
        <v>5.2789628292092132</v>
      </c>
      <c r="J13" s="2" t="s">
        <v>15</v>
      </c>
      <c r="K13" s="2" t="s">
        <v>18</v>
      </c>
      <c r="L13" s="5">
        <v>0.71426051855087302</v>
      </c>
      <c r="M13" s="5">
        <v>-1.3979126214981099</v>
      </c>
      <c r="N13" s="5">
        <v>0.84050381183624301</v>
      </c>
      <c r="O13" s="5">
        <f t="shared" si="0"/>
        <v>0.24711224274662405</v>
      </c>
      <c r="Q13" s="9" t="s">
        <v>18</v>
      </c>
      <c r="R13" s="9" t="s">
        <v>389</v>
      </c>
      <c r="S13" s="9" t="s">
        <v>390</v>
      </c>
      <c r="T13" s="9" t="s">
        <v>391</v>
      </c>
      <c r="U13" s="9" t="s">
        <v>392</v>
      </c>
      <c r="V13" s="9" t="s">
        <v>393</v>
      </c>
      <c r="W13" s="9" t="s">
        <v>15</v>
      </c>
      <c r="X13" s="9" t="s">
        <v>40</v>
      </c>
      <c r="Y13" s="9" t="s">
        <v>394</v>
      </c>
      <c r="Z13" s="9" t="s">
        <v>395</v>
      </c>
      <c r="AA13" s="10" t="s">
        <v>319</v>
      </c>
    </row>
    <row r="14" spans="1:39" x14ac:dyDescent="0.2">
      <c r="B14" s="21" t="s">
        <v>15</v>
      </c>
      <c r="C14" s="21" t="s">
        <v>19</v>
      </c>
      <c r="D14" s="22">
        <v>0.65834105014801003</v>
      </c>
      <c r="E14" s="22">
        <v>-0.36056393384933499</v>
      </c>
      <c r="F14" s="22">
        <v>0.43206736445426902</v>
      </c>
      <c r="G14" s="21" t="s">
        <v>1110</v>
      </c>
      <c r="H14" s="22">
        <f>POWER(10,E14)</f>
        <v>0.43594938180395731</v>
      </c>
      <c r="J14" s="2" t="s">
        <v>15</v>
      </c>
      <c r="K14" s="2" t="s">
        <v>19</v>
      </c>
      <c r="L14" s="5">
        <v>0.72059577703475997</v>
      </c>
      <c r="M14" s="5">
        <v>-1.5275475978851301</v>
      </c>
      <c r="N14" s="5">
        <v>0.95360654592514005</v>
      </c>
      <c r="O14" s="5">
        <f t="shared" si="0"/>
        <v>0.2170673515297481</v>
      </c>
      <c r="Q14" s="9" t="s">
        <v>19</v>
      </c>
      <c r="R14" s="9" t="s">
        <v>396</v>
      </c>
      <c r="S14" s="9" t="s">
        <v>397</v>
      </c>
      <c r="T14" s="9" t="s">
        <v>398</v>
      </c>
      <c r="U14" s="9" t="s">
        <v>369</v>
      </c>
      <c r="V14" s="9" t="s">
        <v>399</v>
      </c>
      <c r="W14" s="9" t="s">
        <v>15</v>
      </c>
      <c r="X14" s="9" t="s">
        <v>31</v>
      </c>
      <c r="Y14" s="9" t="s">
        <v>400</v>
      </c>
      <c r="Z14" s="9" t="s">
        <v>401</v>
      </c>
      <c r="AA14" s="10" t="s">
        <v>319</v>
      </c>
    </row>
    <row r="15" spans="1:39" x14ac:dyDescent="0.2">
      <c r="B15" s="21" t="s">
        <v>15</v>
      </c>
      <c r="C15" s="21" t="s">
        <v>20</v>
      </c>
      <c r="D15" s="22">
        <v>0.74385976791381803</v>
      </c>
      <c r="E15" s="22">
        <v>0.68989050388336204</v>
      </c>
      <c r="F15" s="22">
        <v>0.55986118316650402</v>
      </c>
      <c r="G15" s="21" t="s">
        <v>1110</v>
      </c>
      <c r="H15" s="22">
        <f>POWER(10,E15)</f>
        <v>4.8965534987719597</v>
      </c>
      <c r="J15" s="2" t="s">
        <v>15</v>
      </c>
      <c r="K15" s="2" t="s">
        <v>20</v>
      </c>
      <c r="L15" s="5">
        <v>0.72830086946487405</v>
      </c>
      <c r="M15" s="5">
        <v>0.25697016716003401</v>
      </c>
      <c r="N15" s="5">
        <v>0.231202661991119</v>
      </c>
      <c r="O15" s="5">
        <f t="shared" si="0"/>
        <v>1.2930065521264165</v>
      </c>
      <c r="Q15" s="9" t="s">
        <v>20</v>
      </c>
      <c r="R15" s="9" t="s">
        <v>402</v>
      </c>
      <c r="S15" s="9" t="s">
        <v>403</v>
      </c>
      <c r="T15" s="9" t="s">
        <v>404</v>
      </c>
      <c r="U15" s="9" t="s">
        <v>404</v>
      </c>
      <c r="V15" s="9" t="s">
        <v>405</v>
      </c>
      <c r="W15" s="9" t="s">
        <v>15</v>
      </c>
      <c r="X15" s="9" t="s">
        <v>406</v>
      </c>
      <c r="Y15" s="9" t="s">
        <v>407</v>
      </c>
      <c r="Z15" s="9" t="s">
        <v>408</v>
      </c>
      <c r="AA15" s="10" t="s">
        <v>319</v>
      </c>
    </row>
    <row r="16" spans="1:39" x14ac:dyDescent="0.2">
      <c r="B16" s="21" t="s">
        <v>15</v>
      </c>
      <c r="C16" s="21" t="s">
        <v>21</v>
      </c>
      <c r="D16" s="22">
        <v>0.69281333684921298</v>
      </c>
      <c r="E16" s="22">
        <v>0.17820303142070801</v>
      </c>
      <c r="F16" s="22">
        <v>0.68320173025131203</v>
      </c>
      <c r="G16" s="21" t="s">
        <v>1110</v>
      </c>
      <c r="H16" s="22">
        <f>POWER(10,E16)</f>
        <v>1.5073115653180991</v>
      </c>
      <c r="J16" s="2" t="s">
        <v>15</v>
      </c>
      <c r="K16" s="2" t="s">
        <v>21</v>
      </c>
      <c r="L16" s="5">
        <v>0.72669607400894198</v>
      </c>
      <c r="M16" s="5">
        <v>-1.2702674865722701</v>
      </c>
      <c r="N16" s="5">
        <v>0.71844410896301303</v>
      </c>
      <c r="O16" s="5">
        <f t="shared" si="0"/>
        <v>0.2807565131362097</v>
      </c>
      <c r="Q16" s="9" t="s">
        <v>21</v>
      </c>
      <c r="R16" s="9" t="s">
        <v>409</v>
      </c>
      <c r="S16" s="9" t="s">
        <v>410</v>
      </c>
      <c r="T16" s="9" t="s">
        <v>328</v>
      </c>
      <c r="U16" s="9" t="s">
        <v>411</v>
      </c>
      <c r="V16" s="9" t="s">
        <v>412</v>
      </c>
      <c r="W16" s="9" t="s">
        <v>15</v>
      </c>
      <c r="X16" s="9" t="s">
        <v>93</v>
      </c>
      <c r="Y16" s="9" t="s">
        <v>413</v>
      </c>
      <c r="Z16" s="9" t="s">
        <v>414</v>
      </c>
      <c r="AA16" s="10" t="s">
        <v>319</v>
      </c>
      <c r="AC16" s="9" t="s">
        <v>21</v>
      </c>
      <c r="AD16" s="9" t="s">
        <v>409</v>
      </c>
      <c r="AE16" s="9" t="s">
        <v>410</v>
      </c>
      <c r="AF16" s="9" t="s">
        <v>328</v>
      </c>
      <c r="AG16" s="9" t="s">
        <v>411</v>
      </c>
      <c r="AH16" s="9" t="s">
        <v>412</v>
      </c>
      <c r="AI16" s="9" t="s">
        <v>15</v>
      </c>
      <c r="AJ16" s="9" t="s">
        <v>93</v>
      </c>
      <c r="AK16" s="9" t="s">
        <v>413</v>
      </c>
      <c r="AL16" s="9" t="s">
        <v>414</v>
      </c>
      <c r="AM16" s="10" t="s">
        <v>344</v>
      </c>
    </row>
    <row r="17" spans="2:39" x14ac:dyDescent="0.2">
      <c r="B17" s="21" t="s">
        <v>15</v>
      </c>
      <c r="C17" s="21" t="s">
        <v>11</v>
      </c>
      <c r="D17" s="22">
        <v>0.71487271785736095</v>
      </c>
      <c r="E17" s="22">
        <v>9.5968589186668396E-2</v>
      </c>
      <c r="F17" s="22">
        <v>0.73594617843627896</v>
      </c>
      <c r="G17" s="21" t="s">
        <v>1110</v>
      </c>
      <c r="H17" s="22">
        <f>POWER(10,E17)</f>
        <v>1.2472932991573968</v>
      </c>
      <c r="J17" s="2" t="s">
        <v>15</v>
      </c>
      <c r="K17" s="2" t="s">
        <v>11</v>
      </c>
      <c r="L17" s="5">
        <v>0.72662460803985596</v>
      </c>
      <c r="M17" s="5">
        <v>-1.5428668260574301</v>
      </c>
      <c r="N17" s="5">
        <v>0.93683093786239602</v>
      </c>
      <c r="O17" s="5">
        <f t="shared" si="0"/>
        <v>0.21376738822401412</v>
      </c>
      <c r="Q17" s="9" t="s">
        <v>11</v>
      </c>
      <c r="R17" s="9" t="s">
        <v>346</v>
      </c>
      <c r="S17" s="9" t="s">
        <v>313</v>
      </c>
      <c r="T17" s="9" t="s">
        <v>347</v>
      </c>
      <c r="U17" s="9" t="s">
        <v>347</v>
      </c>
      <c r="V17" s="9" t="s">
        <v>415</v>
      </c>
      <c r="W17" s="9" t="s">
        <v>15</v>
      </c>
      <c r="X17" s="9" t="s">
        <v>349</v>
      </c>
      <c r="Y17" s="9" t="s">
        <v>416</v>
      </c>
      <c r="Z17" s="9" t="s">
        <v>417</v>
      </c>
      <c r="AA17" s="10" t="s">
        <v>319</v>
      </c>
      <c r="AC17" s="9" t="s">
        <v>11</v>
      </c>
      <c r="AD17" s="9" t="s">
        <v>346</v>
      </c>
      <c r="AE17" s="9" t="s">
        <v>313</v>
      </c>
      <c r="AF17" s="9" t="s">
        <v>347</v>
      </c>
      <c r="AG17" s="9" t="s">
        <v>347</v>
      </c>
      <c r="AH17" s="9" t="s">
        <v>415</v>
      </c>
      <c r="AI17" s="9" t="s">
        <v>15</v>
      </c>
      <c r="AJ17" s="9" t="s">
        <v>349</v>
      </c>
      <c r="AK17" s="9" t="s">
        <v>416</v>
      </c>
      <c r="AL17" s="9" t="s">
        <v>418</v>
      </c>
      <c r="AM17" s="10" t="s">
        <v>344</v>
      </c>
    </row>
    <row r="18" spans="2:39" x14ac:dyDescent="0.2">
      <c r="B18" s="21" t="s">
        <v>22</v>
      </c>
      <c r="C18" s="21" t="s">
        <v>23</v>
      </c>
      <c r="D18" s="22">
        <v>0.87103718519210804</v>
      </c>
      <c r="E18" s="22">
        <v>-0.50676208734512296</v>
      </c>
      <c r="F18" s="22">
        <v>0.89783990383148204</v>
      </c>
      <c r="G18" s="21" t="s">
        <v>1110</v>
      </c>
      <c r="H18" s="22">
        <f>POWER(10,E18)</f>
        <v>0.31134214462907972</v>
      </c>
      <c r="J18" s="2" t="s">
        <v>22</v>
      </c>
      <c r="K18" s="2" t="s">
        <v>23</v>
      </c>
      <c r="L18" s="5">
        <v>0.72633433341980003</v>
      </c>
      <c r="M18" s="5">
        <v>-0.35507702827453602</v>
      </c>
      <c r="N18" s="5">
        <v>0.97624546289444003</v>
      </c>
      <c r="O18" s="5">
        <f t="shared" si="0"/>
        <v>0.70111943510819363</v>
      </c>
      <c r="Q18" s="9" t="s">
        <v>17</v>
      </c>
      <c r="R18" s="9" t="s">
        <v>382</v>
      </c>
      <c r="S18" s="9" t="s">
        <v>425</v>
      </c>
      <c r="T18" s="9" t="s">
        <v>426</v>
      </c>
      <c r="U18" s="9" t="s">
        <v>411</v>
      </c>
      <c r="V18" s="9" t="s">
        <v>427</v>
      </c>
      <c r="W18" s="9" t="s">
        <v>22</v>
      </c>
      <c r="X18" s="9" t="s">
        <v>386</v>
      </c>
      <c r="Y18" s="9" t="s">
        <v>416</v>
      </c>
      <c r="Z18" s="9" t="s">
        <v>428</v>
      </c>
      <c r="AA18" s="10" t="s">
        <v>319</v>
      </c>
    </row>
    <row r="19" spans="2:39" x14ac:dyDescent="0.2">
      <c r="B19" s="21" t="s">
        <v>22</v>
      </c>
      <c r="C19" s="21" t="s">
        <v>16</v>
      </c>
      <c r="D19" s="22">
        <v>0.87746757268905595</v>
      </c>
      <c r="E19" s="22">
        <v>-0.27581015229225198</v>
      </c>
      <c r="F19" s="22">
        <v>0.92623370885848999</v>
      </c>
      <c r="G19" s="21" t="s">
        <v>1110</v>
      </c>
      <c r="H19" s="22">
        <f>POWER(10,E19)</f>
        <v>0.52989503184985576</v>
      </c>
      <c r="J19" s="2" t="s">
        <v>22</v>
      </c>
      <c r="K19" s="2" t="s">
        <v>16</v>
      </c>
      <c r="L19" s="5">
        <v>0.74382597208023105</v>
      </c>
      <c r="M19" s="5">
        <v>3.73185873031616E-2</v>
      </c>
      <c r="N19" s="5">
        <v>0.92784553766250599</v>
      </c>
      <c r="O19" s="5">
        <f t="shared" si="0"/>
        <v>1.0380236693265839</v>
      </c>
      <c r="Q19" s="9" t="s">
        <v>19</v>
      </c>
      <c r="R19" s="9" t="s">
        <v>396</v>
      </c>
      <c r="S19" s="9" t="s">
        <v>397</v>
      </c>
      <c r="T19" s="9" t="s">
        <v>398</v>
      </c>
      <c r="U19" s="9" t="s">
        <v>369</v>
      </c>
      <c r="V19" s="9" t="s">
        <v>429</v>
      </c>
      <c r="W19" s="9" t="s">
        <v>22</v>
      </c>
      <c r="X19" s="9" t="s">
        <v>31</v>
      </c>
      <c r="Y19" s="9" t="s">
        <v>430</v>
      </c>
      <c r="Z19" s="9" t="s">
        <v>431</v>
      </c>
      <c r="AA19" s="10" t="s">
        <v>319</v>
      </c>
    </row>
    <row r="20" spans="2:39" x14ac:dyDescent="0.2">
      <c r="B20" s="21" t="s">
        <v>22</v>
      </c>
      <c r="C20" s="21" t="s">
        <v>17</v>
      </c>
      <c r="D20" s="22">
        <v>0.86111444234848</v>
      </c>
      <c r="E20" s="22">
        <v>0.11254867911338801</v>
      </c>
      <c r="F20" s="22">
        <v>0.84928458929061901</v>
      </c>
      <c r="G20" s="21" t="s">
        <v>1110</v>
      </c>
      <c r="H20" s="22">
        <f>POWER(10,E20)</f>
        <v>1.2958319363291029</v>
      </c>
      <c r="J20" s="2" t="s">
        <v>22</v>
      </c>
      <c r="K20" s="2" t="s">
        <v>17</v>
      </c>
      <c r="L20" s="5">
        <v>0.74263072013855003</v>
      </c>
      <c r="M20" s="5">
        <v>0.26011979579925498</v>
      </c>
      <c r="N20" s="5">
        <v>0.89960575103759799</v>
      </c>
      <c r="O20" s="5">
        <f t="shared" si="0"/>
        <v>1.297085462748597</v>
      </c>
      <c r="Q20" s="9" t="s">
        <v>132</v>
      </c>
      <c r="R20" s="9" t="s">
        <v>432</v>
      </c>
      <c r="S20" s="9" t="s">
        <v>433</v>
      </c>
      <c r="T20" s="9" t="s">
        <v>434</v>
      </c>
      <c r="U20" s="9" t="s">
        <v>435</v>
      </c>
      <c r="V20" s="9" t="s">
        <v>436</v>
      </c>
      <c r="W20" s="9" t="s">
        <v>22</v>
      </c>
      <c r="X20" s="9" t="s">
        <v>31</v>
      </c>
      <c r="Y20" s="9" t="s">
        <v>430</v>
      </c>
      <c r="Z20" s="9" t="s">
        <v>437</v>
      </c>
      <c r="AA20" s="10" t="s">
        <v>319</v>
      </c>
    </row>
    <row r="21" spans="2:39" x14ac:dyDescent="0.2">
      <c r="B21" s="21" t="s">
        <v>22</v>
      </c>
      <c r="C21" s="21" t="s">
        <v>24</v>
      </c>
      <c r="D21" s="22">
        <v>0.86005353927612305</v>
      </c>
      <c r="E21" s="22">
        <v>-0.78316509723663297</v>
      </c>
      <c r="F21" s="22">
        <v>0.93801099061965898</v>
      </c>
      <c r="G21" s="21" t="s">
        <v>1110</v>
      </c>
      <c r="H21" s="22">
        <f>POWER(10,E21)</f>
        <v>0.16475359609502996</v>
      </c>
      <c r="J21" s="2" t="s">
        <v>22</v>
      </c>
      <c r="K21" s="2" t="s">
        <v>24</v>
      </c>
      <c r="L21" s="5">
        <v>0.72384852170944203</v>
      </c>
      <c r="M21" s="5">
        <v>-0.36982059478759799</v>
      </c>
      <c r="N21" s="5">
        <v>0.89055651426315297</v>
      </c>
      <c r="O21" s="5">
        <f t="shared" si="0"/>
        <v>0.69085826309338794</v>
      </c>
      <c r="Q21" s="9" t="s">
        <v>24</v>
      </c>
      <c r="R21" s="9" t="s">
        <v>438</v>
      </c>
      <c r="S21" s="9" t="s">
        <v>439</v>
      </c>
      <c r="T21" s="9" t="s">
        <v>347</v>
      </c>
      <c r="U21" s="9" t="s">
        <v>347</v>
      </c>
      <c r="V21" s="9" t="s">
        <v>440</v>
      </c>
      <c r="W21" s="9" t="s">
        <v>22</v>
      </c>
      <c r="X21" s="9" t="s">
        <v>15</v>
      </c>
      <c r="Y21" s="9" t="s">
        <v>424</v>
      </c>
      <c r="Z21" s="9" t="s">
        <v>441</v>
      </c>
      <c r="AA21" s="10" t="s">
        <v>319</v>
      </c>
    </row>
    <row r="22" spans="2:39" x14ac:dyDescent="0.2">
      <c r="B22" s="21"/>
      <c r="C22" s="21"/>
      <c r="D22" s="22"/>
      <c r="E22" s="22"/>
      <c r="F22" s="22"/>
      <c r="G22" s="21"/>
      <c r="H22" s="22"/>
      <c r="J22" s="2" t="s">
        <v>25</v>
      </c>
      <c r="K22" s="2" t="s">
        <v>23</v>
      </c>
      <c r="L22" s="5">
        <v>0.77431440353393599</v>
      </c>
      <c r="M22" s="5">
        <v>-0.78698641061782804</v>
      </c>
      <c r="N22" s="5">
        <v>0.92959815263748202</v>
      </c>
      <c r="O22" s="5">
        <f t="shared" si="0"/>
        <v>0.45521456005621036</v>
      </c>
      <c r="Q22" s="9" t="s">
        <v>23</v>
      </c>
      <c r="R22" s="9" t="s">
        <v>419</v>
      </c>
      <c r="S22" s="9" t="s">
        <v>420</v>
      </c>
      <c r="T22" s="9" t="s">
        <v>421</v>
      </c>
      <c r="U22" s="9" t="s">
        <v>422</v>
      </c>
      <c r="V22" s="9" t="s">
        <v>442</v>
      </c>
      <c r="W22" s="9" t="s">
        <v>25</v>
      </c>
      <c r="X22" s="9" t="s">
        <v>15</v>
      </c>
      <c r="Y22" s="9" t="s">
        <v>443</v>
      </c>
      <c r="Z22" s="9" t="s">
        <v>444</v>
      </c>
      <c r="AA22" s="10" t="s">
        <v>319</v>
      </c>
    </row>
    <row r="23" spans="2:39" x14ac:dyDescent="0.2">
      <c r="B23" s="21"/>
      <c r="C23" s="21"/>
      <c r="D23" s="22"/>
      <c r="E23" s="22"/>
      <c r="F23" s="22"/>
      <c r="G23" s="21"/>
      <c r="H23" s="22"/>
      <c r="J23" s="2" t="s">
        <v>25</v>
      </c>
      <c r="K23" s="2" t="s">
        <v>16</v>
      </c>
      <c r="L23" s="5">
        <v>0.750768542289734</v>
      </c>
      <c r="M23" s="5">
        <v>-0.260996043682098</v>
      </c>
      <c r="N23" s="5">
        <v>0.94875466823577903</v>
      </c>
      <c r="O23" s="5">
        <f t="shared" si="0"/>
        <v>0.7702839670972994</v>
      </c>
      <c r="Q23" s="9" t="s">
        <v>16</v>
      </c>
      <c r="R23" s="9" t="s">
        <v>373</v>
      </c>
      <c r="S23" s="9" t="s">
        <v>374</v>
      </c>
      <c r="T23" s="9" t="s">
        <v>375</v>
      </c>
      <c r="U23" s="9" t="s">
        <v>376</v>
      </c>
      <c r="V23" s="9" t="s">
        <v>377</v>
      </c>
      <c r="W23" s="9" t="s">
        <v>25</v>
      </c>
      <c r="X23" s="9" t="s">
        <v>378</v>
      </c>
      <c r="Y23" s="9" t="s">
        <v>445</v>
      </c>
      <c r="Z23" s="9" t="s">
        <v>446</v>
      </c>
      <c r="AA23" s="10" t="s">
        <v>319</v>
      </c>
    </row>
    <row r="24" spans="2:39" x14ac:dyDescent="0.2">
      <c r="C24" s="2"/>
      <c r="D24" s="2"/>
      <c r="E24" s="5"/>
      <c r="F24" s="5"/>
      <c r="G24" s="5"/>
      <c r="H24" s="5"/>
      <c r="J24" s="2" t="s">
        <v>25</v>
      </c>
      <c r="K24" s="2" t="s">
        <v>26</v>
      </c>
      <c r="L24" s="5">
        <v>0.76105672121047996</v>
      </c>
      <c r="M24" s="5">
        <v>0.12621214985847501</v>
      </c>
      <c r="N24" s="5">
        <v>0.68322992324829102</v>
      </c>
      <c r="O24" s="5">
        <f t="shared" si="0"/>
        <v>1.1345228316119398</v>
      </c>
      <c r="Q24" s="9" t="s">
        <v>26</v>
      </c>
      <c r="R24" s="9" t="s">
        <v>447</v>
      </c>
      <c r="S24" s="9" t="s">
        <v>448</v>
      </c>
      <c r="T24" s="9" t="s">
        <v>449</v>
      </c>
      <c r="U24" s="9" t="s">
        <v>435</v>
      </c>
      <c r="V24" s="9" t="s">
        <v>450</v>
      </c>
      <c r="W24" s="9" t="s">
        <v>25</v>
      </c>
      <c r="X24" s="9" t="s">
        <v>386</v>
      </c>
      <c r="Y24" s="9" t="s">
        <v>451</v>
      </c>
      <c r="Z24" s="9" t="s">
        <v>452</v>
      </c>
      <c r="AA24" s="10" t="s">
        <v>319</v>
      </c>
    </row>
    <row r="25" spans="2:39" x14ac:dyDescent="0.2">
      <c r="C25" s="2"/>
      <c r="D25" s="2"/>
      <c r="E25" s="5"/>
      <c r="F25" s="5"/>
      <c r="G25" s="5"/>
      <c r="H25" s="5"/>
      <c r="J25" s="2" t="s">
        <v>25</v>
      </c>
      <c r="K25" s="2" t="s">
        <v>17</v>
      </c>
      <c r="L25" s="5">
        <v>0.75528728961944602</v>
      </c>
      <c r="M25" s="5">
        <v>-0.50446069240570102</v>
      </c>
      <c r="N25" s="5">
        <v>0.82176142930984497</v>
      </c>
      <c r="O25" s="5">
        <f t="shared" si="0"/>
        <v>0.60383113834845714</v>
      </c>
      <c r="Q25" s="9" t="s">
        <v>17</v>
      </c>
      <c r="R25" s="9" t="s">
        <v>382</v>
      </c>
      <c r="S25" s="9" t="s">
        <v>425</v>
      </c>
      <c r="T25" s="9" t="s">
        <v>426</v>
      </c>
      <c r="U25" s="9" t="s">
        <v>411</v>
      </c>
      <c r="V25" s="9" t="s">
        <v>453</v>
      </c>
      <c r="W25" s="9" t="s">
        <v>25</v>
      </c>
      <c r="X25" s="9" t="s">
        <v>386</v>
      </c>
      <c r="Y25" s="9" t="s">
        <v>451</v>
      </c>
      <c r="Z25" s="9" t="s">
        <v>454</v>
      </c>
      <c r="AA25" s="10" t="s">
        <v>319</v>
      </c>
    </row>
    <row r="26" spans="2:39" x14ac:dyDescent="0.2">
      <c r="C26" s="2"/>
      <c r="D26" s="2"/>
      <c r="E26" s="5"/>
      <c r="F26" s="5"/>
      <c r="G26" s="5"/>
      <c r="H26" s="5"/>
      <c r="J26" s="2" t="s">
        <v>25</v>
      </c>
      <c r="K26" s="2" t="s">
        <v>27</v>
      </c>
      <c r="L26" s="5">
        <v>0.75704747438430797</v>
      </c>
      <c r="M26" s="5">
        <v>0.16375477612018599</v>
      </c>
      <c r="N26" s="5">
        <v>0.95177781581878695</v>
      </c>
      <c r="O26" s="5">
        <f t="shared" si="0"/>
        <v>1.1779254242300394</v>
      </c>
      <c r="Q26" s="9" t="s">
        <v>27</v>
      </c>
      <c r="R26" s="9" t="s">
        <v>455</v>
      </c>
      <c r="S26" s="9" t="s">
        <v>354</v>
      </c>
      <c r="T26" s="9" t="s">
        <v>435</v>
      </c>
      <c r="U26" s="9" t="s">
        <v>456</v>
      </c>
      <c r="V26" s="9" t="s">
        <v>457</v>
      </c>
      <c r="W26" s="9" t="s">
        <v>25</v>
      </c>
      <c r="X26" s="9" t="s">
        <v>458</v>
      </c>
      <c r="Y26" s="9" t="s">
        <v>459</v>
      </c>
      <c r="Z26" s="9" t="s">
        <v>460</v>
      </c>
      <c r="AA26" s="10" t="s">
        <v>319</v>
      </c>
    </row>
    <row r="27" spans="2:39" x14ac:dyDescent="0.2">
      <c r="C27" s="2"/>
      <c r="D27" s="2"/>
      <c r="E27" s="5"/>
      <c r="F27" s="5"/>
      <c r="G27" s="5"/>
      <c r="H27" s="5"/>
      <c r="J27" s="2" t="s">
        <v>25</v>
      </c>
      <c r="K27" s="2" t="s">
        <v>18</v>
      </c>
      <c r="L27" s="5">
        <v>0.75359904766082797</v>
      </c>
      <c r="M27" s="5">
        <v>-1.0387814044952399</v>
      </c>
      <c r="N27" s="5">
        <v>0.72196632623672496</v>
      </c>
      <c r="O27" s="5">
        <f t="shared" si="0"/>
        <v>0.35388566278766892</v>
      </c>
      <c r="Q27" s="9" t="s">
        <v>18</v>
      </c>
      <c r="R27" s="9" t="s">
        <v>389</v>
      </c>
      <c r="S27" s="9" t="s">
        <v>390</v>
      </c>
      <c r="T27" s="9" t="s">
        <v>391</v>
      </c>
      <c r="U27" s="9" t="s">
        <v>392</v>
      </c>
      <c r="V27" s="9" t="s">
        <v>461</v>
      </c>
      <c r="W27" s="9" t="s">
        <v>25</v>
      </c>
      <c r="X27" s="9" t="s">
        <v>40</v>
      </c>
      <c r="Y27" s="9" t="s">
        <v>462</v>
      </c>
      <c r="Z27" s="9" t="s">
        <v>463</v>
      </c>
      <c r="AA27" s="10" t="s">
        <v>319</v>
      </c>
    </row>
    <row r="28" spans="2:39" x14ac:dyDescent="0.2">
      <c r="C28" s="2"/>
      <c r="D28" s="2"/>
      <c r="E28" s="5"/>
      <c r="F28" s="5"/>
      <c r="G28" s="5"/>
      <c r="H28" s="5"/>
      <c r="J28" s="2" t="s">
        <v>25</v>
      </c>
      <c r="K28" s="2" t="s">
        <v>19</v>
      </c>
      <c r="L28" s="5">
        <v>0.74597114324569702</v>
      </c>
      <c r="M28" s="5">
        <v>-1.3579059839248699</v>
      </c>
      <c r="N28" s="5">
        <v>0.92070764303207397</v>
      </c>
      <c r="O28" s="5">
        <f t="shared" si="0"/>
        <v>0.25719879185568362</v>
      </c>
      <c r="Q28" s="9" t="s">
        <v>19</v>
      </c>
      <c r="R28" s="9" t="s">
        <v>396</v>
      </c>
      <c r="S28" s="9" t="s">
        <v>397</v>
      </c>
      <c r="T28" s="9" t="s">
        <v>398</v>
      </c>
      <c r="U28" s="9" t="s">
        <v>369</v>
      </c>
      <c r="V28" s="9" t="s">
        <v>464</v>
      </c>
      <c r="W28" s="9" t="s">
        <v>25</v>
      </c>
      <c r="X28" s="9" t="s">
        <v>31</v>
      </c>
      <c r="Y28" s="9" t="s">
        <v>465</v>
      </c>
      <c r="Z28" s="9" t="s">
        <v>466</v>
      </c>
      <c r="AA28" s="10" t="s">
        <v>319</v>
      </c>
    </row>
    <row r="29" spans="2:39" x14ac:dyDescent="0.2">
      <c r="C29" s="2"/>
      <c r="D29" s="2"/>
      <c r="E29" s="5"/>
      <c r="F29" s="5"/>
      <c r="G29" s="5"/>
      <c r="H29" s="5"/>
      <c r="J29" s="2" t="s">
        <v>25</v>
      </c>
      <c r="K29" s="2" t="s">
        <v>24</v>
      </c>
      <c r="L29" s="5">
        <v>0.76305145025253296</v>
      </c>
      <c r="M29" s="5">
        <v>-0.77668285369873102</v>
      </c>
      <c r="N29" s="5">
        <v>0.91165906190872203</v>
      </c>
      <c r="O29" s="5">
        <f t="shared" si="0"/>
        <v>0.45992913592707058</v>
      </c>
      <c r="Q29" s="9" t="s">
        <v>24</v>
      </c>
      <c r="R29" s="9" t="s">
        <v>438</v>
      </c>
      <c r="S29" s="9" t="s">
        <v>439</v>
      </c>
      <c r="T29" s="9" t="s">
        <v>347</v>
      </c>
      <c r="U29" s="9" t="s">
        <v>347</v>
      </c>
      <c r="V29" s="9" t="s">
        <v>467</v>
      </c>
      <c r="W29" s="9" t="s">
        <v>25</v>
      </c>
      <c r="X29" s="9" t="s">
        <v>15</v>
      </c>
      <c r="Y29" s="9" t="s">
        <v>443</v>
      </c>
      <c r="Z29" s="9" t="s">
        <v>468</v>
      </c>
      <c r="AA29" s="10" t="s">
        <v>319</v>
      </c>
    </row>
    <row r="30" spans="2:39" x14ac:dyDescent="0.2">
      <c r="C30" s="2"/>
      <c r="D30" s="2"/>
      <c r="E30" s="5"/>
      <c r="F30" s="5"/>
      <c r="G30" s="5"/>
      <c r="H30" s="5"/>
      <c r="J30" s="2" t="s">
        <v>25</v>
      </c>
      <c r="K30" s="2" t="s">
        <v>28</v>
      </c>
      <c r="L30" s="5">
        <v>0.75821590423583995</v>
      </c>
      <c r="M30" s="5">
        <v>0.67121827602386497</v>
      </c>
      <c r="N30" s="5">
        <v>0.64139884710311901</v>
      </c>
      <c r="O30" s="5">
        <f t="shared" si="0"/>
        <v>1.9566195719337878</v>
      </c>
      <c r="Q30" s="9" t="s">
        <v>28</v>
      </c>
      <c r="R30" s="9" t="s">
        <v>469</v>
      </c>
      <c r="S30" s="9" t="s">
        <v>470</v>
      </c>
      <c r="T30" s="9" t="s">
        <v>375</v>
      </c>
      <c r="U30" s="9" t="s">
        <v>471</v>
      </c>
      <c r="V30" s="9" t="s">
        <v>472</v>
      </c>
      <c r="W30" s="9" t="s">
        <v>25</v>
      </c>
      <c r="X30" s="9" t="s">
        <v>15</v>
      </c>
      <c r="Y30" s="9" t="s">
        <v>443</v>
      </c>
      <c r="Z30" s="9" t="s">
        <v>473</v>
      </c>
      <c r="AA30" s="10" t="s">
        <v>319</v>
      </c>
    </row>
    <row r="31" spans="2:39" x14ac:dyDescent="0.2">
      <c r="B31" s="21" t="s">
        <v>29</v>
      </c>
      <c r="C31" s="21" t="s">
        <v>30</v>
      </c>
      <c r="D31" s="22">
        <v>0.77468061447143599</v>
      </c>
      <c r="E31" s="22">
        <v>-2.4280962944030802</v>
      </c>
      <c r="F31" s="22">
        <v>0.95794647932052601</v>
      </c>
      <c r="G31" s="21" t="s">
        <v>1110</v>
      </c>
      <c r="H31" s="22">
        <f>POWER(10,E31)</f>
        <v>3.7316740768419819E-3</v>
      </c>
      <c r="J31" s="2" t="s">
        <v>29</v>
      </c>
      <c r="K31" s="2" t="s">
        <v>30</v>
      </c>
      <c r="L31" s="5">
        <v>0.75868040323257502</v>
      </c>
      <c r="M31" s="5">
        <v>-1.5103623867034901</v>
      </c>
      <c r="N31" s="5">
        <v>0.92083853483200095</v>
      </c>
      <c r="O31" s="5">
        <f t="shared" si="0"/>
        <v>0.22082993762434994</v>
      </c>
      <c r="Q31" s="9" t="s">
        <v>30</v>
      </c>
      <c r="R31" s="9" t="s">
        <v>474</v>
      </c>
      <c r="S31" s="9" t="s">
        <v>475</v>
      </c>
      <c r="T31" s="9" t="s">
        <v>391</v>
      </c>
      <c r="U31" s="9" t="s">
        <v>476</v>
      </c>
      <c r="V31" s="9" t="s">
        <v>477</v>
      </c>
      <c r="W31" s="9" t="s">
        <v>29</v>
      </c>
      <c r="X31" s="9" t="s">
        <v>386</v>
      </c>
      <c r="Y31" s="9" t="s">
        <v>478</v>
      </c>
      <c r="Z31" s="9" t="s">
        <v>479</v>
      </c>
      <c r="AA31" s="10" t="s">
        <v>319</v>
      </c>
    </row>
    <row r="32" spans="2:39" x14ac:dyDescent="0.2">
      <c r="B32" s="21" t="s">
        <v>31</v>
      </c>
      <c r="C32" s="21" t="s">
        <v>32</v>
      </c>
      <c r="D32" s="22">
        <v>0.86314600706100497</v>
      </c>
      <c r="E32" s="22">
        <v>-0.141480132937431</v>
      </c>
      <c r="F32" s="22">
        <v>0.98094832897186302</v>
      </c>
      <c r="G32" s="21" t="s">
        <v>1110</v>
      </c>
      <c r="H32" s="22">
        <f>POWER(10,E32)</f>
        <v>0.72197118918850833</v>
      </c>
      <c r="J32" s="2" t="s">
        <v>31</v>
      </c>
      <c r="K32" s="2" t="s">
        <v>32</v>
      </c>
      <c r="L32" s="5">
        <v>0.81683027744293202</v>
      </c>
      <c r="M32" s="5">
        <v>-0.48175847530365001</v>
      </c>
      <c r="N32" s="5">
        <v>0.93133366107940696</v>
      </c>
      <c r="O32" s="5">
        <f t="shared" si="0"/>
        <v>0.61769623264475515</v>
      </c>
      <c r="Q32" s="9" t="s">
        <v>32</v>
      </c>
      <c r="R32" s="9" t="s">
        <v>480</v>
      </c>
      <c r="S32" s="9" t="s">
        <v>481</v>
      </c>
      <c r="T32" s="9" t="s">
        <v>482</v>
      </c>
      <c r="U32" s="9" t="s">
        <v>476</v>
      </c>
      <c r="V32" s="9" t="s">
        <v>483</v>
      </c>
      <c r="W32" s="9" t="s">
        <v>31</v>
      </c>
      <c r="X32" s="9" t="s">
        <v>210</v>
      </c>
      <c r="Y32" s="9" t="s">
        <v>484</v>
      </c>
      <c r="Z32" s="9" t="s">
        <v>485</v>
      </c>
      <c r="AA32" s="10" t="s">
        <v>319</v>
      </c>
    </row>
    <row r="33" spans="2:39" x14ac:dyDescent="0.2">
      <c r="B33" s="21" t="s">
        <v>31</v>
      </c>
      <c r="C33" s="21" t="s">
        <v>33</v>
      </c>
      <c r="D33" s="22">
        <v>0.86743301153182995</v>
      </c>
      <c r="E33" s="22">
        <v>-1.70298659801483</v>
      </c>
      <c r="F33" s="22">
        <v>0.95124864578247104</v>
      </c>
      <c r="G33" s="21" t="s">
        <v>1110</v>
      </c>
      <c r="H33" s="22">
        <f>POWER(10,E33)</f>
        <v>1.9815881751097265E-2</v>
      </c>
      <c r="J33" s="2" t="s">
        <v>31</v>
      </c>
      <c r="K33" s="2" t="s">
        <v>33</v>
      </c>
      <c r="L33" s="5">
        <v>0.82592695951461803</v>
      </c>
      <c r="M33" s="5">
        <v>-1.6215568780898999</v>
      </c>
      <c r="N33" s="5">
        <v>0.95014297962188698</v>
      </c>
      <c r="O33" s="5">
        <f t="shared" si="0"/>
        <v>0.19759083465087196</v>
      </c>
      <c r="Q33" s="9" t="s">
        <v>33</v>
      </c>
      <c r="R33" s="9" t="s">
        <v>486</v>
      </c>
      <c r="S33" s="9" t="s">
        <v>487</v>
      </c>
      <c r="T33" s="9" t="s">
        <v>426</v>
      </c>
      <c r="U33" s="9" t="s">
        <v>488</v>
      </c>
      <c r="V33" s="9" t="s">
        <v>489</v>
      </c>
      <c r="W33" s="9" t="s">
        <v>31</v>
      </c>
      <c r="X33" s="9" t="s">
        <v>47</v>
      </c>
      <c r="Y33" s="9" t="s">
        <v>490</v>
      </c>
      <c r="Z33" s="9" t="s">
        <v>491</v>
      </c>
      <c r="AA33" s="10" t="s">
        <v>319</v>
      </c>
    </row>
    <row r="34" spans="2:39" x14ac:dyDescent="0.2">
      <c r="B34" s="21" t="s">
        <v>31</v>
      </c>
      <c r="C34" s="21" t="s">
        <v>11</v>
      </c>
      <c r="D34" s="22">
        <v>0.88174670934677102</v>
      </c>
      <c r="E34" s="22">
        <v>-1.0921492576599099</v>
      </c>
      <c r="F34" s="22">
        <v>0.87707126140594505</v>
      </c>
      <c r="G34" s="21" t="s">
        <v>1110</v>
      </c>
      <c r="H34" s="22">
        <f>POWER(10,E34)</f>
        <v>8.0881787812121755E-2</v>
      </c>
      <c r="J34" s="2" t="s">
        <v>31</v>
      </c>
      <c r="K34" s="2" t="s">
        <v>11</v>
      </c>
      <c r="L34" s="5">
        <v>0.81525897979736295</v>
      </c>
      <c r="M34" s="5">
        <v>-0.940973341464996</v>
      </c>
      <c r="N34" s="5">
        <v>0.87174957990646396</v>
      </c>
      <c r="O34" s="5">
        <f t="shared" si="0"/>
        <v>0.39024780606812126</v>
      </c>
      <c r="Q34" s="9" t="s">
        <v>11</v>
      </c>
      <c r="R34" s="9" t="s">
        <v>346</v>
      </c>
      <c r="S34" s="9" t="s">
        <v>492</v>
      </c>
      <c r="T34" s="9" t="s">
        <v>426</v>
      </c>
      <c r="U34" s="9" t="s">
        <v>493</v>
      </c>
      <c r="V34" s="9" t="s">
        <v>494</v>
      </c>
      <c r="W34" s="9" t="s">
        <v>31</v>
      </c>
      <c r="X34" s="9" t="s">
        <v>495</v>
      </c>
      <c r="Y34" s="9" t="s">
        <v>496</v>
      </c>
      <c r="Z34" s="9" t="s">
        <v>431</v>
      </c>
      <c r="AA34" s="10" t="s">
        <v>319</v>
      </c>
    </row>
    <row r="35" spans="2:39" x14ac:dyDescent="0.2">
      <c r="B35" s="21" t="s">
        <v>31</v>
      </c>
      <c r="C35" s="21" t="s">
        <v>34</v>
      </c>
      <c r="D35" s="22">
        <v>0.87534898519516002</v>
      </c>
      <c r="E35" s="22">
        <v>-0.74084430932998702</v>
      </c>
      <c r="F35" s="22">
        <v>0.89433193206787098</v>
      </c>
      <c r="G35" s="21" t="s">
        <v>1110</v>
      </c>
      <c r="H35" s="22">
        <f>POWER(10,E35)</f>
        <v>0.18161666255026207</v>
      </c>
      <c r="J35" s="2" t="s">
        <v>31</v>
      </c>
      <c r="K35" s="2" t="s">
        <v>34</v>
      </c>
      <c r="L35" s="5">
        <v>0.80606669187545799</v>
      </c>
      <c r="M35" s="5">
        <v>-0.84541225433349598</v>
      </c>
      <c r="N35" s="5">
        <v>0.92592304944992099</v>
      </c>
      <c r="O35" s="5">
        <f t="shared" si="0"/>
        <v>0.42938030782573344</v>
      </c>
      <c r="Q35" s="9" t="s">
        <v>34</v>
      </c>
      <c r="R35" s="9" t="s">
        <v>497</v>
      </c>
      <c r="S35" s="9" t="s">
        <v>498</v>
      </c>
      <c r="T35" s="9" t="s">
        <v>499</v>
      </c>
      <c r="U35" s="9" t="s">
        <v>422</v>
      </c>
      <c r="V35" s="9" t="s">
        <v>500</v>
      </c>
      <c r="W35" s="9" t="s">
        <v>31</v>
      </c>
      <c r="X35" s="9" t="s">
        <v>501</v>
      </c>
      <c r="Y35" s="9" t="s">
        <v>502</v>
      </c>
      <c r="Z35" s="9" t="s">
        <v>503</v>
      </c>
      <c r="AA35" s="10" t="s">
        <v>319</v>
      </c>
    </row>
    <row r="36" spans="2:39" x14ac:dyDescent="0.2">
      <c r="B36" s="21" t="s">
        <v>31</v>
      </c>
      <c r="C36" s="21" t="s">
        <v>30</v>
      </c>
      <c r="D36" s="22">
        <v>0.87855643033981301</v>
      </c>
      <c r="E36" s="22">
        <v>-2.0233862400054901</v>
      </c>
      <c r="F36" s="22">
        <v>0.93293541669845603</v>
      </c>
      <c r="G36" s="21" t="s">
        <v>1110</v>
      </c>
      <c r="H36" s="22">
        <f>POWER(10,E36)</f>
        <v>9.4757536184821682E-3</v>
      </c>
      <c r="J36" s="2" t="s">
        <v>31</v>
      </c>
      <c r="K36" s="2" t="s">
        <v>30</v>
      </c>
      <c r="L36" s="5">
        <v>0.81973487138748202</v>
      </c>
      <c r="M36" s="5">
        <v>-1.6722780466079701</v>
      </c>
      <c r="N36" s="5">
        <v>0.94865679740905795</v>
      </c>
      <c r="O36" s="5">
        <f t="shared" si="0"/>
        <v>0.1878187181324423</v>
      </c>
      <c r="Q36" s="9" t="s">
        <v>30</v>
      </c>
      <c r="R36" s="9" t="s">
        <v>474</v>
      </c>
      <c r="S36" s="9" t="s">
        <v>504</v>
      </c>
      <c r="T36" s="9" t="s">
        <v>449</v>
      </c>
      <c r="U36" s="9" t="s">
        <v>476</v>
      </c>
      <c r="V36" s="9" t="s">
        <v>505</v>
      </c>
      <c r="W36" s="9" t="s">
        <v>31</v>
      </c>
      <c r="X36" s="9" t="s">
        <v>506</v>
      </c>
      <c r="Y36" s="9" t="s">
        <v>507</v>
      </c>
      <c r="Z36" s="9" t="s">
        <v>508</v>
      </c>
      <c r="AA36" s="10" t="s">
        <v>319</v>
      </c>
    </row>
    <row r="37" spans="2:39" x14ac:dyDescent="0.2">
      <c r="B37" s="21" t="s">
        <v>35</v>
      </c>
      <c r="C37" s="21" t="s">
        <v>36</v>
      </c>
      <c r="D37" s="22">
        <v>0.93575078248977706</v>
      </c>
      <c r="E37" s="22">
        <v>-0.30538064241409302</v>
      </c>
      <c r="F37" s="22">
        <v>0.48659387230873102</v>
      </c>
      <c r="G37" s="21" t="s">
        <v>1110</v>
      </c>
      <c r="H37" s="22">
        <f>POWER(10,E37)</f>
        <v>0.49501613800645661</v>
      </c>
      <c r="J37" s="2" t="s">
        <v>35</v>
      </c>
      <c r="K37" s="2" t="s">
        <v>36</v>
      </c>
      <c r="L37" s="5">
        <v>0.57952570915222201</v>
      </c>
      <c r="M37" s="5">
        <v>-1.2059308290481601</v>
      </c>
      <c r="N37" s="5">
        <v>0.71898669004440297</v>
      </c>
      <c r="O37" s="5">
        <f t="shared" si="0"/>
        <v>0.29941316728729866</v>
      </c>
      <c r="Q37" s="9" t="s">
        <v>36</v>
      </c>
      <c r="R37" s="9" t="s">
        <v>509</v>
      </c>
      <c r="S37" s="9" t="s">
        <v>510</v>
      </c>
      <c r="T37" s="9" t="s">
        <v>511</v>
      </c>
      <c r="U37" s="9" t="s">
        <v>512</v>
      </c>
      <c r="V37" s="9" t="s">
        <v>357</v>
      </c>
      <c r="W37" s="9" t="s">
        <v>35</v>
      </c>
      <c r="X37" s="9" t="s">
        <v>513</v>
      </c>
      <c r="Y37" s="9" t="s">
        <v>514</v>
      </c>
      <c r="Z37" s="9" t="s">
        <v>515</v>
      </c>
      <c r="AA37" s="10" t="s">
        <v>319</v>
      </c>
    </row>
    <row r="38" spans="2:39" x14ac:dyDescent="0.2">
      <c r="B38" s="21" t="s">
        <v>35</v>
      </c>
      <c r="C38" s="21" t="s">
        <v>37</v>
      </c>
      <c r="D38" s="22">
        <v>0.98173695802688599</v>
      </c>
      <c r="E38" s="22">
        <v>-1.8169646263122601</v>
      </c>
      <c r="F38" s="22">
        <v>0.930067479610443</v>
      </c>
      <c r="G38" s="21" t="s">
        <v>1110</v>
      </c>
      <c r="H38" s="22">
        <f>POWER(10,E38)</f>
        <v>1.5241768943610869E-2</v>
      </c>
      <c r="J38" s="2" t="s">
        <v>35</v>
      </c>
      <c r="K38" s="2" t="s">
        <v>37</v>
      </c>
      <c r="L38" s="5">
        <v>0.58468359708786</v>
      </c>
      <c r="M38" s="5">
        <v>-2.2095413208007799</v>
      </c>
      <c r="N38" s="5">
        <v>0.95996773242950395</v>
      </c>
      <c r="O38" s="5">
        <f t="shared" si="0"/>
        <v>0.10975097746266463</v>
      </c>
      <c r="Q38" s="9" t="s">
        <v>37</v>
      </c>
      <c r="R38" s="9" t="s">
        <v>516</v>
      </c>
      <c r="S38" s="9" t="s">
        <v>517</v>
      </c>
      <c r="T38" s="9" t="s">
        <v>449</v>
      </c>
      <c r="U38" s="9" t="s">
        <v>449</v>
      </c>
      <c r="V38" s="9" t="s">
        <v>518</v>
      </c>
      <c r="W38" s="9" t="s">
        <v>35</v>
      </c>
      <c r="X38" s="9" t="s">
        <v>78</v>
      </c>
      <c r="Y38" s="9" t="s">
        <v>519</v>
      </c>
      <c r="Z38" s="9" t="s">
        <v>520</v>
      </c>
      <c r="AA38" s="10" t="s">
        <v>319</v>
      </c>
    </row>
    <row r="39" spans="2:39" x14ac:dyDescent="0.2">
      <c r="B39" s="21" t="s">
        <v>35</v>
      </c>
      <c r="C39" s="21" t="s">
        <v>38</v>
      </c>
      <c r="D39" s="22">
        <v>0.98093777894973799</v>
      </c>
      <c r="E39" s="22">
        <v>-1.1691691875457799</v>
      </c>
      <c r="F39" s="22">
        <v>0.87914371490478505</v>
      </c>
      <c r="G39" s="21" t="s">
        <v>1110</v>
      </c>
      <c r="H39" s="22">
        <f>POWER(10,E39)</f>
        <v>6.7737757108941601E-2</v>
      </c>
      <c r="J39" s="2" t="s">
        <v>35</v>
      </c>
      <c r="K39" s="2" t="s">
        <v>38</v>
      </c>
      <c r="L39" s="5">
        <v>0.58347481489181496</v>
      </c>
      <c r="M39" s="5">
        <v>-1.40800297260284</v>
      </c>
      <c r="N39" s="5">
        <v>0.87317329645156905</v>
      </c>
      <c r="O39" s="5">
        <f t="shared" si="0"/>
        <v>0.24463133113912694</v>
      </c>
      <c r="Q39" s="9" t="s">
        <v>38</v>
      </c>
      <c r="R39" s="9" t="s">
        <v>521</v>
      </c>
      <c r="S39" s="9" t="s">
        <v>522</v>
      </c>
      <c r="T39" s="9" t="s">
        <v>392</v>
      </c>
      <c r="U39" s="9" t="s">
        <v>523</v>
      </c>
      <c r="V39" s="9" t="s">
        <v>524</v>
      </c>
      <c r="W39" s="9" t="s">
        <v>35</v>
      </c>
      <c r="X39" s="9" t="s">
        <v>78</v>
      </c>
      <c r="Y39" s="9" t="s">
        <v>519</v>
      </c>
      <c r="Z39" s="9" t="s">
        <v>525</v>
      </c>
      <c r="AA39" s="10" t="s">
        <v>319</v>
      </c>
    </row>
    <row r="40" spans="2:39" x14ac:dyDescent="0.2">
      <c r="B40" s="21" t="s">
        <v>35</v>
      </c>
      <c r="C40" s="21" t="s">
        <v>39</v>
      </c>
      <c r="D40" s="22">
        <v>0.96211767196655296</v>
      </c>
      <c r="E40" s="22">
        <v>-1.14928126335144</v>
      </c>
      <c r="F40" s="22">
        <v>0.74682772159576405</v>
      </c>
      <c r="G40" s="21" t="s">
        <v>1110</v>
      </c>
      <c r="H40" s="22">
        <f>POWER(10,E40)</f>
        <v>7.0911837090290003E-2</v>
      </c>
      <c r="J40" s="2" t="s">
        <v>35</v>
      </c>
      <c r="K40" s="2" t="s">
        <v>39</v>
      </c>
      <c r="L40" s="5">
        <v>0.57600635290145896</v>
      </c>
      <c r="M40" s="5">
        <v>-0.129057347774506</v>
      </c>
      <c r="N40" s="5">
        <v>0.80703145265579201</v>
      </c>
      <c r="O40" s="5">
        <f t="shared" si="0"/>
        <v>0.87892355979015313</v>
      </c>
      <c r="Q40" s="9" t="s">
        <v>39</v>
      </c>
      <c r="R40" s="9" t="s">
        <v>526</v>
      </c>
      <c r="S40" s="9" t="s">
        <v>527</v>
      </c>
      <c r="T40" s="9" t="s">
        <v>434</v>
      </c>
      <c r="U40" s="9" t="s">
        <v>435</v>
      </c>
      <c r="V40" s="9" t="s">
        <v>528</v>
      </c>
      <c r="W40" s="9" t="s">
        <v>35</v>
      </c>
      <c r="X40" s="9" t="s">
        <v>78</v>
      </c>
      <c r="Y40" s="9" t="s">
        <v>519</v>
      </c>
      <c r="Z40" s="9" t="s">
        <v>529</v>
      </c>
      <c r="AA40" s="10" t="s">
        <v>319</v>
      </c>
    </row>
    <row r="41" spans="2:39" x14ac:dyDescent="0.2">
      <c r="B41" s="21" t="s">
        <v>40</v>
      </c>
      <c r="C41" s="21" t="s">
        <v>6</v>
      </c>
      <c r="D41" s="22">
        <v>0.88663989305496205</v>
      </c>
      <c r="E41" s="22">
        <v>-0.41518786549568198</v>
      </c>
      <c r="F41" s="22">
        <v>0.98572170734405495</v>
      </c>
      <c r="G41" s="21" t="s">
        <v>1110</v>
      </c>
      <c r="H41" s="22">
        <f>POWER(10,E41)</f>
        <v>0.3844254527368226</v>
      </c>
      <c r="J41" s="2" t="s">
        <v>40</v>
      </c>
      <c r="K41" s="2" t="s">
        <v>6</v>
      </c>
      <c r="L41" s="5">
        <v>0.73827266693115201</v>
      </c>
      <c r="M41" s="5">
        <v>-0.49892163276672402</v>
      </c>
      <c r="N41" s="5">
        <v>0.98781836032867398</v>
      </c>
      <c r="O41" s="5">
        <f t="shared" si="0"/>
        <v>0.60718507528878496</v>
      </c>
      <c r="Q41" s="9" t="s">
        <v>6</v>
      </c>
      <c r="R41" s="9" t="s">
        <v>312</v>
      </c>
      <c r="S41" s="9" t="s">
        <v>313</v>
      </c>
      <c r="T41" s="9" t="s">
        <v>314</v>
      </c>
      <c r="U41" s="9" t="s">
        <v>314</v>
      </c>
      <c r="V41" s="9" t="s">
        <v>530</v>
      </c>
      <c r="W41" s="9" t="s">
        <v>40</v>
      </c>
      <c r="X41" s="9" t="s">
        <v>61</v>
      </c>
      <c r="Y41" s="9" t="s">
        <v>531</v>
      </c>
      <c r="Z41" s="9" t="s">
        <v>532</v>
      </c>
      <c r="AA41" s="10" t="s">
        <v>319</v>
      </c>
    </row>
    <row r="42" spans="2:39" x14ac:dyDescent="0.2">
      <c r="B42" s="21" t="s">
        <v>40</v>
      </c>
      <c r="C42" s="21" t="s">
        <v>41</v>
      </c>
      <c r="D42" s="22">
        <v>0.88925188779830899</v>
      </c>
      <c r="E42" s="22">
        <v>-1.9801100492477399</v>
      </c>
      <c r="F42" s="22">
        <v>0.98388701677322399</v>
      </c>
      <c r="G42" s="21" t="s">
        <v>1110</v>
      </c>
      <c r="H42" s="22">
        <f>POWER(10,E42)</f>
        <v>1.0468632416406198E-2</v>
      </c>
      <c r="J42" s="2" t="s">
        <v>40</v>
      </c>
      <c r="K42" s="2" t="s">
        <v>41</v>
      </c>
      <c r="L42" s="5">
        <v>0.746831774711609</v>
      </c>
      <c r="M42" s="5">
        <v>-1.7881664037704501</v>
      </c>
      <c r="N42" s="5">
        <v>0.98738735914230402</v>
      </c>
      <c r="O42" s="5">
        <f t="shared" si="0"/>
        <v>0.16726658804256608</v>
      </c>
      <c r="Q42" s="9" t="s">
        <v>41</v>
      </c>
      <c r="R42" s="9" t="s">
        <v>533</v>
      </c>
      <c r="S42" s="9" t="s">
        <v>534</v>
      </c>
      <c r="T42" s="9" t="s">
        <v>535</v>
      </c>
      <c r="U42" s="9" t="s">
        <v>536</v>
      </c>
      <c r="V42" s="9" t="s">
        <v>537</v>
      </c>
      <c r="W42" s="9" t="s">
        <v>40</v>
      </c>
      <c r="X42" s="9" t="s">
        <v>61</v>
      </c>
      <c r="Y42" s="9" t="s">
        <v>531</v>
      </c>
      <c r="Z42" s="9" t="s">
        <v>538</v>
      </c>
      <c r="AA42" s="10" t="s">
        <v>319</v>
      </c>
    </row>
    <row r="43" spans="2:39" x14ac:dyDescent="0.2">
      <c r="B43" s="21" t="s">
        <v>40</v>
      </c>
      <c r="C43" s="21" t="s">
        <v>42</v>
      </c>
      <c r="D43" s="22">
        <v>0.85438340902328502</v>
      </c>
      <c r="E43" s="22">
        <v>-0.38923543691635099</v>
      </c>
      <c r="F43" s="22">
        <v>0.52772891521453902</v>
      </c>
      <c r="G43" s="21" t="s">
        <v>1110</v>
      </c>
      <c r="H43" s="22">
        <f>POWER(10,E43)</f>
        <v>0.40809809085625109</v>
      </c>
      <c r="J43" s="2" t="s">
        <v>40</v>
      </c>
      <c r="K43" s="2" t="s">
        <v>42</v>
      </c>
      <c r="L43" s="5">
        <v>0.70340102910995495</v>
      </c>
      <c r="M43" s="5">
        <v>-0.126167193055153</v>
      </c>
      <c r="N43" s="5">
        <v>0.57825136184692405</v>
      </c>
      <c r="O43" s="5">
        <f t="shared" si="0"/>
        <v>0.88146745922514547</v>
      </c>
      <c r="Q43" s="9" t="s">
        <v>42</v>
      </c>
      <c r="R43" s="9" t="s">
        <v>539</v>
      </c>
      <c r="S43" s="9" t="s">
        <v>540</v>
      </c>
      <c r="T43" s="9" t="s">
        <v>541</v>
      </c>
      <c r="U43" s="9" t="s">
        <v>541</v>
      </c>
      <c r="V43" s="9" t="s">
        <v>542</v>
      </c>
      <c r="W43" s="9" t="s">
        <v>40</v>
      </c>
      <c r="X43" s="9" t="s">
        <v>64</v>
      </c>
      <c r="Y43" s="9" t="s">
        <v>543</v>
      </c>
      <c r="Z43" s="9" t="s">
        <v>544</v>
      </c>
      <c r="AA43" s="10" t="s">
        <v>319</v>
      </c>
    </row>
    <row r="44" spans="2:39" x14ac:dyDescent="0.2">
      <c r="B44" s="21" t="s">
        <v>40</v>
      </c>
      <c r="C44" s="21" t="s">
        <v>43</v>
      </c>
      <c r="D44" s="22">
        <v>0.88565647602081299</v>
      </c>
      <c r="E44" s="22">
        <v>-0.16103240847587599</v>
      </c>
      <c r="F44" s="22">
        <v>0.491337209939957</v>
      </c>
      <c r="G44" s="21" t="s">
        <v>1110</v>
      </c>
      <c r="H44" s="22">
        <f>POWER(10,E44)</f>
        <v>0.69018829780841984</v>
      </c>
      <c r="J44" s="2" t="s">
        <v>40</v>
      </c>
      <c r="K44" s="2" t="s">
        <v>43</v>
      </c>
      <c r="L44" s="5">
        <v>0.74613761901855502</v>
      </c>
      <c r="M44" s="5">
        <v>-0.14752562344074299</v>
      </c>
      <c r="N44" s="5">
        <v>0.59171831607818604</v>
      </c>
      <c r="O44" s="5">
        <f t="shared" si="0"/>
        <v>0.86284032910007613</v>
      </c>
      <c r="Q44" s="9" t="s">
        <v>43</v>
      </c>
      <c r="R44" s="9" t="s">
        <v>545</v>
      </c>
      <c r="S44" s="9" t="s">
        <v>546</v>
      </c>
      <c r="T44" s="9" t="s">
        <v>499</v>
      </c>
      <c r="U44" s="9" t="s">
        <v>541</v>
      </c>
      <c r="V44" s="9" t="s">
        <v>547</v>
      </c>
      <c r="W44" s="9" t="s">
        <v>40</v>
      </c>
      <c r="X44" s="9" t="s">
        <v>210</v>
      </c>
      <c r="Y44" s="9" t="s">
        <v>548</v>
      </c>
      <c r="Z44" s="9" t="s">
        <v>549</v>
      </c>
      <c r="AA44" s="10" t="s">
        <v>319</v>
      </c>
    </row>
    <row r="45" spans="2:39" x14ac:dyDescent="0.2">
      <c r="B45" s="21" t="s">
        <v>44</v>
      </c>
      <c r="C45" s="21" t="s">
        <v>6</v>
      </c>
      <c r="D45" s="22">
        <v>0.91237270832061801</v>
      </c>
      <c r="E45" s="22">
        <v>-0.64266699552536</v>
      </c>
      <c r="F45" s="22">
        <v>0.98105901479721103</v>
      </c>
      <c r="G45" s="21" t="s">
        <v>1110</v>
      </c>
      <c r="H45" s="22">
        <f>POWER(10,E45)</f>
        <v>0.22768425787999363</v>
      </c>
      <c r="J45" s="2" t="s">
        <v>44</v>
      </c>
      <c r="K45" s="2" t="s">
        <v>6</v>
      </c>
      <c r="L45" s="5">
        <v>0.75796663761138905</v>
      </c>
      <c r="M45" s="5">
        <v>-0.67094963788986195</v>
      </c>
      <c r="N45" s="5">
        <v>0.98938179016113303</v>
      </c>
      <c r="O45" s="5">
        <f t="shared" si="0"/>
        <v>0.51122287059198801</v>
      </c>
      <c r="Q45" s="9" t="s">
        <v>6</v>
      </c>
      <c r="R45" s="9" t="s">
        <v>312</v>
      </c>
      <c r="S45" s="9" t="s">
        <v>313</v>
      </c>
      <c r="T45" s="9" t="s">
        <v>314</v>
      </c>
      <c r="U45" s="9" t="s">
        <v>314</v>
      </c>
      <c r="V45" s="9" t="s">
        <v>550</v>
      </c>
      <c r="W45" s="9" t="s">
        <v>44</v>
      </c>
      <c r="X45" s="9" t="s">
        <v>61</v>
      </c>
      <c r="Y45" s="9" t="s">
        <v>551</v>
      </c>
      <c r="Z45" s="9" t="s">
        <v>552</v>
      </c>
      <c r="AA45" s="10" t="s">
        <v>319</v>
      </c>
      <c r="AC45" s="9" t="s">
        <v>6</v>
      </c>
      <c r="AD45" s="9" t="s">
        <v>312</v>
      </c>
      <c r="AE45" s="9" t="s">
        <v>313</v>
      </c>
      <c r="AF45" s="9" t="s">
        <v>314</v>
      </c>
      <c r="AG45" s="9" t="s">
        <v>314</v>
      </c>
      <c r="AH45" s="9" t="s">
        <v>550</v>
      </c>
      <c r="AI45" s="9" t="s">
        <v>44</v>
      </c>
      <c r="AJ45" s="9" t="s">
        <v>61</v>
      </c>
      <c r="AK45" s="9" t="s">
        <v>551</v>
      </c>
      <c r="AL45" s="9" t="s">
        <v>553</v>
      </c>
      <c r="AM45" s="10" t="s">
        <v>344</v>
      </c>
    </row>
    <row r="46" spans="2:39" x14ac:dyDescent="0.2">
      <c r="B46" s="21" t="s">
        <v>44</v>
      </c>
      <c r="C46" s="21" t="s">
        <v>41</v>
      </c>
      <c r="D46" s="22">
        <v>0.91716402769088801</v>
      </c>
      <c r="E46" s="22">
        <v>-2.6913213729858398</v>
      </c>
      <c r="F46" s="22">
        <v>0.98317509889602706</v>
      </c>
      <c r="G46" s="21" t="s">
        <v>1110</v>
      </c>
      <c r="H46" s="22">
        <f>POWER(10,E46)</f>
        <v>2.0355352472832627E-3</v>
      </c>
      <c r="J46" s="2" t="s">
        <v>44</v>
      </c>
      <c r="K46" s="2" t="s">
        <v>41</v>
      </c>
      <c r="L46" s="5">
        <v>0.75696003437042203</v>
      </c>
      <c r="M46" s="5">
        <v>-1.7003043889999401</v>
      </c>
      <c r="N46" s="5">
        <v>0.99471008777618397</v>
      </c>
      <c r="O46" s="5">
        <f t="shared" si="0"/>
        <v>0.18262792565974162</v>
      </c>
      <c r="Q46" s="9" t="s">
        <v>41</v>
      </c>
      <c r="R46" s="9" t="s">
        <v>533</v>
      </c>
      <c r="S46" s="9" t="s">
        <v>554</v>
      </c>
      <c r="T46" s="9" t="s">
        <v>555</v>
      </c>
      <c r="U46" s="9" t="s">
        <v>536</v>
      </c>
      <c r="V46" s="9" t="s">
        <v>364</v>
      </c>
      <c r="W46" s="9" t="s">
        <v>44</v>
      </c>
      <c r="X46" s="9" t="s">
        <v>61</v>
      </c>
      <c r="Y46" s="9" t="s">
        <v>551</v>
      </c>
      <c r="Z46" s="9" t="s">
        <v>556</v>
      </c>
      <c r="AA46" s="10" t="s">
        <v>319</v>
      </c>
      <c r="AC46" s="9" t="s">
        <v>41</v>
      </c>
      <c r="AD46" s="9" t="s">
        <v>533</v>
      </c>
      <c r="AE46" s="9" t="s">
        <v>554</v>
      </c>
      <c r="AF46" s="9" t="s">
        <v>555</v>
      </c>
      <c r="AG46" s="9" t="s">
        <v>536</v>
      </c>
      <c r="AH46" s="9" t="s">
        <v>364</v>
      </c>
      <c r="AI46" s="9" t="s">
        <v>44</v>
      </c>
      <c r="AJ46" s="9" t="s">
        <v>61</v>
      </c>
      <c r="AK46" s="9" t="s">
        <v>551</v>
      </c>
      <c r="AL46" s="9" t="s">
        <v>557</v>
      </c>
      <c r="AM46" s="10" t="s">
        <v>344</v>
      </c>
    </row>
    <row r="47" spans="2:39" x14ac:dyDescent="0.2">
      <c r="B47" s="21" t="s">
        <v>44</v>
      </c>
      <c r="C47" s="21" t="s">
        <v>45</v>
      </c>
      <c r="D47" s="22">
        <v>0.91475152969360396</v>
      </c>
      <c r="E47" s="22">
        <v>-2.0740776062011701</v>
      </c>
      <c r="F47" s="22">
        <v>0.71827512979507502</v>
      </c>
      <c r="G47" s="21" t="s">
        <v>1110</v>
      </c>
      <c r="H47" s="22">
        <f>POWER(10,E47)</f>
        <v>8.4318407162312405E-3</v>
      </c>
      <c r="J47" s="2" t="s">
        <v>44</v>
      </c>
      <c r="K47" s="2" t="s">
        <v>45</v>
      </c>
      <c r="L47" s="5">
        <v>0.73703676462173495</v>
      </c>
      <c r="M47" s="5">
        <v>-2.2961778640747101</v>
      </c>
      <c r="N47" s="5">
        <v>0.91167300939559903</v>
      </c>
      <c r="O47" s="5">
        <f t="shared" si="0"/>
        <v>0.10064277991197416</v>
      </c>
      <c r="Q47" s="9" t="s">
        <v>45</v>
      </c>
      <c r="R47" s="9" t="s">
        <v>558</v>
      </c>
      <c r="S47" s="9" t="s">
        <v>559</v>
      </c>
      <c r="T47" s="9" t="s">
        <v>355</v>
      </c>
      <c r="U47" s="9" t="s">
        <v>355</v>
      </c>
      <c r="V47" s="9" t="s">
        <v>560</v>
      </c>
      <c r="W47" s="9" t="s">
        <v>44</v>
      </c>
      <c r="X47" s="9" t="s">
        <v>561</v>
      </c>
      <c r="Y47" s="9" t="s">
        <v>562</v>
      </c>
      <c r="Z47" s="9" t="s">
        <v>563</v>
      </c>
      <c r="AA47" s="10" t="s">
        <v>319</v>
      </c>
      <c r="AC47" s="9" t="s">
        <v>45</v>
      </c>
      <c r="AD47" s="9" t="s">
        <v>558</v>
      </c>
      <c r="AE47" s="9" t="s">
        <v>559</v>
      </c>
      <c r="AF47" s="9" t="s">
        <v>355</v>
      </c>
      <c r="AG47" s="9" t="s">
        <v>355</v>
      </c>
      <c r="AH47" s="9" t="s">
        <v>560</v>
      </c>
      <c r="AI47" s="9" t="s">
        <v>44</v>
      </c>
      <c r="AJ47" s="9" t="s">
        <v>561</v>
      </c>
      <c r="AK47" s="9" t="s">
        <v>562</v>
      </c>
      <c r="AL47" s="9" t="s">
        <v>564</v>
      </c>
      <c r="AM47" s="10" t="s">
        <v>344</v>
      </c>
    </row>
    <row r="48" spans="2:39" x14ac:dyDescent="0.2">
      <c r="B48" s="21" t="s">
        <v>44</v>
      </c>
      <c r="C48" s="21" t="s">
        <v>46</v>
      </c>
      <c r="D48" s="22">
        <v>0.91117566823959395</v>
      </c>
      <c r="E48" s="22">
        <v>-0.80727803707122803</v>
      </c>
      <c r="F48" s="22">
        <v>0.89505535364151001</v>
      </c>
      <c r="G48" s="21" t="s">
        <v>1110</v>
      </c>
      <c r="H48" s="22">
        <f>POWER(10,E48)</f>
        <v>0.15585543905840696</v>
      </c>
      <c r="J48" s="2" t="s">
        <v>44</v>
      </c>
      <c r="K48" s="2" t="s">
        <v>46</v>
      </c>
      <c r="L48" s="5">
        <v>0.74758672714233398</v>
      </c>
      <c r="M48" s="5">
        <v>-0.79971230030059803</v>
      </c>
      <c r="N48" s="5">
        <v>0.89510631561279297</v>
      </c>
      <c r="O48" s="5">
        <f t="shared" si="0"/>
        <v>0.44945825452264432</v>
      </c>
      <c r="Q48" s="9" t="s">
        <v>46</v>
      </c>
      <c r="R48" s="9" t="s">
        <v>565</v>
      </c>
      <c r="S48" s="9" t="s">
        <v>566</v>
      </c>
      <c r="T48" s="9" t="s">
        <v>456</v>
      </c>
      <c r="U48" s="9" t="s">
        <v>456</v>
      </c>
      <c r="V48" s="9" t="s">
        <v>500</v>
      </c>
      <c r="W48" s="9" t="s">
        <v>44</v>
      </c>
      <c r="X48" s="9" t="s">
        <v>210</v>
      </c>
      <c r="Y48" s="9" t="s">
        <v>567</v>
      </c>
      <c r="Z48" s="9" t="s">
        <v>568</v>
      </c>
      <c r="AA48" s="10" t="s">
        <v>319</v>
      </c>
      <c r="AC48" s="9" t="s">
        <v>46</v>
      </c>
      <c r="AD48" s="9" t="s">
        <v>565</v>
      </c>
      <c r="AE48" s="9" t="s">
        <v>566</v>
      </c>
      <c r="AF48" s="9" t="s">
        <v>456</v>
      </c>
      <c r="AG48" s="9" t="s">
        <v>456</v>
      </c>
      <c r="AH48" s="9" t="s">
        <v>500</v>
      </c>
      <c r="AI48" s="9" t="s">
        <v>44</v>
      </c>
      <c r="AJ48" s="9" t="s">
        <v>210</v>
      </c>
      <c r="AK48" s="9" t="s">
        <v>567</v>
      </c>
      <c r="AL48" s="9" t="s">
        <v>569</v>
      </c>
      <c r="AM48" s="10" t="s">
        <v>344</v>
      </c>
    </row>
    <row r="49" spans="2:39" x14ac:dyDescent="0.2">
      <c r="B49" s="21" t="s">
        <v>44</v>
      </c>
      <c r="C49" s="21" t="s">
        <v>42</v>
      </c>
      <c r="D49" s="22">
        <v>0.873449146747589</v>
      </c>
      <c r="E49" s="22">
        <v>-0.76008689403533902</v>
      </c>
      <c r="F49" s="22">
        <v>0.70143228769302401</v>
      </c>
      <c r="G49" s="21" t="s">
        <v>1110</v>
      </c>
      <c r="H49" s="22">
        <f>POWER(10,E49)</f>
        <v>0.17374531627592163</v>
      </c>
      <c r="J49" s="2" t="s">
        <v>44</v>
      </c>
      <c r="K49" s="2" t="s">
        <v>42</v>
      </c>
      <c r="L49" s="5">
        <v>0.714186310768127</v>
      </c>
      <c r="M49" s="5">
        <v>-0.17219781875610399</v>
      </c>
      <c r="N49" s="5">
        <v>0.62817919254303001</v>
      </c>
      <c r="O49" s="5">
        <f t="shared" si="0"/>
        <v>0.84181263036898601</v>
      </c>
      <c r="Q49" s="9" t="s">
        <v>42</v>
      </c>
      <c r="R49" s="9" t="s">
        <v>539</v>
      </c>
      <c r="S49" s="9" t="s">
        <v>540</v>
      </c>
      <c r="T49" s="9" t="s">
        <v>541</v>
      </c>
      <c r="U49" s="9" t="s">
        <v>541</v>
      </c>
      <c r="V49" s="9" t="s">
        <v>570</v>
      </c>
      <c r="W49" s="9" t="s">
        <v>44</v>
      </c>
      <c r="X49" s="9" t="s">
        <v>64</v>
      </c>
      <c r="Y49" s="9" t="s">
        <v>571</v>
      </c>
      <c r="Z49" s="9" t="s">
        <v>572</v>
      </c>
      <c r="AA49" s="10" t="s">
        <v>319</v>
      </c>
    </row>
    <row r="50" spans="2:39" x14ac:dyDescent="0.2">
      <c r="B50" s="21" t="s">
        <v>47</v>
      </c>
      <c r="C50" s="21" t="s">
        <v>48</v>
      </c>
      <c r="D50" s="22">
        <v>0.782099068164825</v>
      </c>
      <c r="E50" s="22">
        <v>-0.97729986906051602</v>
      </c>
      <c r="F50" s="22">
        <v>0.77381569147109996</v>
      </c>
      <c r="G50" s="21" t="s">
        <v>1110</v>
      </c>
      <c r="H50" s="22">
        <f>POWER(10,E50)</f>
        <v>0.10536591209071594</v>
      </c>
      <c r="J50" s="2" t="s">
        <v>47</v>
      </c>
      <c r="K50" s="2" t="s">
        <v>48</v>
      </c>
      <c r="L50" s="5">
        <v>0.76407814025878895</v>
      </c>
      <c r="M50" s="5">
        <v>-0.79914397001266502</v>
      </c>
      <c r="N50" s="5">
        <v>0.793842613697052</v>
      </c>
      <c r="O50" s="5">
        <f t="shared" si="0"/>
        <v>0.44971376786295864</v>
      </c>
      <c r="Q50" s="9" t="s">
        <v>48</v>
      </c>
      <c r="R50" s="9" t="s">
        <v>573</v>
      </c>
      <c r="S50" s="9" t="s">
        <v>574</v>
      </c>
      <c r="T50" s="9" t="s">
        <v>391</v>
      </c>
      <c r="U50" s="9" t="s">
        <v>391</v>
      </c>
      <c r="V50" s="9" t="s">
        <v>357</v>
      </c>
      <c r="W50" s="9" t="s">
        <v>47</v>
      </c>
      <c r="X50" s="9" t="s">
        <v>575</v>
      </c>
      <c r="Y50" s="9" t="s">
        <v>576</v>
      </c>
      <c r="Z50" s="9" t="s">
        <v>577</v>
      </c>
      <c r="AA50" s="10" t="s">
        <v>319</v>
      </c>
      <c r="AC50" s="9" t="s">
        <v>48</v>
      </c>
      <c r="AD50" s="9" t="s">
        <v>573</v>
      </c>
      <c r="AE50" s="9" t="s">
        <v>574</v>
      </c>
      <c r="AF50" s="9" t="s">
        <v>391</v>
      </c>
      <c r="AG50" s="9" t="s">
        <v>391</v>
      </c>
      <c r="AH50" s="9" t="s">
        <v>357</v>
      </c>
      <c r="AI50" s="9" t="s">
        <v>47</v>
      </c>
      <c r="AJ50" s="9" t="s">
        <v>575</v>
      </c>
      <c r="AK50" s="9" t="s">
        <v>576</v>
      </c>
      <c r="AL50" s="9" t="s">
        <v>578</v>
      </c>
      <c r="AM50" s="10" t="s">
        <v>579</v>
      </c>
    </row>
    <row r="51" spans="2:39" x14ac:dyDescent="0.2">
      <c r="B51" s="21" t="s">
        <v>47</v>
      </c>
      <c r="C51" s="21" t="s">
        <v>19</v>
      </c>
      <c r="D51" s="22">
        <v>0.76172137260437001</v>
      </c>
      <c r="E51" s="22">
        <v>-0.61111748218536399</v>
      </c>
      <c r="F51" s="22">
        <v>0.89212226867675803</v>
      </c>
      <c r="G51" s="21" t="s">
        <v>1110</v>
      </c>
      <c r="H51" s="22">
        <f>POWER(10,E51)</f>
        <v>0.24484008286640446</v>
      </c>
      <c r="J51" s="2" t="s">
        <v>47</v>
      </c>
      <c r="K51" s="2" t="s">
        <v>19</v>
      </c>
      <c r="L51" s="5">
        <v>0.75868767499923695</v>
      </c>
      <c r="M51" s="5">
        <v>-4.7823734581470503E-2</v>
      </c>
      <c r="N51" s="5">
        <v>0.84072411060333296</v>
      </c>
      <c r="O51" s="5">
        <f t="shared" si="0"/>
        <v>0.95330180641096263</v>
      </c>
      <c r="Q51" s="9" t="s">
        <v>19</v>
      </c>
      <c r="R51" s="9" t="s">
        <v>396</v>
      </c>
      <c r="S51" s="9" t="s">
        <v>397</v>
      </c>
      <c r="T51" s="9" t="s">
        <v>398</v>
      </c>
      <c r="U51" s="9" t="s">
        <v>580</v>
      </c>
      <c r="V51" s="9" t="s">
        <v>581</v>
      </c>
      <c r="W51" s="9" t="s">
        <v>47</v>
      </c>
      <c r="X51" s="9" t="s">
        <v>31</v>
      </c>
      <c r="Y51" s="9" t="s">
        <v>582</v>
      </c>
      <c r="Z51" s="9" t="s">
        <v>583</v>
      </c>
      <c r="AA51" s="10" t="s">
        <v>579</v>
      </c>
    </row>
    <row r="52" spans="2:39" x14ac:dyDescent="0.2">
      <c r="B52" s="21" t="s">
        <v>47</v>
      </c>
      <c r="C52" s="21" t="s">
        <v>49</v>
      </c>
      <c r="D52" s="22">
        <v>0.77562224864959695</v>
      </c>
      <c r="E52" s="22">
        <v>-0.39439710974693298</v>
      </c>
      <c r="F52" s="22">
        <v>0.96418851613998402</v>
      </c>
      <c r="G52" s="21" t="s">
        <v>1110</v>
      </c>
      <c r="H52" s="22">
        <f>POWER(10,E52)</f>
        <v>0.40327647679376227</v>
      </c>
      <c r="J52" s="2" t="s">
        <v>47</v>
      </c>
      <c r="K52" s="2" t="s">
        <v>49</v>
      </c>
      <c r="L52" s="5">
        <v>0.75820159912109397</v>
      </c>
      <c r="M52" s="5">
        <v>-0.32619926333427401</v>
      </c>
      <c r="N52" s="5">
        <v>0.96101415157318104</v>
      </c>
      <c r="O52" s="5">
        <f t="shared" si="0"/>
        <v>0.72166137245237394</v>
      </c>
      <c r="Q52" s="9" t="s">
        <v>49</v>
      </c>
      <c r="R52" s="9" t="s">
        <v>584</v>
      </c>
      <c r="S52" s="9" t="s">
        <v>585</v>
      </c>
      <c r="T52" s="9" t="s">
        <v>449</v>
      </c>
      <c r="U52" s="9" t="s">
        <v>586</v>
      </c>
      <c r="V52" s="9" t="s">
        <v>587</v>
      </c>
      <c r="W52" s="9" t="s">
        <v>47</v>
      </c>
      <c r="X52" s="9" t="s">
        <v>31</v>
      </c>
      <c r="Y52" s="9" t="s">
        <v>582</v>
      </c>
      <c r="Z52" s="9" t="s">
        <v>588</v>
      </c>
      <c r="AA52" s="10" t="s">
        <v>579</v>
      </c>
    </row>
    <row r="53" spans="2:39" x14ac:dyDescent="0.2">
      <c r="B53" s="21" t="s">
        <v>47</v>
      </c>
      <c r="C53" s="21" t="s">
        <v>50</v>
      </c>
      <c r="D53" s="22">
        <v>0.73955267667770397</v>
      </c>
      <c r="E53" s="22">
        <v>0.22235749661922499</v>
      </c>
      <c r="F53" s="22">
        <v>0.81134092807769798</v>
      </c>
      <c r="G53" s="21" t="s">
        <v>1110</v>
      </c>
      <c r="H53" s="22">
        <f>POWER(10,E53)</f>
        <v>1.6686201994347567</v>
      </c>
      <c r="J53" s="2" t="s">
        <v>47</v>
      </c>
      <c r="K53" s="2" t="s">
        <v>50</v>
      </c>
      <c r="L53" s="5">
        <v>0.74340295791625999</v>
      </c>
      <c r="M53" s="5">
        <v>-0.368202775716782</v>
      </c>
      <c r="N53" s="5">
        <v>0.79878330230712902</v>
      </c>
      <c r="O53" s="5">
        <f t="shared" si="0"/>
        <v>0.6919768513593888</v>
      </c>
      <c r="Q53" s="9" t="s">
        <v>50</v>
      </c>
      <c r="R53" s="9" t="s">
        <v>589</v>
      </c>
      <c r="S53" s="9" t="s">
        <v>590</v>
      </c>
      <c r="T53" s="9" t="s">
        <v>591</v>
      </c>
      <c r="U53" s="9" t="s">
        <v>592</v>
      </c>
      <c r="V53" s="9" t="s">
        <v>500</v>
      </c>
      <c r="W53" s="9" t="s">
        <v>47</v>
      </c>
      <c r="X53" s="9" t="s">
        <v>5</v>
      </c>
      <c r="Y53" s="9" t="s">
        <v>593</v>
      </c>
      <c r="Z53" s="9" t="s">
        <v>594</v>
      </c>
      <c r="AA53" s="10" t="s">
        <v>319</v>
      </c>
    </row>
    <row r="54" spans="2:39" x14ac:dyDescent="0.2">
      <c r="B54" s="21" t="s">
        <v>51</v>
      </c>
      <c r="C54" s="21" t="s">
        <v>52</v>
      </c>
      <c r="D54" s="22">
        <v>0.93163889646530196</v>
      </c>
      <c r="E54" s="22">
        <v>-0.79483258724212702</v>
      </c>
      <c r="F54" s="22">
        <v>0.48282176256179798</v>
      </c>
      <c r="G54" s="21" t="s">
        <v>1110</v>
      </c>
      <c r="H54" s="22">
        <f>POWER(10,E54)</f>
        <v>0.16038635322567818</v>
      </c>
      <c r="J54" s="2" t="s">
        <v>51</v>
      </c>
      <c r="K54" s="2" t="s">
        <v>52</v>
      </c>
      <c r="L54" s="5">
        <v>0.75057357549667403</v>
      </c>
      <c r="M54" s="5">
        <v>-0.94221699237823497</v>
      </c>
      <c r="N54" s="5">
        <v>0.46091851592063898</v>
      </c>
      <c r="O54" s="5">
        <f t="shared" si="0"/>
        <v>0.38976277569446377</v>
      </c>
      <c r="Q54" s="9" t="s">
        <v>52</v>
      </c>
      <c r="R54" s="9" t="s">
        <v>595</v>
      </c>
      <c r="S54" s="9" t="s">
        <v>397</v>
      </c>
      <c r="T54" s="9" t="s">
        <v>355</v>
      </c>
      <c r="U54" s="9" t="s">
        <v>541</v>
      </c>
      <c r="V54" s="9" t="s">
        <v>596</v>
      </c>
      <c r="W54" s="9" t="s">
        <v>51</v>
      </c>
      <c r="X54" s="9" t="s">
        <v>597</v>
      </c>
      <c r="Y54" s="9" t="s">
        <v>598</v>
      </c>
      <c r="Z54" s="9" t="s">
        <v>599</v>
      </c>
      <c r="AA54" s="10" t="s">
        <v>319</v>
      </c>
    </row>
    <row r="55" spans="2:39" x14ac:dyDescent="0.2">
      <c r="B55" s="21" t="s">
        <v>53</v>
      </c>
      <c r="C55" s="21" t="s">
        <v>17</v>
      </c>
      <c r="D55" s="22">
        <v>0.93910217285156306</v>
      </c>
      <c r="E55" s="22">
        <v>7.38550275564194E-2</v>
      </c>
      <c r="F55" s="22">
        <v>0.76928454637527499</v>
      </c>
      <c r="G55" s="21" t="s">
        <v>1110</v>
      </c>
      <c r="H55" s="22">
        <f>POWER(10,E55)</f>
        <v>1.1853729911138802</v>
      </c>
      <c r="J55" s="2" t="s">
        <v>53</v>
      </c>
      <c r="K55" s="2" t="s">
        <v>17</v>
      </c>
      <c r="L55" s="5">
        <v>0.89844971895217896</v>
      </c>
      <c r="M55" s="5">
        <v>-4.8874523490667302E-2</v>
      </c>
      <c r="N55" s="5">
        <v>0.79040336608886697</v>
      </c>
      <c r="O55" s="5">
        <f t="shared" si="0"/>
        <v>0.952300613558964</v>
      </c>
      <c r="Q55" s="9" t="s">
        <v>17</v>
      </c>
      <c r="R55" s="9" t="s">
        <v>382</v>
      </c>
      <c r="S55" s="9" t="s">
        <v>602</v>
      </c>
      <c r="T55" s="9" t="s">
        <v>421</v>
      </c>
      <c r="U55" s="9" t="s">
        <v>603</v>
      </c>
      <c r="V55" s="9" t="s">
        <v>604</v>
      </c>
      <c r="W55" s="9" t="s">
        <v>53</v>
      </c>
      <c r="X55" s="9" t="s">
        <v>5</v>
      </c>
      <c r="Y55" s="9" t="s">
        <v>605</v>
      </c>
      <c r="Z55" s="9" t="s">
        <v>606</v>
      </c>
      <c r="AA55" s="10" t="s">
        <v>319</v>
      </c>
    </row>
    <row r="56" spans="2:39" x14ac:dyDescent="0.2">
      <c r="B56" s="21" t="s">
        <v>53</v>
      </c>
      <c r="C56" s="21" t="s">
        <v>54</v>
      </c>
      <c r="D56" s="22">
        <v>0.93620055913925204</v>
      </c>
      <c r="E56" s="22">
        <v>-1.7124167680740401</v>
      </c>
      <c r="F56" s="22">
        <v>0.92422276735305797</v>
      </c>
      <c r="G56" s="21" t="s">
        <v>1110</v>
      </c>
      <c r="H56" s="22">
        <f>POWER(10,E56)</f>
        <v>1.9390242116050563E-2</v>
      </c>
      <c r="J56" s="2" t="s">
        <v>53</v>
      </c>
      <c r="K56" s="2" t="s">
        <v>54</v>
      </c>
      <c r="L56" s="5">
        <v>0.87593239545822099</v>
      </c>
      <c r="M56" s="5">
        <v>-1.99657094478607</v>
      </c>
      <c r="N56" s="5">
        <v>0.959489226341248</v>
      </c>
      <c r="O56" s="5">
        <f t="shared" si="0"/>
        <v>0.13580015196999085</v>
      </c>
      <c r="Q56" s="9" t="s">
        <v>54</v>
      </c>
      <c r="R56" s="9" t="s">
        <v>607</v>
      </c>
      <c r="S56" s="9" t="s">
        <v>608</v>
      </c>
      <c r="T56" s="9" t="s">
        <v>362</v>
      </c>
      <c r="U56" s="9" t="s">
        <v>493</v>
      </c>
      <c r="V56" s="9" t="s">
        <v>609</v>
      </c>
      <c r="W56" s="9" t="s">
        <v>53</v>
      </c>
      <c r="X56" s="9" t="s">
        <v>51</v>
      </c>
      <c r="Y56" s="9" t="s">
        <v>601</v>
      </c>
      <c r="Z56" s="9" t="s">
        <v>610</v>
      </c>
      <c r="AA56" s="10" t="s">
        <v>319</v>
      </c>
    </row>
    <row r="57" spans="2:39" x14ac:dyDescent="0.2">
      <c r="B57" s="21" t="s">
        <v>53</v>
      </c>
      <c r="C57" s="21" t="s">
        <v>19</v>
      </c>
      <c r="D57" s="22">
        <v>0.93221026659011796</v>
      </c>
      <c r="E57" s="22">
        <v>-2.3177194595336901</v>
      </c>
      <c r="F57" s="22">
        <v>0.98988801240920998</v>
      </c>
      <c r="G57" s="21" t="s">
        <v>1110</v>
      </c>
      <c r="H57" s="22">
        <f>POWER(10,E57)</f>
        <v>4.8115005576688926E-3</v>
      </c>
      <c r="J57" s="2" t="s">
        <v>53</v>
      </c>
      <c r="K57" s="2" t="s">
        <v>19</v>
      </c>
      <c r="L57" s="5">
        <v>0.87498992681503296</v>
      </c>
      <c r="M57" s="5">
        <v>-2.19926977157593</v>
      </c>
      <c r="N57" s="5">
        <v>0.98033583164215099</v>
      </c>
      <c r="O57" s="5">
        <f t="shared" si="0"/>
        <v>0.11088409952721973</v>
      </c>
      <c r="Q57" s="9" t="s">
        <v>19</v>
      </c>
      <c r="R57" s="9" t="s">
        <v>396</v>
      </c>
      <c r="S57" s="9" t="s">
        <v>397</v>
      </c>
      <c r="T57" s="9" t="s">
        <v>398</v>
      </c>
      <c r="U57" s="9" t="s">
        <v>363</v>
      </c>
      <c r="V57" s="9" t="s">
        <v>611</v>
      </c>
      <c r="W57" s="9" t="s">
        <v>53</v>
      </c>
      <c r="X57" s="9" t="s">
        <v>75</v>
      </c>
      <c r="Y57" s="9" t="s">
        <v>571</v>
      </c>
      <c r="Z57" s="9" t="s">
        <v>612</v>
      </c>
      <c r="AA57" s="10" t="s">
        <v>319</v>
      </c>
    </row>
    <row r="58" spans="2:39" x14ac:dyDescent="0.2">
      <c r="B58" s="21" t="s">
        <v>53</v>
      </c>
      <c r="C58" s="21" t="s">
        <v>55</v>
      </c>
      <c r="D58" s="22">
        <v>0.91532784700393699</v>
      </c>
      <c r="E58" s="22">
        <v>5.7879969477653503E-2</v>
      </c>
      <c r="F58" s="22">
        <v>0.73048877716064498</v>
      </c>
      <c r="G58" s="21" t="s">
        <v>1110</v>
      </c>
      <c r="H58" s="22">
        <f>POWER(10,E58)</f>
        <v>1.1425625091599561</v>
      </c>
      <c r="J58" s="2" t="s">
        <v>53</v>
      </c>
      <c r="K58" s="2" t="s">
        <v>55</v>
      </c>
      <c r="L58" s="5">
        <v>0.88429558277130105</v>
      </c>
      <c r="M58" s="5">
        <v>7.6472356915473896E-2</v>
      </c>
      <c r="N58" s="5">
        <v>0.74439674615859996</v>
      </c>
      <c r="O58" s="5">
        <f t="shared" si="0"/>
        <v>1.0794723499793135</v>
      </c>
      <c r="Q58" s="9" t="s">
        <v>55</v>
      </c>
      <c r="R58" s="9" t="s">
        <v>613</v>
      </c>
      <c r="S58" s="9" t="s">
        <v>614</v>
      </c>
      <c r="T58" s="9" t="s">
        <v>355</v>
      </c>
      <c r="U58" s="9" t="s">
        <v>355</v>
      </c>
      <c r="V58" s="9" t="s">
        <v>615</v>
      </c>
      <c r="W58" s="9" t="s">
        <v>53</v>
      </c>
      <c r="X58" s="9" t="s">
        <v>51</v>
      </c>
      <c r="Y58" s="9" t="s">
        <v>601</v>
      </c>
      <c r="Z58" s="9" t="s">
        <v>616</v>
      </c>
      <c r="AA58" s="10" t="s">
        <v>319</v>
      </c>
    </row>
    <row r="59" spans="2:39" x14ac:dyDescent="0.2">
      <c r="B59" s="21" t="s">
        <v>53</v>
      </c>
      <c r="C59" s="21" t="s">
        <v>56</v>
      </c>
      <c r="D59" s="22">
        <v>0.92806857824325595</v>
      </c>
      <c r="E59" s="22">
        <v>0.44729560613632202</v>
      </c>
      <c r="F59" s="22">
        <v>0.74601173400878895</v>
      </c>
      <c r="G59" s="21" t="s">
        <v>1110</v>
      </c>
      <c r="H59" s="22">
        <f>POWER(10,E59)</f>
        <v>2.8008871179783688</v>
      </c>
      <c r="J59" s="2" t="s">
        <v>53</v>
      </c>
      <c r="K59" s="2" t="s">
        <v>56</v>
      </c>
      <c r="L59" s="5">
        <v>0.89174121618270896</v>
      </c>
      <c r="M59" s="5">
        <v>0.71080565452575695</v>
      </c>
      <c r="N59" s="5">
        <v>0.70688444375991799</v>
      </c>
      <c r="O59" s="5">
        <f t="shared" si="0"/>
        <v>2.0356306131976636</v>
      </c>
      <c r="Q59" s="9" t="s">
        <v>56</v>
      </c>
      <c r="R59" s="9" t="s">
        <v>617</v>
      </c>
      <c r="S59" s="9" t="s">
        <v>618</v>
      </c>
      <c r="T59" s="9" t="s">
        <v>619</v>
      </c>
      <c r="U59" s="9" t="s">
        <v>493</v>
      </c>
      <c r="V59" s="9" t="s">
        <v>620</v>
      </c>
      <c r="W59" s="9" t="s">
        <v>53</v>
      </c>
      <c r="X59" s="9" t="s">
        <v>621</v>
      </c>
      <c r="Y59" s="9" t="s">
        <v>622</v>
      </c>
      <c r="Z59" s="9" t="s">
        <v>623</v>
      </c>
      <c r="AA59" s="10" t="s">
        <v>319</v>
      </c>
    </row>
    <row r="60" spans="2:39" x14ac:dyDescent="0.2">
      <c r="B60" s="21" t="s">
        <v>53</v>
      </c>
      <c r="C60" s="21" t="s">
        <v>50</v>
      </c>
      <c r="D60" s="22">
        <v>0.91963225603103604</v>
      </c>
      <c r="E60" s="22">
        <v>-0.79031169414520297</v>
      </c>
      <c r="F60" s="22">
        <v>0.78802520036697399</v>
      </c>
      <c r="G60" s="21" t="s">
        <v>1110</v>
      </c>
      <c r="H60" s="22">
        <f>POWER(10,E60)</f>
        <v>0.16206465381288596</v>
      </c>
      <c r="J60" s="2" t="s">
        <v>53</v>
      </c>
      <c r="K60" s="2" t="s">
        <v>50</v>
      </c>
      <c r="L60" s="5">
        <v>0.86364859342575095</v>
      </c>
      <c r="M60" s="5">
        <v>-0.79992896318435702</v>
      </c>
      <c r="N60" s="5">
        <v>0.76492720842361495</v>
      </c>
      <c r="O60" s="5">
        <f t="shared" si="0"/>
        <v>0.44936088414974396</v>
      </c>
      <c r="Q60" s="9" t="s">
        <v>50</v>
      </c>
      <c r="R60" s="9" t="s">
        <v>589</v>
      </c>
      <c r="S60" s="9" t="s">
        <v>590</v>
      </c>
      <c r="T60" s="9" t="s">
        <v>591</v>
      </c>
      <c r="U60" s="9" t="s">
        <v>541</v>
      </c>
      <c r="V60" s="9" t="s">
        <v>624</v>
      </c>
      <c r="W60" s="9" t="s">
        <v>53</v>
      </c>
      <c r="X60" s="9" t="s">
        <v>5</v>
      </c>
      <c r="Y60" s="9" t="s">
        <v>605</v>
      </c>
      <c r="Z60" s="9" t="s">
        <v>625</v>
      </c>
      <c r="AA60" s="10" t="s">
        <v>319</v>
      </c>
    </row>
    <row r="61" spans="2:39" x14ac:dyDescent="0.2">
      <c r="B61" s="21" t="s">
        <v>53</v>
      </c>
      <c r="C61" s="21" t="s">
        <v>24</v>
      </c>
      <c r="D61" s="22">
        <v>0.91326564550399802</v>
      </c>
      <c r="E61" s="22">
        <v>-0.76237374544143699</v>
      </c>
      <c r="F61" s="22">
        <v>0.94207143783569303</v>
      </c>
      <c r="G61" s="21" t="s">
        <v>1110</v>
      </c>
      <c r="H61" s="22">
        <f>POWER(10,E61)</f>
        <v>0.17283283530394256</v>
      </c>
      <c r="J61" s="2" t="s">
        <v>53</v>
      </c>
      <c r="K61" s="2" t="s">
        <v>24</v>
      </c>
      <c r="L61" s="5">
        <v>0.87322980165481601</v>
      </c>
      <c r="M61" s="5">
        <v>-0.87056958675384499</v>
      </c>
      <c r="N61" s="5">
        <v>0.94117933511733998</v>
      </c>
      <c r="O61" s="5">
        <f t="shared" si="0"/>
        <v>0.41871298794181427</v>
      </c>
      <c r="Q61" s="9" t="s">
        <v>24</v>
      </c>
      <c r="R61" s="9" t="s">
        <v>438</v>
      </c>
      <c r="S61" s="9" t="s">
        <v>626</v>
      </c>
      <c r="T61" s="9" t="s">
        <v>627</v>
      </c>
      <c r="U61" s="9" t="s">
        <v>627</v>
      </c>
      <c r="V61" s="9" t="s">
        <v>628</v>
      </c>
      <c r="W61" s="9" t="s">
        <v>53</v>
      </c>
      <c r="X61" s="9" t="s">
        <v>51</v>
      </c>
      <c r="Y61" s="9" t="s">
        <v>601</v>
      </c>
      <c r="Z61" s="9" t="s">
        <v>629</v>
      </c>
      <c r="AA61" s="10" t="s">
        <v>319</v>
      </c>
    </row>
    <row r="62" spans="2:39" x14ac:dyDescent="0.2">
      <c r="B62" s="21" t="s">
        <v>57</v>
      </c>
      <c r="C62" s="21" t="s">
        <v>19</v>
      </c>
      <c r="D62" s="22">
        <v>0.90705394744873102</v>
      </c>
      <c r="E62" s="22">
        <v>-1.64865279197693</v>
      </c>
      <c r="F62" s="22">
        <v>0.92079699039459195</v>
      </c>
      <c r="G62" s="21" t="s">
        <v>1110</v>
      </c>
      <c r="H62" s="22">
        <f>POWER(10,E62)</f>
        <v>2.2456765708613134E-2</v>
      </c>
      <c r="J62" s="2" t="s">
        <v>57</v>
      </c>
      <c r="K62" s="2" t="s">
        <v>19</v>
      </c>
      <c r="L62" s="5">
        <v>0.80133289098739602</v>
      </c>
      <c r="M62" s="5">
        <v>-1.6688082218170199</v>
      </c>
      <c r="N62" s="5">
        <v>0.92302131652831998</v>
      </c>
      <c r="O62" s="5">
        <f t="shared" si="0"/>
        <v>0.18847154812467962</v>
      </c>
      <c r="Q62" s="9" t="s">
        <v>19</v>
      </c>
      <c r="R62" s="9" t="s">
        <v>396</v>
      </c>
      <c r="S62" s="9" t="s">
        <v>397</v>
      </c>
      <c r="T62" s="9" t="s">
        <v>398</v>
      </c>
      <c r="U62" s="9" t="s">
        <v>363</v>
      </c>
      <c r="V62" s="9" t="s">
        <v>631</v>
      </c>
      <c r="W62" s="9" t="s">
        <v>57</v>
      </c>
      <c r="X62" s="9" t="s">
        <v>68</v>
      </c>
      <c r="Y62" s="9" t="s">
        <v>632</v>
      </c>
      <c r="Z62" s="9" t="s">
        <v>633</v>
      </c>
      <c r="AA62" s="10" t="s">
        <v>319</v>
      </c>
    </row>
    <row r="63" spans="2:39" x14ac:dyDescent="0.2">
      <c r="B63" s="21" t="s">
        <v>57</v>
      </c>
      <c r="C63" s="21" t="s">
        <v>58</v>
      </c>
      <c r="D63" s="22">
        <v>0.89453184604644798</v>
      </c>
      <c r="E63" s="22">
        <v>-0.308990448713303</v>
      </c>
      <c r="F63" s="22">
        <v>0.55126988887786899</v>
      </c>
      <c r="G63" s="21" t="s">
        <v>1110</v>
      </c>
      <c r="H63" s="22">
        <f>POWER(10,E63)</f>
        <v>0.49091867263660716</v>
      </c>
      <c r="J63" s="2" t="s">
        <v>57</v>
      </c>
      <c r="K63" s="2" t="s">
        <v>58</v>
      </c>
      <c r="L63" s="5">
        <v>0.76873940229415905</v>
      </c>
      <c r="M63" s="5">
        <v>-0.100903958082199</v>
      </c>
      <c r="N63" s="5">
        <v>0.485592931509018</v>
      </c>
      <c r="O63" s="5">
        <f t="shared" si="0"/>
        <v>0.90401985251700134</v>
      </c>
      <c r="Q63" s="9" t="s">
        <v>58</v>
      </c>
      <c r="R63" s="9" t="s">
        <v>634</v>
      </c>
      <c r="S63" s="9" t="s">
        <v>635</v>
      </c>
      <c r="T63" s="9" t="s">
        <v>591</v>
      </c>
      <c r="U63" s="9" t="s">
        <v>591</v>
      </c>
      <c r="V63" s="9" t="s">
        <v>636</v>
      </c>
      <c r="W63" s="9" t="s">
        <v>57</v>
      </c>
      <c r="X63" s="9" t="s">
        <v>68</v>
      </c>
      <c r="Y63" s="9" t="s">
        <v>632</v>
      </c>
      <c r="Z63" s="9" t="s">
        <v>637</v>
      </c>
      <c r="AA63" s="10" t="s">
        <v>319</v>
      </c>
    </row>
    <row r="64" spans="2:39" x14ac:dyDescent="0.2">
      <c r="B64" s="21" t="s">
        <v>57</v>
      </c>
      <c r="C64" s="21" t="s">
        <v>8</v>
      </c>
      <c r="D64" s="22">
        <v>0.87686413526535001</v>
      </c>
      <c r="E64" s="22">
        <v>-0.227092400193214</v>
      </c>
      <c r="F64" s="22">
        <v>0.72635483741760298</v>
      </c>
      <c r="G64" s="21" t="s">
        <v>1110</v>
      </c>
      <c r="H64" s="22">
        <f>POWER(10,E64)</f>
        <v>0.59279918761743444</v>
      </c>
      <c r="J64" s="2" t="s">
        <v>57</v>
      </c>
      <c r="K64" s="2" t="s">
        <v>8</v>
      </c>
      <c r="L64" s="5">
        <v>0.78694689273834195</v>
      </c>
      <c r="M64" s="5">
        <v>-0.587543725967407</v>
      </c>
      <c r="N64" s="5">
        <v>0.73410719633102395</v>
      </c>
      <c r="O64" s="5">
        <f t="shared" si="0"/>
        <v>0.55569053802598045</v>
      </c>
      <c r="Q64" s="9" t="s">
        <v>8</v>
      </c>
      <c r="R64" s="9" t="s">
        <v>326</v>
      </c>
      <c r="S64" s="9" t="s">
        <v>638</v>
      </c>
      <c r="T64" s="9" t="s">
        <v>555</v>
      </c>
      <c r="U64" s="9" t="s">
        <v>639</v>
      </c>
      <c r="V64" s="9" t="s">
        <v>640</v>
      </c>
      <c r="W64" s="9" t="s">
        <v>57</v>
      </c>
      <c r="X64" s="9" t="s">
        <v>107</v>
      </c>
      <c r="Y64" s="9" t="s">
        <v>641</v>
      </c>
      <c r="Z64" s="9" t="s">
        <v>642</v>
      </c>
      <c r="AA64" s="10" t="s">
        <v>319</v>
      </c>
    </row>
    <row r="65" spans="2:51" x14ac:dyDescent="0.2">
      <c r="B65" s="21" t="s">
        <v>57</v>
      </c>
      <c r="C65" s="21" t="s">
        <v>55</v>
      </c>
      <c r="D65" s="22">
        <v>0.90763646364212003</v>
      </c>
      <c r="E65" s="22">
        <v>5.8808520436286899E-2</v>
      </c>
      <c r="F65" s="22">
        <v>0.79560047388076804</v>
      </c>
      <c r="G65" s="21" t="s">
        <v>1110</v>
      </c>
      <c r="H65" s="22">
        <f>POWER(10,E65)</f>
        <v>1.1450079984156203</v>
      </c>
      <c r="J65" s="2" t="s">
        <v>57</v>
      </c>
      <c r="K65" s="2" t="s">
        <v>55</v>
      </c>
      <c r="L65" s="5">
        <v>0.78958767652511597</v>
      </c>
      <c r="M65" s="5">
        <v>-1.8184920772910101E-2</v>
      </c>
      <c r="N65" s="5">
        <v>0.77087885141372703</v>
      </c>
      <c r="O65" s="5">
        <f t="shared" si="0"/>
        <v>0.98197942717287801</v>
      </c>
      <c r="Q65" s="9" t="s">
        <v>55</v>
      </c>
      <c r="R65" s="9" t="s">
        <v>613</v>
      </c>
      <c r="S65" s="9" t="s">
        <v>643</v>
      </c>
      <c r="T65" s="9" t="s">
        <v>627</v>
      </c>
      <c r="U65" s="9" t="s">
        <v>627</v>
      </c>
      <c r="V65" s="9" t="s">
        <v>644</v>
      </c>
      <c r="W65" s="9" t="s">
        <v>57</v>
      </c>
      <c r="X65" s="9" t="s">
        <v>51</v>
      </c>
      <c r="Y65" s="9" t="s">
        <v>630</v>
      </c>
      <c r="Z65" s="9" t="s">
        <v>645</v>
      </c>
      <c r="AA65" s="10" t="s">
        <v>319</v>
      </c>
    </row>
    <row r="66" spans="2:51" x14ac:dyDescent="0.2">
      <c r="B66" s="21" t="s">
        <v>59</v>
      </c>
      <c r="C66" s="21" t="s">
        <v>60</v>
      </c>
      <c r="D66" s="22">
        <v>0.89845865964889504</v>
      </c>
      <c r="E66" s="22">
        <v>0.323905289173126</v>
      </c>
      <c r="F66" s="22">
        <v>0.62629646062850997</v>
      </c>
      <c r="G66" s="21" t="s">
        <v>1110</v>
      </c>
      <c r="H66" s="22">
        <f>POWER(10,E66)</f>
        <v>2.108168350996829</v>
      </c>
      <c r="J66" s="2" t="s">
        <v>59</v>
      </c>
      <c r="K66" s="2" t="s">
        <v>60</v>
      </c>
      <c r="L66" s="5">
        <v>0.79768490791320801</v>
      </c>
      <c r="M66" s="5">
        <v>0.196927189826965</v>
      </c>
      <c r="N66" s="5">
        <v>0.63304668664932295</v>
      </c>
      <c r="O66" s="5">
        <f t="shared" si="0"/>
        <v>1.2176553797793401</v>
      </c>
      <c r="Q66" s="9" t="s">
        <v>60</v>
      </c>
      <c r="R66" s="9" t="s">
        <v>646</v>
      </c>
      <c r="S66" s="9" t="s">
        <v>647</v>
      </c>
      <c r="T66" s="9" t="s">
        <v>391</v>
      </c>
      <c r="U66" s="9" t="s">
        <v>391</v>
      </c>
      <c r="V66" s="9" t="s">
        <v>648</v>
      </c>
      <c r="W66" s="9" t="s">
        <v>59</v>
      </c>
      <c r="X66" s="9" t="s">
        <v>649</v>
      </c>
      <c r="Y66" s="9" t="s">
        <v>650</v>
      </c>
      <c r="Z66" s="9" t="s">
        <v>583</v>
      </c>
      <c r="AA66" s="10" t="s">
        <v>319</v>
      </c>
    </row>
    <row r="67" spans="2:51" x14ac:dyDescent="0.2">
      <c r="B67" s="21" t="s">
        <v>61</v>
      </c>
      <c r="C67" s="21" t="s">
        <v>8</v>
      </c>
      <c r="D67" s="22">
        <v>0.894861340522766</v>
      </c>
      <c r="E67" s="22">
        <v>-0.99398750066757202</v>
      </c>
      <c r="F67" s="22">
        <v>0.84795331954956099</v>
      </c>
      <c r="G67" s="21" t="s">
        <v>1110</v>
      </c>
      <c r="H67" s="22">
        <f>POWER(10,E67)</f>
        <v>0.10139405673136162</v>
      </c>
      <c r="J67" s="2" t="s">
        <v>61</v>
      </c>
      <c r="K67" s="2" t="s">
        <v>8</v>
      </c>
      <c r="L67" s="5">
        <v>0.70299685001373302</v>
      </c>
      <c r="M67" s="5">
        <v>-0.75570082664489802</v>
      </c>
      <c r="N67" s="5">
        <v>0.85977506637573198</v>
      </c>
      <c r="O67" s="5">
        <f t="shared" ref="O67:O129" si="1">EXP(M67)</f>
        <v>0.4696813341661239</v>
      </c>
      <c r="Q67" s="9" t="s">
        <v>8</v>
      </c>
      <c r="R67" s="9" t="s">
        <v>326</v>
      </c>
      <c r="S67" s="9" t="s">
        <v>652</v>
      </c>
      <c r="T67" s="9" t="s">
        <v>653</v>
      </c>
      <c r="U67" s="9" t="s">
        <v>653</v>
      </c>
      <c r="V67" s="9" t="s">
        <v>654</v>
      </c>
      <c r="W67" s="9" t="s">
        <v>61</v>
      </c>
      <c r="X67" s="9" t="s">
        <v>330</v>
      </c>
      <c r="Y67" s="9" t="s">
        <v>655</v>
      </c>
      <c r="Z67" s="9" t="s">
        <v>656</v>
      </c>
      <c r="AA67" s="10" t="s">
        <v>319</v>
      </c>
    </row>
    <row r="68" spans="2:51" x14ac:dyDescent="0.2">
      <c r="B68" s="21" t="s">
        <v>61</v>
      </c>
      <c r="C68" s="21" t="s">
        <v>34</v>
      </c>
      <c r="D68" s="22">
        <v>0.90738707780838002</v>
      </c>
      <c r="E68" s="22">
        <v>-0.33740580081939697</v>
      </c>
      <c r="F68" s="22">
        <v>0.93011361360549905</v>
      </c>
      <c r="G68" s="21" t="s">
        <v>1110</v>
      </c>
      <c r="H68" s="22">
        <f>POWER(10,E68)</f>
        <v>0.45982671487860566</v>
      </c>
      <c r="J68" s="2" t="s">
        <v>61</v>
      </c>
      <c r="K68" s="2" t="s">
        <v>34</v>
      </c>
      <c r="L68" s="5">
        <v>0.69557106494903598</v>
      </c>
      <c r="M68" s="5">
        <v>-0.24250601232051899</v>
      </c>
      <c r="N68" s="5">
        <v>0.95428818464279197</v>
      </c>
      <c r="O68" s="5">
        <f t="shared" si="1"/>
        <v>0.78465902994295433</v>
      </c>
      <c r="Q68" s="9" t="s">
        <v>34</v>
      </c>
      <c r="R68" s="9" t="s">
        <v>497</v>
      </c>
      <c r="S68" s="9" t="s">
        <v>657</v>
      </c>
      <c r="T68" s="9" t="s">
        <v>499</v>
      </c>
      <c r="U68" s="9" t="s">
        <v>493</v>
      </c>
      <c r="V68" s="9" t="s">
        <v>658</v>
      </c>
      <c r="W68" s="9" t="s">
        <v>61</v>
      </c>
      <c r="X68" s="9" t="s">
        <v>292</v>
      </c>
      <c r="Y68" s="9" t="s">
        <v>651</v>
      </c>
      <c r="Z68" s="9" t="s">
        <v>659</v>
      </c>
      <c r="AA68" s="10" t="s">
        <v>319</v>
      </c>
    </row>
    <row r="69" spans="2:51" x14ac:dyDescent="0.2">
      <c r="B69" s="21" t="s">
        <v>61</v>
      </c>
      <c r="C69" s="21" t="s">
        <v>62</v>
      </c>
      <c r="D69" s="22">
        <v>0.91612118482589699</v>
      </c>
      <c r="E69" s="22">
        <v>-1.11267018318176</v>
      </c>
      <c r="F69" s="22">
        <v>0.75949329137802102</v>
      </c>
      <c r="G69" s="21" t="s">
        <v>1110</v>
      </c>
      <c r="H69" s="22">
        <f>POWER(10,E69)</f>
        <v>7.7148913963984364E-2</v>
      </c>
      <c r="J69" s="2" t="s">
        <v>61</v>
      </c>
      <c r="K69" s="2" t="s">
        <v>62</v>
      </c>
      <c r="L69" s="5">
        <v>0.71189880371093806</v>
      </c>
      <c r="M69" s="5">
        <v>-1.1863530874252299</v>
      </c>
      <c r="N69" s="5">
        <v>0.76071983575820901</v>
      </c>
      <c r="O69" s="5">
        <f t="shared" si="1"/>
        <v>0.30533275794874615</v>
      </c>
      <c r="Q69" s="9" t="s">
        <v>62</v>
      </c>
      <c r="R69" s="9" t="s">
        <v>660</v>
      </c>
      <c r="S69" s="9" t="s">
        <v>661</v>
      </c>
      <c r="T69" s="9" t="s">
        <v>375</v>
      </c>
      <c r="U69" s="9" t="s">
        <v>580</v>
      </c>
      <c r="V69" s="9" t="s">
        <v>662</v>
      </c>
      <c r="W69" s="9" t="s">
        <v>61</v>
      </c>
      <c r="X69" s="9" t="s">
        <v>67</v>
      </c>
      <c r="Y69" s="9" t="s">
        <v>663</v>
      </c>
      <c r="Z69" s="9" t="s">
        <v>664</v>
      </c>
      <c r="AA69" s="10" t="s">
        <v>319</v>
      </c>
    </row>
    <row r="70" spans="2:51" x14ac:dyDescent="0.2">
      <c r="B70" s="21" t="s">
        <v>63</v>
      </c>
      <c r="C70" s="21" t="s">
        <v>8</v>
      </c>
      <c r="D70" s="22">
        <v>0.81598061323165905</v>
      </c>
      <c r="E70" s="22">
        <v>-0.30912011861801197</v>
      </c>
      <c r="F70" s="22">
        <v>0.71655023097991899</v>
      </c>
      <c r="G70" s="21" t="s">
        <v>1110</v>
      </c>
      <c r="H70" s="22">
        <f>POWER(10,E70)</f>
        <v>0.49077211798805337</v>
      </c>
      <c r="J70" s="2" t="s">
        <v>63</v>
      </c>
      <c r="K70" s="2" t="s">
        <v>8</v>
      </c>
      <c r="L70" s="5">
        <v>0.85994750261306796</v>
      </c>
      <c r="M70" s="5">
        <v>0.22985854744911199</v>
      </c>
      <c r="N70" s="5">
        <v>0.55225837230682395</v>
      </c>
      <c r="O70" s="5">
        <f t="shared" si="1"/>
        <v>1.2584219903384852</v>
      </c>
      <c r="Q70" s="9" t="s">
        <v>8</v>
      </c>
      <c r="R70" s="9" t="s">
        <v>326</v>
      </c>
      <c r="S70" s="9" t="s">
        <v>665</v>
      </c>
      <c r="T70" s="9" t="s">
        <v>391</v>
      </c>
      <c r="U70" s="9" t="s">
        <v>391</v>
      </c>
      <c r="V70" s="9" t="s">
        <v>666</v>
      </c>
      <c r="W70" s="9" t="s">
        <v>63</v>
      </c>
      <c r="X70" s="9" t="s">
        <v>330</v>
      </c>
      <c r="Y70" s="9" t="s">
        <v>667</v>
      </c>
      <c r="Z70" s="9" t="s">
        <v>668</v>
      </c>
      <c r="AA70" s="10" t="s">
        <v>319</v>
      </c>
    </row>
    <row r="71" spans="2:51" x14ac:dyDescent="0.2">
      <c r="B71" s="21" t="s">
        <v>63</v>
      </c>
      <c r="C71" s="21" t="s">
        <v>62</v>
      </c>
      <c r="D71" s="22">
        <v>0.84111213684081998</v>
      </c>
      <c r="E71" s="22">
        <v>-0.15732628107070901</v>
      </c>
      <c r="F71" s="22">
        <v>0.40907388925552401</v>
      </c>
      <c r="G71" s="21" t="s">
        <v>1110</v>
      </c>
      <c r="H71" s="22">
        <f>POWER(10,E71)</f>
        <v>0.69610334217757674</v>
      </c>
      <c r="J71" s="2" t="s">
        <v>63</v>
      </c>
      <c r="K71" s="2" t="s">
        <v>62</v>
      </c>
      <c r="L71" s="5">
        <v>0.86511319875717196</v>
      </c>
      <c r="M71" s="5">
        <v>-0.13419979810714699</v>
      </c>
      <c r="N71" s="5">
        <v>0.32871565222740201</v>
      </c>
      <c r="O71" s="5">
        <f t="shared" si="1"/>
        <v>0.87441534061923865</v>
      </c>
      <c r="Q71" s="9" t="s">
        <v>62</v>
      </c>
      <c r="R71" s="9" t="s">
        <v>660</v>
      </c>
      <c r="S71" s="9" t="s">
        <v>669</v>
      </c>
      <c r="T71" s="9" t="s">
        <v>670</v>
      </c>
      <c r="U71" s="9" t="s">
        <v>580</v>
      </c>
      <c r="V71" s="9" t="s">
        <v>671</v>
      </c>
      <c r="W71" s="9" t="s">
        <v>63</v>
      </c>
      <c r="X71" s="9" t="s">
        <v>495</v>
      </c>
      <c r="Y71" s="9" t="s">
        <v>672</v>
      </c>
      <c r="Z71" s="9" t="s">
        <v>673</v>
      </c>
      <c r="AA71" s="10" t="s">
        <v>319</v>
      </c>
    </row>
    <row r="72" spans="2:51" x14ac:dyDescent="0.2">
      <c r="B72" s="21" t="s">
        <v>64</v>
      </c>
      <c r="C72" s="21" t="s">
        <v>65</v>
      </c>
      <c r="D72" s="22">
        <v>0.83372163772582997</v>
      </c>
      <c r="E72" s="22">
        <v>-1.1862494945526101</v>
      </c>
      <c r="F72" s="22">
        <v>0.827378630638123</v>
      </c>
      <c r="G72" s="21" t="s">
        <v>1110</v>
      </c>
      <c r="H72" s="22">
        <f>POWER(10,E72)</f>
        <v>6.5125415250049237E-2</v>
      </c>
      <c r="J72" s="2" t="s">
        <v>64</v>
      </c>
      <c r="K72" s="2" t="s">
        <v>65</v>
      </c>
      <c r="L72" s="5">
        <v>0.78776568174362205</v>
      </c>
      <c r="M72" s="5">
        <v>-1.4910483360290501</v>
      </c>
      <c r="N72" s="5">
        <v>0.87079948186874401</v>
      </c>
      <c r="O72" s="5">
        <f t="shared" si="1"/>
        <v>0.22513651306463309</v>
      </c>
      <c r="Q72" s="9" t="s">
        <v>65</v>
      </c>
      <c r="R72" s="9" t="s">
        <v>674</v>
      </c>
      <c r="S72" s="9" t="s">
        <v>675</v>
      </c>
      <c r="T72" s="9" t="s">
        <v>627</v>
      </c>
      <c r="U72" s="9" t="s">
        <v>627</v>
      </c>
      <c r="V72" s="9" t="s">
        <v>676</v>
      </c>
      <c r="W72" s="9" t="s">
        <v>64</v>
      </c>
      <c r="X72" s="9" t="s">
        <v>378</v>
      </c>
      <c r="Y72" s="9" t="s">
        <v>677</v>
      </c>
      <c r="Z72" s="9" t="s">
        <v>678</v>
      </c>
      <c r="AA72" s="10" t="s">
        <v>319</v>
      </c>
    </row>
    <row r="73" spans="2:51" x14ac:dyDescent="0.2">
      <c r="B73" s="21" t="s">
        <v>64</v>
      </c>
      <c r="C73" s="21" t="s">
        <v>66</v>
      </c>
      <c r="D73" s="22">
        <v>0.81803387403488204</v>
      </c>
      <c r="E73" s="22">
        <v>-2.6186089515686</v>
      </c>
      <c r="F73" s="22">
        <v>0.98876219987869296</v>
      </c>
      <c r="G73" s="21" t="s">
        <v>1110</v>
      </c>
      <c r="H73" s="22">
        <f>POWER(10,E73)</f>
        <v>2.4065287168359298E-3</v>
      </c>
      <c r="J73" s="2" t="s">
        <v>64</v>
      </c>
      <c r="K73" s="2" t="s">
        <v>66</v>
      </c>
      <c r="L73" s="5">
        <v>0.78526467084884599</v>
      </c>
      <c r="M73" s="5">
        <v>-2.1948866844177202</v>
      </c>
      <c r="N73" s="5">
        <v>0.95335155725479104</v>
      </c>
      <c r="O73" s="5">
        <f t="shared" si="1"/>
        <v>0.11137118088012379</v>
      </c>
      <c r="Q73" s="9" t="s">
        <v>66</v>
      </c>
      <c r="R73" s="9" t="s">
        <v>679</v>
      </c>
      <c r="S73" s="9" t="s">
        <v>680</v>
      </c>
      <c r="T73" s="9" t="s">
        <v>404</v>
      </c>
      <c r="U73" s="9" t="s">
        <v>404</v>
      </c>
      <c r="V73" s="9" t="s">
        <v>681</v>
      </c>
      <c r="W73" s="9" t="s">
        <v>64</v>
      </c>
      <c r="X73" s="9" t="s">
        <v>682</v>
      </c>
      <c r="Y73" s="9" t="s">
        <v>683</v>
      </c>
      <c r="Z73" s="9" t="s">
        <v>684</v>
      </c>
      <c r="AA73" s="10" t="s">
        <v>319</v>
      </c>
    </row>
    <row r="74" spans="2:51" x14ac:dyDescent="0.2">
      <c r="B74" s="21" t="s">
        <v>64</v>
      </c>
      <c r="C74" s="21" t="s">
        <v>8</v>
      </c>
      <c r="D74" s="22">
        <v>0.83086079359054599</v>
      </c>
      <c r="E74" s="22">
        <v>-1.1885890960693399</v>
      </c>
      <c r="F74" s="22">
        <v>0.95989394187927302</v>
      </c>
      <c r="G74" s="21" t="s">
        <v>1110</v>
      </c>
      <c r="H74" s="22">
        <f>POWER(10,E74)</f>
        <v>6.4775519382893817E-2</v>
      </c>
      <c r="J74" s="2" t="s">
        <v>64</v>
      </c>
      <c r="K74" s="2" t="s">
        <v>8</v>
      </c>
      <c r="L74" s="5">
        <v>0.78726857900619496</v>
      </c>
      <c r="M74" s="5">
        <v>-1.0104110240936299</v>
      </c>
      <c r="N74" s="5">
        <v>0.96278840303420998</v>
      </c>
      <c r="O74" s="5">
        <f t="shared" si="1"/>
        <v>0.36406930755707129</v>
      </c>
      <c r="Q74" s="9" t="s">
        <v>8</v>
      </c>
      <c r="R74" s="9" t="s">
        <v>326</v>
      </c>
      <c r="S74" s="9" t="s">
        <v>685</v>
      </c>
      <c r="T74" s="9" t="s">
        <v>435</v>
      </c>
      <c r="U74" s="9" t="s">
        <v>488</v>
      </c>
      <c r="V74" s="9" t="s">
        <v>686</v>
      </c>
      <c r="W74" s="9" t="s">
        <v>64</v>
      </c>
      <c r="X74" s="9" t="s">
        <v>330</v>
      </c>
      <c r="Y74" s="9" t="s">
        <v>687</v>
      </c>
      <c r="Z74" s="9" t="s">
        <v>688</v>
      </c>
      <c r="AA74" s="10" t="s">
        <v>319</v>
      </c>
    </row>
    <row r="75" spans="2:51" x14ac:dyDescent="0.2">
      <c r="B75" s="21" t="s">
        <v>67</v>
      </c>
      <c r="C75" s="21" t="s">
        <v>17</v>
      </c>
      <c r="D75" s="22">
        <v>0.81296557188034102</v>
      </c>
      <c r="E75" s="22">
        <v>-0.61922961473464999</v>
      </c>
      <c r="F75" s="22">
        <v>0.76698076725006104</v>
      </c>
      <c r="G75" s="21" t="s">
        <v>1110</v>
      </c>
      <c r="H75" s="22">
        <f>POWER(10,E75)</f>
        <v>0.2403091931434127</v>
      </c>
      <c r="J75" s="2" t="s">
        <v>67</v>
      </c>
      <c r="K75" s="2" t="s">
        <v>17</v>
      </c>
      <c r="L75" s="5">
        <v>0.80415117740631104</v>
      </c>
      <c r="M75" s="5">
        <v>-1.0107507705688501</v>
      </c>
      <c r="N75" s="5">
        <v>0.86333781480789196</v>
      </c>
      <c r="O75" s="5">
        <f t="shared" si="1"/>
        <v>0.36394563730254903</v>
      </c>
      <c r="Q75" s="9" t="s">
        <v>17</v>
      </c>
      <c r="R75" s="9" t="s">
        <v>382</v>
      </c>
      <c r="S75" s="9" t="s">
        <v>689</v>
      </c>
      <c r="T75" s="9" t="s">
        <v>690</v>
      </c>
      <c r="U75" s="9" t="s">
        <v>411</v>
      </c>
      <c r="V75" s="9" t="s">
        <v>691</v>
      </c>
      <c r="W75" s="9" t="s">
        <v>67</v>
      </c>
      <c r="X75" s="9" t="s">
        <v>506</v>
      </c>
      <c r="Y75" s="9" t="s">
        <v>692</v>
      </c>
      <c r="Z75" s="9" t="s">
        <v>693</v>
      </c>
      <c r="AA75" s="10" t="s">
        <v>319</v>
      </c>
      <c r="AC75" s="9" t="s">
        <v>17</v>
      </c>
      <c r="AD75" s="9" t="s">
        <v>382</v>
      </c>
      <c r="AE75" s="9" t="s">
        <v>689</v>
      </c>
      <c r="AF75" s="9" t="s">
        <v>690</v>
      </c>
      <c r="AG75" s="9" t="s">
        <v>411</v>
      </c>
      <c r="AH75" s="9" t="s">
        <v>691</v>
      </c>
      <c r="AI75" s="9" t="s">
        <v>67</v>
      </c>
      <c r="AJ75" s="9" t="s">
        <v>506</v>
      </c>
      <c r="AK75" s="9" t="s">
        <v>692</v>
      </c>
      <c r="AL75" s="9" t="s">
        <v>694</v>
      </c>
      <c r="AM75" s="10" t="s">
        <v>344</v>
      </c>
    </row>
    <row r="76" spans="2:51" x14ac:dyDescent="0.2">
      <c r="B76" s="21" t="s">
        <v>67</v>
      </c>
      <c r="C76" s="21" t="s">
        <v>7</v>
      </c>
      <c r="D76" s="22">
        <v>0.82276195287704501</v>
      </c>
      <c r="E76" s="22">
        <v>-0.53347396850585904</v>
      </c>
      <c r="F76" s="22">
        <v>0.77738589048385598</v>
      </c>
      <c r="G76" s="21" t="s">
        <v>1110</v>
      </c>
      <c r="H76" s="22">
        <f>POWER(10,E76)</f>
        <v>0.29276963514401488</v>
      </c>
      <c r="J76" s="2" t="s">
        <v>67</v>
      </c>
      <c r="K76" s="2" t="s">
        <v>7</v>
      </c>
      <c r="L76" s="5">
        <v>0.79358941316604603</v>
      </c>
      <c r="M76" s="5">
        <v>-0.343091011047363</v>
      </c>
      <c r="N76" s="5">
        <v>0.84583503007888805</v>
      </c>
      <c r="O76" s="5">
        <f t="shared" si="1"/>
        <v>0.70957362958220704</v>
      </c>
      <c r="Q76" s="9" t="s">
        <v>7</v>
      </c>
      <c r="R76" s="9" t="s">
        <v>320</v>
      </c>
      <c r="S76" s="9" t="s">
        <v>695</v>
      </c>
      <c r="T76" s="9" t="s">
        <v>493</v>
      </c>
      <c r="U76" s="9" t="s">
        <v>493</v>
      </c>
      <c r="V76" s="9" t="s">
        <v>696</v>
      </c>
      <c r="W76" s="9" t="s">
        <v>67</v>
      </c>
      <c r="X76" s="9" t="s">
        <v>51</v>
      </c>
      <c r="Y76" s="9" t="s">
        <v>697</v>
      </c>
      <c r="Z76" s="9" t="s">
        <v>698</v>
      </c>
      <c r="AA76" s="10" t="s">
        <v>344</v>
      </c>
    </row>
    <row r="77" spans="2:51" x14ac:dyDescent="0.2">
      <c r="B77" s="21" t="s">
        <v>67</v>
      </c>
      <c r="C77" s="21" t="s">
        <v>60</v>
      </c>
      <c r="D77" s="22">
        <v>0.84749126434326205</v>
      </c>
      <c r="E77" s="22">
        <v>-2.67574858665466</v>
      </c>
      <c r="F77" s="22">
        <v>0.87678170204162598</v>
      </c>
      <c r="G77" s="21" t="s">
        <v>1110</v>
      </c>
      <c r="H77" s="22">
        <f>POWER(10,E77)</f>
        <v>2.1098491894752536E-3</v>
      </c>
      <c r="J77" s="2" t="s">
        <v>67</v>
      </c>
      <c r="K77" s="2" t="s">
        <v>60</v>
      </c>
      <c r="L77" s="5">
        <v>0.80270844697952304</v>
      </c>
      <c r="M77" s="5">
        <v>-1.68209683895111</v>
      </c>
      <c r="N77" s="5">
        <v>0.79271453619003296</v>
      </c>
      <c r="O77" s="5">
        <f t="shared" si="1"/>
        <v>0.18598358925911632</v>
      </c>
      <c r="Q77" s="9" t="s">
        <v>60</v>
      </c>
      <c r="R77" s="9" t="s">
        <v>646</v>
      </c>
      <c r="S77" s="9" t="s">
        <v>699</v>
      </c>
      <c r="T77" s="9" t="s">
        <v>700</v>
      </c>
      <c r="U77" s="9" t="s">
        <v>356</v>
      </c>
      <c r="V77" s="9" t="s">
        <v>701</v>
      </c>
      <c r="W77" s="9" t="s">
        <v>67</v>
      </c>
      <c r="X77" s="9" t="s">
        <v>495</v>
      </c>
      <c r="Y77" s="9" t="s">
        <v>702</v>
      </c>
      <c r="Z77" s="9" t="s">
        <v>703</v>
      </c>
      <c r="AA77" s="10" t="s">
        <v>319</v>
      </c>
      <c r="AC77" s="9" t="s">
        <v>60</v>
      </c>
      <c r="AD77" s="9" t="s">
        <v>646</v>
      </c>
      <c r="AE77" s="9" t="s">
        <v>699</v>
      </c>
      <c r="AF77" s="9" t="s">
        <v>700</v>
      </c>
      <c r="AG77" s="9" t="s">
        <v>356</v>
      </c>
      <c r="AH77" s="9" t="s">
        <v>701</v>
      </c>
      <c r="AI77" s="9" t="s">
        <v>67</v>
      </c>
      <c r="AJ77" s="9" t="s">
        <v>495</v>
      </c>
      <c r="AK77" s="9" t="s">
        <v>702</v>
      </c>
      <c r="AL77" s="9" t="s">
        <v>704</v>
      </c>
      <c r="AM77" s="10" t="s">
        <v>344</v>
      </c>
      <c r="AO77" s="9" t="s">
        <v>60</v>
      </c>
      <c r="AP77" s="11" t="s">
        <v>646</v>
      </c>
      <c r="AQ77" s="11" t="s">
        <v>699</v>
      </c>
      <c r="AR77" s="11">
        <v>0.47</v>
      </c>
      <c r="AS77" s="11">
        <v>0.79</v>
      </c>
      <c r="AT77" s="12">
        <v>2.2000000000000002E-11</v>
      </c>
      <c r="AU77" s="11" t="s">
        <v>67</v>
      </c>
      <c r="AV77" s="11" t="s">
        <v>495</v>
      </c>
      <c r="AW77" s="12">
        <v>1.2000000000000001E-32</v>
      </c>
      <c r="AX77" s="11">
        <v>18</v>
      </c>
      <c r="AY77" s="13" t="s">
        <v>579</v>
      </c>
    </row>
    <row r="78" spans="2:51" x14ac:dyDescent="0.2">
      <c r="B78" s="21" t="s">
        <v>68</v>
      </c>
      <c r="C78" s="21" t="s">
        <v>69</v>
      </c>
      <c r="D78" s="22">
        <v>0.96180146932601895</v>
      </c>
      <c r="E78" s="22">
        <v>3.6635923385620099</v>
      </c>
      <c r="F78" s="22">
        <v>0.35956487059593201</v>
      </c>
      <c r="G78" s="21" t="s">
        <v>1110</v>
      </c>
      <c r="H78" s="22">
        <f>POWER(10,E78)</f>
        <v>4608.8475038926126</v>
      </c>
      <c r="J78" s="2" t="s">
        <v>68</v>
      </c>
      <c r="K78" s="2" t="s">
        <v>69</v>
      </c>
      <c r="L78" s="5">
        <v>0.79615235328674305</v>
      </c>
      <c r="M78" s="5">
        <v>2.1755809783935498</v>
      </c>
      <c r="N78" s="5">
        <v>0.437785744667053</v>
      </c>
      <c r="O78" s="5">
        <f t="shared" si="1"/>
        <v>8.8073004873740626</v>
      </c>
      <c r="Q78" s="9" t="s">
        <v>69</v>
      </c>
      <c r="R78" s="9" t="s">
        <v>705</v>
      </c>
      <c r="S78" s="9" t="s">
        <v>706</v>
      </c>
      <c r="T78" s="9" t="s">
        <v>690</v>
      </c>
      <c r="U78" s="9" t="s">
        <v>541</v>
      </c>
      <c r="V78" s="9" t="s">
        <v>707</v>
      </c>
      <c r="W78" s="9" t="s">
        <v>68</v>
      </c>
      <c r="X78" s="9" t="s">
        <v>386</v>
      </c>
      <c r="Y78" s="9" t="s">
        <v>708</v>
      </c>
      <c r="Z78" s="9" t="s">
        <v>709</v>
      </c>
      <c r="AA78" s="10" t="s">
        <v>319</v>
      </c>
    </row>
    <row r="79" spans="2:51" x14ac:dyDescent="0.2">
      <c r="B79" s="21" t="s">
        <v>68</v>
      </c>
      <c r="C79" s="21" t="s">
        <v>70</v>
      </c>
      <c r="D79" s="22">
        <v>0.97135037183761597</v>
      </c>
      <c r="E79" s="22">
        <v>2.22018194198608</v>
      </c>
      <c r="F79" s="22">
        <v>0.330888330936432</v>
      </c>
      <c r="G79" s="21" t="s">
        <v>1110</v>
      </c>
      <c r="H79" s="22">
        <f>POWER(10,E79)</f>
        <v>166.02823152958746</v>
      </c>
      <c r="J79" s="2" t="s">
        <v>68</v>
      </c>
      <c r="K79" s="2" t="s">
        <v>70</v>
      </c>
      <c r="L79" s="5">
        <v>0.80481255054473899</v>
      </c>
      <c r="M79" s="5">
        <v>2.1644444465637198</v>
      </c>
      <c r="N79" s="5">
        <v>0.480015248060226</v>
      </c>
      <c r="O79" s="5">
        <f t="shared" si="1"/>
        <v>8.7097618343972272</v>
      </c>
      <c r="Q79" s="9" t="s">
        <v>70</v>
      </c>
      <c r="R79" s="9" t="s">
        <v>705</v>
      </c>
      <c r="S79" s="9" t="s">
        <v>706</v>
      </c>
      <c r="T79" s="9" t="s">
        <v>690</v>
      </c>
      <c r="U79" s="9" t="s">
        <v>541</v>
      </c>
      <c r="V79" s="9" t="s">
        <v>707</v>
      </c>
      <c r="W79" s="9" t="s">
        <v>68</v>
      </c>
      <c r="X79" s="9" t="s">
        <v>386</v>
      </c>
      <c r="Y79" s="9" t="s">
        <v>708</v>
      </c>
      <c r="Z79" s="9" t="s">
        <v>709</v>
      </c>
      <c r="AA79" s="10" t="s">
        <v>319</v>
      </c>
    </row>
    <row r="80" spans="2:51" x14ac:dyDescent="0.2">
      <c r="B80" s="21" t="s">
        <v>71</v>
      </c>
      <c r="C80" s="21" t="s">
        <v>72</v>
      </c>
      <c r="D80" s="22">
        <v>0.91505873203277599</v>
      </c>
      <c r="E80" s="22">
        <v>-0.99859935045242298</v>
      </c>
      <c r="F80" s="22">
        <v>0.70010697841644298</v>
      </c>
      <c r="G80" s="21" t="s">
        <v>1110</v>
      </c>
      <c r="H80" s="22">
        <f>POWER(10,E80)</f>
        <v>0.10032303210468389</v>
      </c>
      <c r="J80" s="2" t="s">
        <v>71</v>
      </c>
      <c r="K80" s="2" t="s">
        <v>72</v>
      </c>
      <c r="L80" s="5">
        <v>0.79718226194381703</v>
      </c>
      <c r="M80" s="5">
        <v>-1.1366988420486499</v>
      </c>
      <c r="N80" s="5">
        <v>0.73365229368209794</v>
      </c>
      <c r="O80" s="5">
        <f t="shared" si="1"/>
        <v>0.32087653947921585</v>
      </c>
      <c r="Q80" s="9" t="s">
        <v>72</v>
      </c>
      <c r="R80" s="9" t="s">
        <v>710</v>
      </c>
      <c r="S80" s="9" t="s">
        <v>711</v>
      </c>
      <c r="T80" s="9" t="s">
        <v>482</v>
      </c>
      <c r="U80" s="9" t="s">
        <v>476</v>
      </c>
      <c r="V80" s="9" t="s">
        <v>712</v>
      </c>
      <c r="W80" s="9" t="s">
        <v>71</v>
      </c>
      <c r="X80" s="9" t="s">
        <v>713</v>
      </c>
      <c r="Y80" s="9" t="s">
        <v>714</v>
      </c>
      <c r="Z80" s="9" t="s">
        <v>715</v>
      </c>
      <c r="AA80" s="10" t="s">
        <v>319</v>
      </c>
      <c r="AC80" s="9" t="s">
        <v>72</v>
      </c>
      <c r="AD80" s="9" t="s">
        <v>710</v>
      </c>
      <c r="AE80" s="9" t="s">
        <v>711</v>
      </c>
      <c r="AF80" s="9" t="s">
        <v>482</v>
      </c>
      <c r="AG80" s="9" t="s">
        <v>476</v>
      </c>
      <c r="AH80" s="9" t="s">
        <v>712</v>
      </c>
      <c r="AI80" s="9" t="s">
        <v>71</v>
      </c>
      <c r="AJ80" s="9" t="s">
        <v>713</v>
      </c>
      <c r="AK80" s="9" t="s">
        <v>714</v>
      </c>
      <c r="AL80" s="9" t="s">
        <v>716</v>
      </c>
      <c r="AM80" s="10" t="s">
        <v>344</v>
      </c>
    </row>
    <row r="81" spans="2:51" x14ac:dyDescent="0.2">
      <c r="B81" s="21" t="s">
        <v>71</v>
      </c>
      <c r="C81" s="21" t="s">
        <v>26</v>
      </c>
      <c r="D81" s="22">
        <v>0.90963280200958296</v>
      </c>
      <c r="E81" s="22">
        <v>-1.17964386940002</v>
      </c>
      <c r="F81" s="22">
        <v>0.87285137176513705</v>
      </c>
      <c r="G81" s="21" t="s">
        <v>1110</v>
      </c>
      <c r="H81" s="22">
        <f>POWER(10,E81)</f>
        <v>6.6123545271382783E-2</v>
      </c>
      <c r="J81" s="2" t="s">
        <v>71</v>
      </c>
      <c r="K81" s="2" t="s">
        <v>26</v>
      </c>
      <c r="L81" s="5">
        <v>0.78556895256042503</v>
      </c>
      <c r="M81" s="5">
        <v>-1.0924650430679299</v>
      </c>
      <c r="N81" s="5">
        <v>0.88845396041870095</v>
      </c>
      <c r="O81" s="5">
        <f t="shared" si="1"/>
        <v>0.33538872622999444</v>
      </c>
      <c r="Q81" s="9" t="s">
        <v>26</v>
      </c>
      <c r="R81" s="9" t="s">
        <v>447</v>
      </c>
      <c r="S81" s="9" t="s">
        <v>717</v>
      </c>
      <c r="T81" s="9" t="s">
        <v>328</v>
      </c>
      <c r="U81" s="9" t="s">
        <v>603</v>
      </c>
      <c r="V81" s="9" t="s">
        <v>500</v>
      </c>
      <c r="W81" s="9" t="s">
        <v>71</v>
      </c>
      <c r="X81" s="9" t="s">
        <v>386</v>
      </c>
      <c r="Y81" s="9" t="s">
        <v>718</v>
      </c>
      <c r="Z81" s="9" t="s">
        <v>719</v>
      </c>
      <c r="AA81" s="10" t="s">
        <v>319</v>
      </c>
      <c r="AC81" s="9" t="s">
        <v>26</v>
      </c>
      <c r="AD81" s="9" t="s">
        <v>447</v>
      </c>
      <c r="AE81" s="9" t="s">
        <v>717</v>
      </c>
      <c r="AF81" s="9" t="s">
        <v>328</v>
      </c>
      <c r="AG81" s="9" t="s">
        <v>603</v>
      </c>
      <c r="AH81" s="9" t="s">
        <v>500</v>
      </c>
      <c r="AI81" s="9" t="s">
        <v>71</v>
      </c>
      <c r="AJ81" s="9" t="s">
        <v>386</v>
      </c>
      <c r="AK81" s="9" t="s">
        <v>718</v>
      </c>
      <c r="AL81" s="9" t="s">
        <v>719</v>
      </c>
      <c r="AM81" s="10" t="s">
        <v>344</v>
      </c>
    </row>
    <row r="82" spans="2:51" x14ac:dyDescent="0.2">
      <c r="B82" s="21" t="s">
        <v>71</v>
      </c>
      <c r="C82" s="21" t="s">
        <v>58</v>
      </c>
      <c r="D82" s="22">
        <v>0.90941363573074296</v>
      </c>
      <c r="E82" s="22">
        <v>0.74575865268707298</v>
      </c>
      <c r="F82" s="22">
        <v>0.81990706920623802</v>
      </c>
      <c r="G82" s="21" t="s">
        <v>1110</v>
      </c>
      <c r="H82" s="22">
        <f>POWER(10,E82)</f>
        <v>5.5687619417048788</v>
      </c>
      <c r="J82" s="2" t="s">
        <v>71</v>
      </c>
      <c r="K82" s="2" t="s">
        <v>58</v>
      </c>
      <c r="L82" s="5">
        <v>0.79368990659713801</v>
      </c>
      <c r="M82" s="5">
        <v>0.724004447460175</v>
      </c>
      <c r="N82" s="5">
        <v>0.78572577238082897</v>
      </c>
      <c r="O82" s="5">
        <f t="shared" si="1"/>
        <v>2.0626765745395534</v>
      </c>
      <c r="Q82" s="9" t="s">
        <v>58</v>
      </c>
      <c r="R82" s="9" t="s">
        <v>634</v>
      </c>
      <c r="S82" s="9" t="s">
        <v>720</v>
      </c>
      <c r="T82" s="9" t="s">
        <v>355</v>
      </c>
      <c r="U82" s="9" t="s">
        <v>591</v>
      </c>
      <c r="V82" s="9" t="s">
        <v>721</v>
      </c>
      <c r="W82" s="9" t="s">
        <v>71</v>
      </c>
      <c r="X82" s="9" t="s">
        <v>68</v>
      </c>
      <c r="Y82" s="9" t="s">
        <v>722</v>
      </c>
      <c r="Z82" s="9" t="s">
        <v>723</v>
      </c>
      <c r="AA82" s="10" t="s">
        <v>319</v>
      </c>
    </row>
    <row r="83" spans="2:51" x14ac:dyDescent="0.2">
      <c r="B83" s="21" t="s">
        <v>71</v>
      </c>
      <c r="C83" s="21" t="s">
        <v>73</v>
      </c>
      <c r="D83" s="22">
        <v>0.93093997240066495</v>
      </c>
      <c r="E83" s="22">
        <v>0.13709308207035101</v>
      </c>
      <c r="F83" s="22">
        <v>0.88405668735504195</v>
      </c>
      <c r="G83" s="21" t="s">
        <v>1110</v>
      </c>
      <c r="H83" s="22">
        <f>POWER(10,E83)</f>
        <v>1.3711756179036954</v>
      </c>
      <c r="J83" s="2" t="s">
        <v>71</v>
      </c>
      <c r="K83" s="2" t="s">
        <v>73</v>
      </c>
      <c r="L83" s="5">
        <v>0.78594267368316695</v>
      </c>
      <c r="M83" s="5">
        <v>0.13233709335327101</v>
      </c>
      <c r="N83" s="5">
        <v>0.86780738830566395</v>
      </c>
      <c r="O83" s="5">
        <f t="shared" si="1"/>
        <v>1.1414930441374775</v>
      </c>
      <c r="Q83" s="9" t="s">
        <v>73</v>
      </c>
      <c r="R83" s="9" t="s">
        <v>724</v>
      </c>
      <c r="S83" s="9" t="s">
        <v>725</v>
      </c>
      <c r="T83" s="9" t="s">
        <v>499</v>
      </c>
      <c r="U83" s="9" t="s">
        <v>411</v>
      </c>
      <c r="V83" s="9" t="s">
        <v>726</v>
      </c>
      <c r="W83" s="9" t="s">
        <v>71</v>
      </c>
      <c r="X83" s="9" t="s">
        <v>386</v>
      </c>
      <c r="Y83" s="9" t="s">
        <v>718</v>
      </c>
      <c r="Z83" s="9" t="s">
        <v>727</v>
      </c>
      <c r="AA83" s="10" t="s">
        <v>319</v>
      </c>
      <c r="AC83" s="9" t="s">
        <v>73</v>
      </c>
      <c r="AD83" s="9" t="s">
        <v>724</v>
      </c>
      <c r="AE83" s="9" t="s">
        <v>725</v>
      </c>
      <c r="AF83" s="9" t="s">
        <v>499</v>
      </c>
      <c r="AG83" s="9" t="s">
        <v>411</v>
      </c>
      <c r="AH83" s="9" t="s">
        <v>726</v>
      </c>
      <c r="AI83" s="9" t="s">
        <v>71</v>
      </c>
      <c r="AJ83" s="9" t="s">
        <v>386</v>
      </c>
      <c r="AK83" s="9" t="s">
        <v>718</v>
      </c>
      <c r="AL83" s="9" t="s">
        <v>727</v>
      </c>
      <c r="AM83" s="10" t="s">
        <v>344</v>
      </c>
      <c r="AO83" s="9" t="s">
        <v>73</v>
      </c>
      <c r="AP83" s="9" t="s">
        <v>724</v>
      </c>
      <c r="AQ83" s="9" t="s">
        <v>725</v>
      </c>
      <c r="AR83" s="9" t="s">
        <v>499</v>
      </c>
      <c r="AS83" s="9" t="s">
        <v>411</v>
      </c>
      <c r="AT83" s="9" t="s">
        <v>726</v>
      </c>
      <c r="AU83" s="9" t="s">
        <v>71</v>
      </c>
      <c r="AV83" s="9" t="s">
        <v>386</v>
      </c>
      <c r="AW83" s="9" t="s">
        <v>718</v>
      </c>
      <c r="AX83" s="9" t="s">
        <v>728</v>
      </c>
      <c r="AY83" s="10" t="s">
        <v>579</v>
      </c>
    </row>
    <row r="84" spans="2:51" x14ac:dyDescent="0.2">
      <c r="B84" s="21" t="s">
        <v>71</v>
      </c>
      <c r="C84" s="21" t="s">
        <v>74</v>
      </c>
      <c r="D84" s="22">
        <v>0.91171151399612405</v>
      </c>
      <c r="E84" s="22">
        <v>-0.766779005527496</v>
      </c>
      <c r="F84" s="22">
        <v>0.87699979543685902</v>
      </c>
      <c r="G84" s="21" t="s">
        <v>1110</v>
      </c>
      <c r="H84" s="22">
        <f>POWER(10,E84)</f>
        <v>0.17108856924826396</v>
      </c>
      <c r="J84" s="2" t="s">
        <v>71</v>
      </c>
      <c r="K84" s="2" t="s">
        <v>74</v>
      </c>
      <c r="L84" s="5">
        <v>0.77932786941528298</v>
      </c>
      <c r="M84" s="5">
        <v>-0.45493406057357799</v>
      </c>
      <c r="N84" s="5">
        <v>0.97308200597763095</v>
      </c>
      <c r="O84" s="5">
        <f t="shared" si="1"/>
        <v>0.63448980446265202</v>
      </c>
      <c r="Q84" s="9" t="s">
        <v>74</v>
      </c>
      <c r="R84" s="9" t="s">
        <v>729</v>
      </c>
      <c r="S84" s="9" t="s">
        <v>730</v>
      </c>
      <c r="T84" s="9" t="s">
        <v>347</v>
      </c>
      <c r="U84" s="9" t="s">
        <v>731</v>
      </c>
      <c r="V84" s="9" t="s">
        <v>732</v>
      </c>
      <c r="W84" s="9" t="s">
        <v>71</v>
      </c>
      <c r="X84" s="9" t="s">
        <v>68</v>
      </c>
      <c r="Y84" s="9" t="s">
        <v>722</v>
      </c>
      <c r="Z84" s="9" t="s">
        <v>733</v>
      </c>
      <c r="AA84" s="10" t="s">
        <v>579</v>
      </c>
    </row>
    <row r="85" spans="2:51" x14ac:dyDescent="0.2">
      <c r="B85" s="21" t="s">
        <v>71</v>
      </c>
      <c r="C85" s="21" t="s">
        <v>50</v>
      </c>
      <c r="D85" s="22">
        <v>0.90384912490844704</v>
      </c>
      <c r="E85" s="22">
        <v>-0.82833927869796797</v>
      </c>
      <c r="F85" s="22">
        <v>0.82878625392913796</v>
      </c>
      <c r="G85" s="21" t="s">
        <v>1110</v>
      </c>
      <c r="H85" s="22">
        <f>POWER(10,E85)</f>
        <v>0.14847752558254129</v>
      </c>
      <c r="J85" s="2" t="s">
        <v>71</v>
      </c>
      <c r="K85" s="2" t="s">
        <v>50</v>
      </c>
      <c r="L85" s="5">
        <v>0.78137350082397505</v>
      </c>
      <c r="M85" s="5">
        <v>-0.91226869821548495</v>
      </c>
      <c r="N85" s="5">
        <v>0.842590272426605</v>
      </c>
      <c r="O85" s="5">
        <f t="shared" si="1"/>
        <v>0.40161205315634679</v>
      </c>
      <c r="Q85" s="9" t="s">
        <v>50</v>
      </c>
      <c r="R85" s="9" t="s">
        <v>589</v>
      </c>
      <c r="S85" s="9" t="s">
        <v>734</v>
      </c>
      <c r="T85" s="9" t="s">
        <v>328</v>
      </c>
      <c r="U85" s="9" t="s">
        <v>580</v>
      </c>
      <c r="V85" s="9" t="s">
        <v>735</v>
      </c>
      <c r="W85" s="9" t="s">
        <v>71</v>
      </c>
      <c r="X85" s="9" t="s">
        <v>386</v>
      </c>
      <c r="Y85" s="9" t="s">
        <v>718</v>
      </c>
      <c r="Z85" s="9" t="s">
        <v>736</v>
      </c>
      <c r="AA85" s="10" t="s">
        <v>319</v>
      </c>
      <c r="AC85" s="9" t="s">
        <v>50</v>
      </c>
      <c r="AD85" s="9" t="s">
        <v>589</v>
      </c>
      <c r="AE85" s="9" t="s">
        <v>734</v>
      </c>
      <c r="AF85" s="9" t="s">
        <v>328</v>
      </c>
      <c r="AG85" s="9" t="s">
        <v>580</v>
      </c>
      <c r="AH85" s="9" t="s">
        <v>735</v>
      </c>
      <c r="AI85" s="9" t="s">
        <v>71</v>
      </c>
      <c r="AJ85" s="9" t="s">
        <v>386</v>
      </c>
      <c r="AK85" s="9" t="s">
        <v>718</v>
      </c>
      <c r="AL85" s="9" t="s">
        <v>737</v>
      </c>
      <c r="AM85" s="10" t="s">
        <v>344</v>
      </c>
    </row>
    <row r="86" spans="2:51" x14ac:dyDescent="0.2">
      <c r="B86" s="21" t="s">
        <v>75</v>
      </c>
      <c r="C86" s="21" t="s">
        <v>72</v>
      </c>
      <c r="D86" s="22">
        <v>0.85689371824264504</v>
      </c>
      <c r="E86" s="22">
        <v>-0.59629189968109098</v>
      </c>
      <c r="F86" s="22">
        <v>0.55045038461685203</v>
      </c>
      <c r="G86" s="21" t="s">
        <v>1110</v>
      </c>
      <c r="H86" s="22">
        <f>POWER(10,E86)</f>
        <v>0.25334252825660675</v>
      </c>
      <c r="J86" s="2" t="s">
        <v>75</v>
      </c>
      <c r="K86" s="2" t="s">
        <v>72</v>
      </c>
      <c r="L86" s="5">
        <v>0.79253679513931297</v>
      </c>
      <c r="M86" s="5">
        <v>-0.62062674760818504</v>
      </c>
      <c r="N86" s="5">
        <v>0.57269048690795898</v>
      </c>
      <c r="O86" s="5">
        <f t="shared" si="1"/>
        <v>0.5376073878386729</v>
      </c>
      <c r="Q86" s="9" t="s">
        <v>72</v>
      </c>
      <c r="R86" s="9" t="s">
        <v>710</v>
      </c>
      <c r="S86" s="9" t="s">
        <v>738</v>
      </c>
      <c r="T86" s="9" t="s">
        <v>449</v>
      </c>
      <c r="U86" s="9" t="s">
        <v>476</v>
      </c>
      <c r="V86" s="9" t="s">
        <v>739</v>
      </c>
      <c r="W86" s="9" t="s">
        <v>75</v>
      </c>
      <c r="X86" s="9" t="s">
        <v>713</v>
      </c>
      <c r="Y86" s="9" t="s">
        <v>740</v>
      </c>
      <c r="Z86" s="9" t="s">
        <v>741</v>
      </c>
      <c r="AA86" s="10" t="s">
        <v>319</v>
      </c>
    </row>
    <row r="87" spans="2:51" x14ac:dyDescent="0.2">
      <c r="B87" s="21" t="s">
        <v>75</v>
      </c>
      <c r="C87" s="21" t="s">
        <v>60</v>
      </c>
      <c r="D87" s="22">
        <v>0.84788560867309604</v>
      </c>
      <c r="E87" s="22">
        <v>-1.7697161436080899</v>
      </c>
      <c r="F87" s="22">
        <v>0.82976227998733498</v>
      </c>
      <c r="G87" s="21" t="s">
        <v>1110</v>
      </c>
      <c r="H87" s="22">
        <f>POWER(10,E87)</f>
        <v>1.6993539932727991E-2</v>
      </c>
      <c r="J87" s="2" t="s">
        <v>75</v>
      </c>
      <c r="K87" s="2" t="s">
        <v>60</v>
      </c>
      <c r="L87" s="5">
        <v>0.79161739349365201</v>
      </c>
      <c r="M87" s="5">
        <v>-2.01733303070068</v>
      </c>
      <c r="N87" s="5">
        <v>0.78565758466720603</v>
      </c>
      <c r="O87" s="5">
        <f t="shared" si="1"/>
        <v>0.13300972532349431</v>
      </c>
      <c r="Q87" s="9" t="s">
        <v>60</v>
      </c>
      <c r="R87" s="9" t="s">
        <v>646</v>
      </c>
      <c r="S87" s="9" t="s">
        <v>742</v>
      </c>
      <c r="T87" s="9" t="s">
        <v>398</v>
      </c>
      <c r="U87" s="9" t="s">
        <v>471</v>
      </c>
      <c r="V87" s="9" t="s">
        <v>500</v>
      </c>
      <c r="W87" s="9" t="s">
        <v>75</v>
      </c>
      <c r="X87" s="9" t="s">
        <v>495</v>
      </c>
      <c r="Y87" s="9" t="s">
        <v>743</v>
      </c>
      <c r="Z87" s="9" t="s">
        <v>744</v>
      </c>
      <c r="AA87" s="10" t="s">
        <v>319</v>
      </c>
    </row>
    <row r="88" spans="2:51" x14ac:dyDescent="0.2">
      <c r="B88" s="21" t="s">
        <v>75</v>
      </c>
      <c r="C88" s="21" t="s">
        <v>50</v>
      </c>
      <c r="D88" s="22">
        <v>0.84435588121414196</v>
      </c>
      <c r="E88" s="22">
        <v>-1.1964262723922701</v>
      </c>
      <c r="F88" s="22">
        <v>0.88314455747604403</v>
      </c>
      <c r="G88" s="21" t="s">
        <v>1110</v>
      </c>
      <c r="H88" s="22">
        <f>POWER(10,E88)</f>
        <v>6.3617079462695986E-2</v>
      </c>
      <c r="J88" s="2" t="s">
        <v>75</v>
      </c>
      <c r="K88" s="2" t="s">
        <v>50</v>
      </c>
      <c r="L88" s="5">
        <v>0.756528079509735</v>
      </c>
      <c r="M88" s="5">
        <v>-1.3010441064834599</v>
      </c>
      <c r="N88" s="5">
        <v>0.86617064476013195</v>
      </c>
      <c r="O88" s="5">
        <f t="shared" si="1"/>
        <v>0.27224738932167392</v>
      </c>
      <c r="Q88" s="9" t="s">
        <v>50</v>
      </c>
      <c r="R88" s="9" t="s">
        <v>589</v>
      </c>
      <c r="S88" s="9" t="s">
        <v>745</v>
      </c>
      <c r="T88" s="9" t="s">
        <v>746</v>
      </c>
      <c r="U88" s="9" t="s">
        <v>580</v>
      </c>
      <c r="V88" s="9" t="s">
        <v>747</v>
      </c>
      <c r="W88" s="9" t="s">
        <v>75</v>
      </c>
      <c r="X88" s="9" t="s">
        <v>386</v>
      </c>
      <c r="Y88" s="9" t="s">
        <v>748</v>
      </c>
      <c r="Z88" s="9" t="s">
        <v>749</v>
      </c>
      <c r="AA88" s="10" t="s">
        <v>319</v>
      </c>
    </row>
    <row r="89" spans="2:51" x14ac:dyDescent="0.2">
      <c r="B89" s="21" t="s">
        <v>76</v>
      </c>
      <c r="C89" s="21" t="s">
        <v>46</v>
      </c>
      <c r="D89" s="22">
        <v>0.71641057729721103</v>
      </c>
      <c r="E89" s="22">
        <v>-0.59656780958175704</v>
      </c>
      <c r="F89" s="22">
        <v>0.29991209506988498</v>
      </c>
      <c r="G89" s="21" t="s">
        <v>1110</v>
      </c>
      <c r="H89" s="22">
        <f>POWER(10,E89)</f>
        <v>0.25318162933763627</v>
      </c>
      <c r="J89" s="2" t="s">
        <v>76</v>
      </c>
      <c r="K89" s="2" t="s">
        <v>46</v>
      </c>
      <c r="L89" s="5">
        <v>0.77603262662887595</v>
      </c>
      <c r="M89" s="5">
        <v>-2.43658494949341</v>
      </c>
      <c r="N89" s="5">
        <v>0.98115760087966897</v>
      </c>
      <c r="O89" s="5">
        <f t="shared" si="1"/>
        <v>8.7459019010757325E-2</v>
      </c>
      <c r="Q89" s="9" t="s">
        <v>46</v>
      </c>
      <c r="R89" s="9" t="s">
        <v>565</v>
      </c>
      <c r="S89" s="9" t="s">
        <v>566</v>
      </c>
      <c r="T89" s="9" t="s">
        <v>456</v>
      </c>
      <c r="U89" s="9" t="s">
        <v>456</v>
      </c>
      <c r="V89" s="9" t="s">
        <v>750</v>
      </c>
      <c r="W89" s="9" t="s">
        <v>76</v>
      </c>
      <c r="X89" s="9" t="s">
        <v>575</v>
      </c>
      <c r="Y89" s="9" t="s">
        <v>751</v>
      </c>
      <c r="Z89" s="9" t="s">
        <v>752</v>
      </c>
      <c r="AA89" s="10" t="s">
        <v>319</v>
      </c>
    </row>
    <row r="90" spans="2:51" x14ac:dyDescent="0.2">
      <c r="B90" s="21" t="s">
        <v>77</v>
      </c>
      <c r="C90" s="21" t="s">
        <v>8</v>
      </c>
      <c r="D90" s="22">
        <v>0.87644380331039395</v>
      </c>
      <c r="E90" s="22">
        <v>1.2291740179061901</v>
      </c>
      <c r="F90" s="22">
        <v>0.25302141904830899</v>
      </c>
      <c r="G90" s="21" t="s">
        <v>1110</v>
      </c>
      <c r="H90" s="22">
        <f>POWER(10,E90)</f>
        <v>16.95016842451059</v>
      </c>
      <c r="J90" s="2" t="s">
        <v>77</v>
      </c>
      <c r="K90" s="2" t="s">
        <v>8</v>
      </c>
      <c r="L90" s="5">
        <v>0.513250172138214</v>
      </c>
      <c r="M90" s="5">
        <v>-6.1265263706445701E-2</v>
      </c>
      <c r="N90" s="5">
        <v>0.60762286186218295</v>
      </c>
      <c r="O90" s="5">
        <f t="shared" si="1"/>
        <v>0.94057370661382544</v>
      </c>
      <c r="Q90" s="9" t="s">
        <v>8</v>
      </c>
      <c r="R90" s="9" t="s">
        <v>326</v>
      </c>
      <c r="S90" s="9" t="s">
        <v>753</v>
      </c>
      <c r="T90" s="9" t="s">
        <v>746</v>
      </c>
      <c r="U90" s="9" t="s">
        <v>746</v>
      </c>
      <c r="V90" s="9" t="s">
        <v>754</v>
      </c>
      <c r="W90" s="9" t="s">
        <v>77</v>
      </c>
      <c r="X90" s="9" t="s">
        <v>330</v>
      </c>
      <c r="Y90" s="9" t="s">
        <v>755</v>
      </c>
      <c r="Z90" s="9" t="s">
        <v>756</v>
      </c>
      <c r="AA90" s="10" t="s">
        <v>319</v>
      </c>
    </row>
    <row r="91" spans="2:51" x14ac:dyDescent="0.2">
      <c r="B91" s="21" t="s">
        <v>78</v>
      </c>
      <c r="C91" s="21" t="s">
        <v>79</v>
      </c>
      <c r="D91" s="22">
        <v>0.95659667253494296</v>
      </c>
      <c r="E91" s="22">
        <v>-2.2096424102783199</v>
      </c>
      <c r="F91" s="22">
        <v>0.993233501911163</v>
      </c>
      <c r="G91" s="21" t="s">
        <v>1110</v>
      </c>
      <c r="H91" s="22">
        <f>POWER(10,E91)</f>
        <v>6.1710290339377907E-3</v>
      </c>
      <c r="J91" s="2" t="s">
        <v>78</v>
      </c>
      <c r="K91" s="2" t="s">
        <v>79</v>
      </c>
      <c r="L91" s="5">
        <v>0.59606957435607899</v>
      </c>
      <c r="M91" s="5">
        <v>-1.96009337902069</v>
      </c>
      <c r="N91" s="5">
        <v>0.97828692197799705</v>
      </c>
      <c r="O91" s="5">
        <f t="shared" si="1"/>
        <v>0.14084526831374181</v>
      </c>
      <c r="Q91" s="9" t="s">
        <v>79</v>
      </c>
      <c r="R91" s="9" t="s">
        <v>757</v>
      </c>
      <c r="S91" s="9" t="s">
        <v>758</v>
      </c>
      <c r="T91" s="9" t="s">
        <v>334</v>
      </c>
      <c r="U91" s="9" t="s">
        <v>334</v>
      </c>
      <c r="V91" s="9" t="s">
        <v>759</v>
      </c>
      <c r="W91" s="9" t="s">
        <v>78</v>
      </c>
      <c r="X91" s="9" t="s">
        <v>760</v>
      </c>
      <c r="Y91" s="9" t="s">
        <v>761</v>
      </c>
      <c r="Z91" s="9" t="s">
        <v>762</v>
      </c>
      <c r="AA91" s="10" t="s">
        <v>319</v>
      </c>
    </row>
    <row r="92" spans="2:51" x14ac:dyDescent="0.2">
      <c r="B92" s="21" t="s">
        <v>78</v>
      </c>
      <c r="C92" s="21" t="s">
        <v>80</v>
      </c>
      <c r="D92" s="22">
        <v>0.94332641363143899</v>
      </c>
      <c r="E92" s="22">
        <v>-2.1809267997741699</v>
      </c>
      <c r="F92" s="22">
        <v>0.93539297580719005</v>
      </c>
      <c r="G92" s="21" t="s">
        <v>1110</v>
      </c>
      <c r="H92" s="22">
        <f>POWER(10,E92)</f>
        <v>6.5928500820254749E-3</v>
      </c>
      <c r="J92" s="2" t="s">
        <v>78</v>
      </c>
      <c r="K92" s="2" t="s">
        <v>80</v>
      </c>
      <c r="L92" s="5">
        <v>0.60266137123107899</v>
      </c>
      <c r="M92" s="5">
        <v>-2.2102832794189502</v>
      </c>
      <c r="N92" s="5">
        <v>0.953940570354462</v>
      </c>
      <c r="O92" s="5">
        <f t="shared" si="1"/>
        <v>0.10966957698071242</v>
      </c>
      <c r="Q92" s="9" t="s">
        <v>763</v>
      </c>
      <c r="R92" s="9" t="s">
        <v>764</v>
      </c>
      <c r="S92" s="9" t="s">
        <v>765</v>
      </c>
      <c r="T92" s="9" t="s">
        <v>434</v>
      </c>
      <c r="U92" s="9" t="s">
        <v>766</v>
      </c>
      <c r="V92" s="9" t="s">
        <v>767</v>
      </c>
      <c r="W92" s="9" t="s">
        <v>78</v>
      </c>
      <c r="X92" s="9" t="s">
        <v>233</v>
      </c>
      <c r="Y92" s="9" t="s">
        <v>768</v>
      </c>
      <c r="Z92" s="9" t="s">
        <v>769</v>
      </c>
      <c r="AA92" s="10" t="s">
        <v>319</v>
      </c>
    </row>
    <row r="93" spans="2:51" x14ac:dyDescent="0.2">
      <c r="B93" s="21" t="s">
        <v>78</v>
      </c>
      <c r="C93" s="21" t="s">
        <v>81</v>
      </c>
      <c r="D93" s="22">
        <v>0.942479908466339</v>
      </c>
      <c r="E93" s="22">
        <v>-1.9151984453201301</v>
      </c>
      <c r="F93" s="22">
        <v>0.91110002994537398</v>
      </c>
      <c r="G93" s="21" t="s">
        <v>1110</v>
      </c>
      <c r="H93" s="22">
        <f>POWER(10,E93)</f>
        <v>1.2156304069222823E-2</v>
      </c>
      <c r="J93" s="2" t="s">
        <v>78</v>
      </c>
      <c r="K93" s="2" t="s">
        <v>81</v>
      </c>
      <c r="L93" s="5">
        <v>0.59271258115768399</v>
      </c>
      <c r="M93" s="5">
        <v>-2.0197606086731001</v>
      </c>
      <c r="N93" s="5">
        <v>0.93421471118927002</v>
      </c>
      <c r="O93" s="5">
        <f t="shared" si="1"/>
        <v>0.13268722544935455</v>
      </c>
      <c r="Q93" s="9" t="s">
        <v>81</v>
      </c>
      <c r="R93" s="9" t="s">
        <v>770</v>
      </c>
      <c r="S93" s="9" t="s">
        <v>771</v>
      </c>
      <c r="T93" s="9" t="s">
        <v>449</v>
      </c>
      <c r="U93" s="9" t="s">
        <v>580</v>
      </c>
      <c r="V93" s="9" t="s">
        <v>772</v>
      </c>
      <c r="W93" s="9" t="s">
        <v>78</v>
      </c>
      <c r="X93" s="9" t="s">
        <v>35</v>
      </c>
      <c r="Y93" s="9" t="s">
        <v>773</v>
      </c>
      <c r="Z93" s="9" t="s">
        <v>774</v>
      </c>
      <c r="AA93" s="10" t="s">
        <v>319</v>
      </c>
    </row>
    <row r="94" spans="2:51" x14ac:dyDescent="0.2">
      <c r="B94" s="21" t="s">
        <v>78</v>
      </c>
      <c r="C94" s="21" t="s">
        <v>82</v>
      </c>
      <c r="D94" s="22">
        <v>0.95535224676132202</v>
      </c>
      <c r="E94" s="22">
        <v>-1.8061615228653001</v>
      </c>
      <c r="F94" s="22">
        <v>0.95100414752960205</v>
      </c>
      <c r="G94" s="21" t="s">
        <v>1110</v>
      </c>
      <c r="H94" s="22">
        <f>POWER(10,E94)</f>
        <v>1.5625663846454994E-2</v>
      </c>
      <c r="J94" s="2" t="s">
        <v>78</v>
      </c>
      <c r="K94" s="2" t="s">
        <v>82</v>
      </c>
      <c r="L94" s="5">
        <v>0.59683322906494096</v>
      </c>
      <c r="M94" s="5">
        <v>-2.0135703086853001</v>
      </c>
      <c r="N94" s="5">
        <v>0.97275453805923495</v>
      </c>
      <c r="O94" s="5">
        <f t="shared" si="1"/>
        <v>0.13351114670827369</v>
      </c>
      <c r="Q94" s="9" t="s">
        <v>82</v>
      </c>
      <c r="R94" s="9" t="s">
        <v>775</v>
      </c>
      <c r="S94" s="9" t="s">
        <v>776</v>
      </c>
      <c r="T94" s="9" t="s">
        <v>411</v>
      </c>
      <c r="U94" s="9" t="s">
        <v>777</v>
      </c>
      <c r="V94" s="9" t="s">
        <v>778</v>
      </c>
      <c r="W94" s="9" t="s">
        <v>78</v>
      </c>
      <c r="X94" s="9" t="s">
        <v>96</v>
      </c>
      <c r="Y94" s="9" t="s">
        <v>779</v>
      </c>
      <c r="Z94" s="9" t="s">
        <v>780</v>
      </c>
      <c r="AA94" s="10" t="s">
        <v>319</v>
      </c>
    </row>
    <row r="95" spans="2:51" x14ac:dyDescent="0.2">
      <c r="B95" s="21" t="s">
        <v>78</v>
      </c>
      <c r="C95" s="21" t="s">
        <v>83</v>
      </c>
      <c r="D95" s="22">
        <v>0.94592934846878096</v>
      </c>
      <c r="E95" s="22">
        <v>-0.74290621280670199</v>
      </c>
      <c r="F95" s="22">
        <v>0.79399704933166504</v>
      </c>
      <c r="G95" s="21" t="s">
        <v>1110</v>
      </c>
      <c r="H95" s="22">
        <f>POWER(10,E95)</f>
        <v>0.18075644328151202</v>
      </c>
      <c r="J95" s="2" t="s">
        <v>78</v>
      </c>
      <c r="K95" s="2" t="s">
        <v>83</v>
      </c>
      <c r="L95" s="5">
        <v>0.59818691015243497</v>
      </c>
      <c r="M95" s="5">
        <v>-0.936662137508392</v>
      </c>
      <c r="N95" s="5">
        <v>0.87605190277099598</v>
      </c>
      <c r="O95" s="5">
        <f t="shared" si="1"/>
        <v>0.39193387583752104</v>
      </c>
      <c r="Q95" s="9" t="s">
        <v>83</v>
      </c>
      <c r="R95" s="9" t="s">
        <v>781</v>
      </c>
      <c r="S95" s="9" t="s">
        <v>782</v>
      </c>
      <c r="T95" s="9" t="s">
        <v>555</v>
      </c>
      <c r="U95" s="9" t="s">
        <v>363</v>
      </c>
      <c r="V95" s="9" t="s">
        <v>767</v>
      </c>
      <c r="W95" s="9" t="s">
        <v>78</v>
      </c>
      <c r="X95" s="9" t="s">
        <v>233</v>
      </c>
      <c r="Y95" s="9" t="s">
        <v>768</v>
      </c>
      <c r="Z95" s="9" t="s">
        <v>783</v>
      </c>
      <c r="AA95" s="10" t="s">
        <v>319</v>
      </c>
    </row>
    <row r="96" spans="2:51" x14ac:dyDescent="0.2">
      <c r="B96" s="21" t="s">
        <v>78</v>
      </c>
      <c r="C96" s="21" t="s">
        <v>84</v>
      </c>
      <c r="D96" s="22">
        <v>0.938831746578217</v>
      </c>
      <c r="E96" s="22">
        <v>-1.5141633749008201</v>
      </c>
      <c r="F96" s="22">
        <v>0.88702410459518399</v>
      </c>
      <c r="G96" s="21" t="s">
        <v>1110</v>
      </c>
      <c r="H96" s="22">
        <f>POWER(10,E96)</f>
        <v>3.0608117867963726E-2</v>
      </c>
      <c r="J96" s="2" t="s">
        <v>78</v>
      </c>
      <c r="K96" s="2" t="s">
        <v>84</v>
      </c>
      <c r="L96" s="5">
        <v>0.59760522842407204</v>
      </c>
      <c r="M96" s="5">
        <v>-1.36239922046661</v>
      </c>
      <c r="N96" s="5">
        <v>0.90572357177734397</v>
      </c>
      <c r="O96" s="5">
        <f t="shared" si="1"/>
        <v>0.25604572927703073</v>
      </c>
      <c r="Q96" s="9" t="s">
        <v>84</v>
      </c>
      <c r="R96" s="9" t="s">
        <v>784</v>
      </c>
      <c r="S96" s="9" t="s">
        <v>785</v>
      </c>
      <c r="T96" s="9" t="s">
        <v>627</v>
      </c>
      <c r="U96" s="9" t="s">
        <v>627</v>
      </c>
      <c r="V96" s="9" t="s">
        <v>786</v>
      </c>
      <c r="W96" s="9" t="s">
        <v>78</v>
      </c>
      <c r="X96" s="9" t="s">
        <v>787</v>
      </c>
      <c r="Y96" s="9" t="s">
        <v>788</v>
      </c>
      <c r="Z96" s="9" t="s">
        <v>789</v>
      </c>
      <c r="AA96" s="10" t="s">
        <v>319</v>
      </c>
    </row>
    <row r="97" spans="2:39" x14ac:dyDescent="0.2">
      <c r="B97" s="21" t="s">
        <v>78</v>
      </c>
      <c r="C97" s="21" t="s">
        <v>85</v>
      </c>
      <c r="D97" s="22">
        <v>0.95105421543121305</v>
      </c>
      <c r="E97" s="22">
        <v>-0.86211925745010398</v>
      </c>
      <c r="F97" s="22">
        <v>0.82431912422180198</v>
      </c>
      <c r="G97" s="21" t="s">
        <v>1110</v>
      </c>
      <c r="H97" s="22">
        <f>POWER(10,E97)</f>
        <v>0.13736647143000302</v>
      </c>
      <c r="J97" s="2" t="s">
        <v>78</v>
      </c>
      <c r="K97" s="2" t="s">
        <v>85</v>
      </c>
      <c r="L97" s="5">
        <v>0.59969657659530595</v>
      </c>
      <c r="M97" s="5">
        <v>-1.63541996479034</v>
      </c>
      <c r="N97" s="5">
        <v>0.88462448120117199</v>
      </c>
      <c r="O97" s="5">
        <f t="shared" si="1"/>
        <v>0.19487051535695343</v>
      </c>
      <c r="Q97" s="9" t="s">
        <v>85</v>
      </c>
      <c r="R97" s="9" t="s">
        <v>790</v>
      </c>
      <c r="S97" s="9" t="s">
        <v>785</v>
      </c>
      <c r="T97" s="9" t="s">
        <v>690</v>
      </c>
      <c r="U97" s="9" t="s">
        <v>600</v>
      </c>
      <c r="V97" s="9" t="s">
        <v>423</v>
      </c>
      <c r="W97" s="9" t="s">
        <v>78</v>
      </c>
      <c r="X97" s="9" t="s">
        <v>233</v>
      </c>
      <c r="Y97" s="9" t="s">
        <v>768</v>
      </c>
      <c r="Z97" s="9" t="s">
        <v>791</v>
      </c>
      <c r="AA97" s="10" t="s">
        <v>319</v>
      </c>
    </row>
    <row r="98" spans="2:39" x14ac:dyDescent="0.2">
      <c r="B98" s="21" t="s">
        <v>86</v>
      </c>
      <c r="C98" s="21" t="s">
        <v>87</v>
      </c>
      <c r="D98" s="22">
        <v>0.934062600135803</v>
      </c>
      <c r="E98" s="22">
        <v>0.59904658794403098</v>
      </c>
      <c r="F98" s="22">
        <v>0.76748245954513605</v>
      </c>
      <c r="G98" s="21" t="s">
        <v>1110</v>
      </c>
      <c r="H98" s="22">
        <f>POWER(10,E98)</f>
        <v>3.9723415956693886</v>
      </c>
      <c r="J98" s="2" t="s">
        <v>86</v>
      </c>
      <c r="K98" s="2" t="s">
        <v>87</v>
      </c>
      <c r="L98" s="5">
        <v>0.84954643249511697</v>
      </c>
      <c r="M98" s="5">
        <v>1.2982653379440301</v>
      </c>
      <c r="N98" s="5">
        <v>0.87289416790008501</v>
      </c>
      <c r="O98" s="5">
        <f t="shared" si="1"/>
        <v>3.662937195280175</v>
      </c>
      <c r="Q98" s="9" t="s">
        <v>87</v>
      </c>
      <c r="R98" s="9" t="s">
        <v>792</v>
      </c>
      <c r="S98" s="9" t="s">
        <v>793</v>
      </c>
      <c r="T98" s="9" t="s">
        <v>355</v>
      </c>
      <c r="U98" s="9" t="s">
        <v>411</v>
      </c>
      <c r="V98" s="9" t="s">
        <v>794</v>
      </c>
      <c r="W98" s="9" t="s">
        <v>86</v>
      </c>
      <c r="X98" s="9" t="s">
        <v>47</v>
      </c>
      <c r="Y98" s="9" t="s">
        <v>560</v>
      </c>
      <c r="Z98" s="9" t="s">
        <v>795</v>
      </c>
      <c r="AA98" s="10" t="s">
        <v>319</v>
      </c>
    </row>
    <row r="99" spans="2:39" x14ac:dyDescent="0.2">
      <c r="B99" s="21" t="s">
        <v>88</v>
      </c>
      <c r="C99" s="21" t="s">
        <v>17</v>
      </c>
      <c r="D99" s="22">
        <v>0.922329902648926</v>
      </c>
      <c r="E99" s="22">
        <v>-0.86643767356872603</v>
      </c>
      <c r="F99" s="22">
        <v>0.95921504497528098</v>
      </c>
      <c r="G99" s="21" t="s">
        <v>1110</v>
      </c>
      <c r="H99" s="22">
        <f>POWER(10,E99)</f>
        <v>0.13600733360036787</v>
      </c>
      <c r="J99" s="2" t="s">
        <v>88</v>
      </c>
      <c r="K99" s="2" t="s">
        <v>17</v>
      </c>
      <c r="L99" s="5">
        <v>0.83564394712448098</v>
      </c>
      <c r="M99" s="5">
        <v>-0.85152196884155296</v>
      </c>
      <c r="N99" s="5">
        <v>0.94067221879959095</v>
      </c>
      <c r="O99" s="5">
        <f t="shared" si="1"/>
        <v>0.4267649145184983</v>
      </c>
      <c r="Q99" s="9" t="s">
        <v>17</v>
      </c>
      <c r="R99" s="9" t="s">
        <v>382</v>
      </c>
      <c r="S99" s="9" t="s">
        <v>796</v>
      </c>
      <c r="T99" s="9" t="s">
        <v>434</v>
      </c>
      <c r="U99" s="9" t="s">
        <v>731</v>
      </c>
      <c r="V99" s="9" t="s">
        <v>797</v>
      </c>
      <c r="W99" s="9" t="s">
        <v>88</v>
      </c>
      <c r="X99" s="9" t="s">
        <v>5</v>
      </c>
      <c r="Y99" s="9" t="s">
        <v>798</v>
      </c>
      <c r="Z99" s="9" t="s">
        <v>799</v>
      </c>
      <c r="AA99" s="10" t="s">
        <v>319</v>
      </c>
    </row>
    <row r="100" spans="2:39" x14ac:dyDescent="0.2">
      <c r="B100" s="21" t="s">
        <v>88</v>
      </c>
      <c r="C100" s="21" t="s">
        <v>89</v>
      </c>
      <c r="D100" s="22">
        <v>0.91229659318923995</v>
      </c>
      <c r="E100" s="22">
        <v>0.77960962057113703</v>
      </c>
      <c r="F100" s="22">
        <v>0.54049783945083596</v>
      </c>
      <c r="G100" s="21" t="s">
        <v>1110</v>
      </c>
      <c r="H100" s="22">
        <f>POWER(10,E100)</f>
        <v>6.020181995544883</v>
      </c>
      <c r="J100" s="2" t="s">
        <v>88</v>
      </c>
      <c r="K100" s="2" t="s">
        <v>89</v>
      </c>
      <c r="L100" s="5">
        <v>0.81081926822662398</v>
      </c>
      <c r="M100" s="5">
        <v>0.84239149093627896</v>
      </c>
      <c r="N100" s="5">
        <v>0.457371175289154</v>
      </c>
      <c r="O100" s="5">
        <f t="shared" si="1"/>
        <v>2.3219131766111398</v>
      </c>
      <c r="Q100" s="9" t="s">
        <v>89</v>
      </c>
      <c r="R100" s="9" t="s">
        <v>800</v>
      </c>
      <c r="S100" s="9" t="s">
        <v>801</v>
      </c>
      <c r="T100" s="9" t="s">
        <v>746</v>
      </c>
      <c r="U100" s="9" t="s">
        <v>746</v>
      </c>
      <c r="V100" s="9" t="s">
        <v>802</v>
      </c>
      <c r="W100" s="9" t="s">
        <v>88</v>
      </c>
      <c r="X100" s="9" t="s">
        <v>803</v>
      </c>
      <c r="Y100" s="9" t="s">
        <v>804</v>
      </c>
      <c r="Z100" s="9" t="s">
        <v>805</v>
      </c>
      <c r="AA100" s="10" t="s">
        <v>319</v>
      </c>
    </row>
    <row r="101" spans="2:39" x14ac:dyDescent="0.2">
      <c r="B101" s="21" t="s">
        <v>88</v>
      </c>
      <c r="C101" s="21" t="s">
        <v>19</v>
      </c>
      <c r="D101" s="22">
        <v>0.91392564773559604</v>
      </c>
      <c r="E101" s="22">
        <v>-0.54123848676681496</v>
      </c>
      <c r="F101" s="22">
        <v>0.75780975818634</v>
      </c>
      <c r="G101" s="21" t="s">
        <v>1110</v>
      </c>
      <c r="H101" s="22">
        <f>POWER(10,E101)</f>
        <v>0.28758187652274114</v>
      </c>
      <c r="J101" s="2" t="s">
        <v>88</v>
      </c>
      <c r="K101" s="2" t="s">
        <v>19</v>
      </c>
      <c r="L101" s="5">
        <v>0.83643668889999401</v>
      </c>
      <c r="M101" s="5">
        <v>-1.0920153856277499</v>
      </c>
      <c r="N101" s="5">
        <v>0.90746831893920898</v>
      </c>
      <c r="O101" s="5">
        <f t="shared" si="1"/>
        <v>0.33553957017760633</v>
      </c>
      <c r="Q101" s="9" t="s">
        <v>19</v>
      </c>
      <c r="R101" s="9" t="s">
        <v>396</v>
      </c>
      <c r="S101" s="9" t="s">
        <v>806</v>
      </c>
      <c r="T101" s="9" t="s">
        <v>690</v>
      </c>
      <c r="U101" s="9" t="s">
        <v>807</v>
      </c>
      <c r="V101" s="9" t="s">
        <v>808</v>
      </c>
      <c r="W101" s="9" t="s">
        <v>88</v>
      </c>
      <c r="X101" s="9" t="s">
        <v>31</v>
      </c>
      <c r="Y101" s="9" t="s">
        <v>809</v>
      </c>
      <c r="Z101" s="9" t="s">
        <v>810</v>
      </c>
      <c r="AA101" s="10" t="s">
        <v>319</v>
      </c>
    </row>
    <row r="102" spans="2:39" x14ac:dyDescent="0.2">
      <c r="B102" s="21" t="s">
        <v>88</v>
      </c>
      <c r="C102" s="21" t="s">
        <v>90</v>
      </c>
      <c r="D102" s="22">
        <v>0.92715567350387595</v>
      </c>
      <c r="E102" s="22">
        <v>1.4456038475036599</v>
      </c>
      <c r="F102" s="22">
        <v>0.88360577821731601</v>
      </c>
      <c r="G102" s="21" t="s">
        <v>1110</v>
      </c>
      <c r="H102" s="22">
        <f>POWER(10,E102)</f>
        <v>27.899977144592892</v>
      </c>
      <c r="J102" s="2" t="s">
        <v>88</v>
      </c>
      <c r="K102" s="2" t="s">
        <v>90</v>
      </c>
      <c r="L102" s="5">
        <v>0.85547202825546298</v>
      </c>
      <c r="M102" s="5">
        <v>1.60889792442322</v>
      </c>
      <c r="N102" s="5">
        <v>0.93566161394119296</v>
      </c>
      <c r="O102" s="5">
        <f t="shared" si="1"/>
        <v>4.9973007887820344</v>
      </c>
      <c r="Q102" s="9" t="s">
        <v>90</v>
      </c>
      <c r="R102" s="9" t="s">
        <v>811</v>
      </c>
      <c r="S102" s="9" t="s">
        <v>812</v>
      </c>
      <c r="T102" s="9" t="s">
        <v>670</v>
      </c>
      <c r="U102" s="9" t="s">
        <v>471</v>
      </c>
      <c r="V102" s="9" t="s">
        <v>813</v>
      </c>
      <c r="W102" s="9" t="s">
        <v>88</v>
      </c>
      <c r="X102" s="9" t="s">
        <v>31</v>
      </c>
      <c r="Y102" s="9" t="s">
        <v>809</v>
      </c>
      <c r="Z102" s="9" t="s">
        <v>814</v>
      </c>
      <c r="AA102" s="10" t="s">
        <v>319</v>
      </c>
    </row>
    <row r="103" spans="2:39" x14ac:dyDescent="0.2">
      <c r="B103" s="21" t="s">
        <v>88</v>
      </c>
      <c r="C103" s="21" t="s">
        <v>91</v>
      </c>
      <c r="D103" s="22">
        <v>0.90172809362411499</v>
      </c>
      <c r="E103" s="22">
        <v>0.96130770444869995</v>
      </c>
      <c r="F103" s="22">
        <v>0.24906520545482599</v>
      </c>
      <c r="G103" s="21" t="s">
        <v>1110</v>
      </c>
      <c r="H103" s="22">
        <f>POWER(10,E103)</f>
        <v>9.1476113452613248</v>
      </c>
      <c r="J103" s="2" t="s">
        <v>88</v>
      </c>
      <c r="K103" s="2" t="s">
        <v>91</v>
      </c>
      <c r="L103" s="5">
        <v>0.81765902042388905</v>
      </c>
      <c r="M103" s="5">
        <v>1.53905045986176</v>
      </c>
      <c r="N103" s="5">
        <v>0.50879251956939697</v>
      </c>
      <c r="O103" s="5">
        <f t="shared" si="1"/>
        <v>4.6601631574909934</v>
      </c>
      <c r="Q103" s="9" t="s">
        <v>91</v>
      </c>
      <c r="R103" s="9" t="s">
        <v>815</v>
      </c>
      <c r="S103" s="9" t="s">
        <v>816</v>
      </c>
      <c r="T103" s="9" t="s">
        <v>449</v>
      </c>
      <c r="U103" s="9" t="s">
        <v>580</v>
      </c>
      <c r="V103" s="9" t="s">
        <v>817</v>
      </c>
      <c r="W103" s="9" t="s">
        <v>88</v>
      </c>
      <c r="X103" s="9" t="s">
        <v>47</v>
      </c>
      <c r="Y103" s="9" t="s">
        <v>818</v>
      </c>
      <c r="Z103" s="9" t="s">
        <v>819</v>
      </c>
      <c r="AA103" s="10" t="s">
        <v>319</v>
      </c>
    </row>
    <row r="104" spans="2:39" x14ac:dyDescent="0.2">
      <c r="B104" s="21" t="s">
        <v>88</v>
      </c>
      <c r="C104" s="21" t="s">
        <v>50</v>
      </c>
      <c r="D104" s="22">
        <v>0.89974927902221702</v>
      </c>
      <c r="E104" s="22">
        <v>-0.175122410058975</v>
      </c>
      <c r="F104" s="22">
        <v>0.88807487487793002</v>
      </c>
      <c r="G104" s="21" t="s">
        <v>1110</v>
      </c>
      <c r="H104" s="22">
        <f>POWER(10,E104)</f>
        <v>0.6681555649804366</v>
      </c>
      <c r="J104" s="2" t="s">
        <v>88</v>
      </c>
      <c r="K104" s="2" t="s">
        <v>50</v>
      </c>
      <c r="L104" s="5">
        <v>0.81098222732544001</v>
      </c>
      <c r="M104" s="5">
        <v>-0.20711433887481701</v>
      </c>
      <c r="N104" s="5">
        <v>0.91256868839263905</v>
      </c>
      <c r="O104" s="5">
        <f t="shared" si="1"/>
        <v>0.81292669554984143</v>
      </c>
      <c r="Q104" s="9" t="s">
        <v>50</v>
      </c>
      <c r="R104" s="9" t="s">
        <v>589</v>
      </c>
      <c r="S104" s="9" t="s">
        <v>796</v>
      </c>
      <c r="T104" s="9" t="s">
        <v>670</v>
      </c>
      <c r="U104" s="9" t="s">
        <v>731</v>
      </c>
      <c r="V104" s="9" t="s">
        <v>820</v>
      </c>
      <c r="W104" s="9" t="s">
        <v>88</v>
      </c>
      <c r="X104" s="9" t="s">
        <v>112</v>
      </c>
      <c r="Y104" s="9" t="s">
        <v>821</v>
      </c>
      <c r="Z104" s="9" t="s">
        <v>822</v>
      </c>
      <c r="AA104" s="10" t="s">
        <v>319</v>
      </c>
    </row>
    <row r="105" spans="2:39" x14ac:dyDescent="0.2">
      <c r="B105" s="21" t="s">
        <v>88</v>
      </c>
      <c r="C105" s="21" t="s">
        <v>92</v>
      </c>
      <c r="D105" s="22">
        <v>0.91332286596298196</v>
      </c>
      <c r="E105" s="22">
        <v>-0.351173996925354</v>
      </c>
      <c r="F105" s="22">
        <v>0.81012082099914595</v>
      </c>
      <c r="G105" s="21" t="s">
        <v>1110</v>
      </c>
      <c r="H105" s="22">
        <f>POWER(10,E105)</f>
        <v>0.44547773522543249</v>
      </c>
      <c r="J105" s="2" t="s">
        <v>88</v>
      </c>
      <c r="K105" s="2" t="s">
        <v>92</v>
      </c>
      <c r="L105" s="5">
        <v>0.83991497755050704</v>
      </c>
      <c r="M105" s="5">
        <v>-1.67883765697479</v>
      </c>
      <c r="N105" s="5">
        <v>0.709248065948486</v>
      </c>
      <c r="O105" s="5">
        <f t="shared" si="1"/>
        <v>0.18659073247880387</v>
      </c>
      <c r="Q105" s="9" t="s">
        <v>92</v>
      </c>
      <c r="R105" s="9" t="s">
        <v>823</v>
      </c>
      <c r="S105" s="9" t="s">
        <v>824</v>
      </c>
      <c r="T105" s="9" t="s">
        <v>421</v>
      </c>
      <c r="U105" s="9" t="s">
        <v>592</v>
      </c>
      <c r="V105" s="9" t="s">
        <v>825</v>
      </c>
      <c r="W105" s="9" t="s">
        <v>88</v>
      </c>
      <c r="X105" s="9" t="s">
        <v>63</v>
      </c>
      <c r="Y105" s="9" t="s">
        <v>826</v>
      </c>
      <c r="Z105" s="9" t="s">
        <v>827</v>
      </c>
      <c r="AA105" s="10" t="s">
        <v>319</v>
      </c>
    </row>
    <row r="106" spans="2:39" x14ac:dyDescent="0.2">
      <c r="B106" s="21" t="s">
        <v>93</v>
      </c>
      <c r="C106" s="21" t="s">
        <v>7</v>
      </c>
      <c r="D106" s="22">
        <v>0.86038893461227395</v>
      </c>
      <c r="E106" s="22">
        <v>-0.35916733741760298</v>
      </c>
      <c r="F106" s="22">
        <v>0.74513614177703902</v>
      </c>
      <c r="G106" s="21" t="s">
        <v>1110</v>
      </c>
      <c r="H106" s="22">
        <f>POWER(10,E106)</f>
        <v>0.43735355658320824</v>
      </c>
      <c r="J106" s="2" t="s">
        <v>93</v>
      </c>
      <c r="K106" s="2" t="s">
        <v>7</v>
      </c>
      <c r="L106" s="5">
        <v>0.83843672275543202</v>
      </c>
      <c r="M106" s="5">
        <v>-0.44385540485382102</v>
      </c>
      <c r="N106" s="5">
        <v>0.76152193546295199</v>
      </c>
      <c r="O106" s="5">
        <f t="shared" si="1"/>
        <v>0.64155818031973777</v>
      </c>
      <c r="Q106" s="9" t="s">
        <v>7</v>
      </c>
      <c r="R106" s="9" t="s">
        <v>320</v>
      </c>
      <c r="S106" s="9" t="s">
        <v>828</v>
      </c>
      <c r="T106" s="9" t="s">
        <v>829</v>
      </c>
      <c r="U106" s="9" t="s">
        <v>523</v>
      </c>
      <c r="V106" s="9" t="s">
        <v>830</v>
      </c>
      <c r="W106" s="9" t="s">
        <v>93</v>
      </c>
      <c r="X106" s="9" t="s">
        <v>495</v>
      </c>
      <c r="Y106" s="9" t="s">
        <v>831</v>
      </c>
      <c r="Z106" s="9" t="s">
        <v>832</v>
      </c>
      <c r="AA106" s="10" t="s">
        <v>319</v>
      </c>
      <c r="AC106" s="9" t="s">
        <v>7</v>
      </c>
      <c r="AD106" s="9" t="s">
        <v>320</v>
      </c>
      <c r="AE106" s="9" t="s">
        <v>828</v>
      </c>
      <c r="AF106" s="9" t="s">
        <v>829</v>
      </c>
      <c r="AG106" s="9" t="s">
        <v>523</v>
      </c>
      <c r="AH106" s="9" t="s">
        <v>830</v>
      </c>
      <c r="AI106" s="9" t="s">
        <v>93</v>
      </c>
      <c r="AJ106" s="9" t="s">
        <v>495</v>
      </c>
      <c r="AK106" s="9" t="s">
        <v>831</v>
      </c>
      <c r="AL106" s="9" t="s">
        <v>833</v>
      </c>
      <c r="AM106" s="10" t="s">
        <v>579</v>
      </c>
    </row>
    <row r="107" spans="2:39" x14ac:dyDescent="0.2">
      <c r="B107" s="21" t="s">
        <v>93</v>
      </c>
      <c r="C107" s="21" t="s">
        <v>34</v>
      </c>
      <c r="D107" s="22">
        <v>0.86312532424926802</v>
      </c>
      <c r="E107" s="22">
        <v>-7.6905548572540297E-2</v>
      </c>
      <c r="F107" s="22">
        <v>0.89625787734985396</v>
      </c>
      <c r="G107" s="21" t="s">
        <v>1110</v>
      </c>
      <c r="H107" s="22">
        <f>POWER(10,E107)</f>
        <v>0.83771144985459256</v>
      </c>
      <c r="J107" s="2" t="s">
        <v>93</v>
      </c>
      <c r="K107" s="2" t="s">
        <v>34</v>
      </c>
      <c r="L107" s="5">
        <v>0.81778138875961304</v>
      </c>
      <c r="M107" s="5">
        <v>-6.5897911787033095E-2</v>
      </c>
      <c r="N107" s="5">
        <v>0.84309464693069502</v>
      </c>
      <c r="O107" s="5">
        <f t="shared" si="1"/>
        <v>0.93622643709700304</v>
      </c>
      <c r="Q107" s="9" t="s">
        <v>34</v>
      </c>
      <c r="R107" s="9" t="s">
        <v>497</v>
      </c>
      <c r="S107" s="9" t="s">
        <v>834</v>
      </c>
      <c r="T107" s="9" t="s">
        <v>375</v>
      </c>
      <c r="U107" s="9" t="s">
        <v>580</v>
      </c>
      <c r="V107" s="9" t="s">
        <v>835</v>
      </c>
      <c r="W107" s="9" t="s">
        <v>93</v>
      </c>
      <c r="X107" s="9" t="s">
        <v>836</v>
      </c>
      <c r="Y107" s="9" t="s">
        <v>655</v>
      </c>
      <c r="Z107" s="9" t="s">
        <v>837</v>
      </c>
      <c r="AA107" s="10" t="s">
        <v>319</v>
      </c>
    </row>
    <row r="108" spans="2:39" x14ac:dyDescent="0.2">
      <c r="B108" s="21" t="s">
        <v>94</v>
      </c>
      <c r="C108" s="21" t="s">
        <v>8</v>
      </c>
      <c r="D108" s="22">
        <v>0.94013226032257102</v>
      </c>
      <c r="E108" s="22">
        <v>0.29422736167907698</v>
      </c>
      <c r="F108" s="22">
        <v>0.127998247742653</v>
      </c>
      <c r="G108" s="21" t="s">
        <v>1110</v>
      </c>
      <c r="H108" s="22">
        <f>POWER(10,E108)</f>
        <v>1.968916786494687</v>
      </c>
      <c r="J108" s="2" t="s">
        <v>94</v>
      </c>
      <c r="K108" s="2" t="s">
        <v>8</v>
      </c>
      <c r="L108" s="5">
        <v>0.65920048952102706</v>
      </c>
      <c r="M108" s="5">
        <v>0.692557632923126</v>
      </c>
      <c r="N108" s="5">
        <v>0.191323801875114</v>
      </c>
      <c r="O108" s="5">
        <f t="shared" si="1"/>
        <v>1.9988212522244853</v>
      </c>
      <c r="Q108" s="9" t="s">
        <v>8</v>
      </c>
      <c r="R108" s="9" t="s">
        <v>326</v>
      </c>
      <c r="S108" s="9" t="s">
        <v>838</v>
      </c>
      <c r="T108" s="9" t="s">
        <v>375</v>
      </c>
      <c r="U108" s="9" t="s">
        <v>541</v>
      </c>
      <c r="V108" s="9" t="s">
        <v>839</v>
      </c>
      <c r="W108" s="9" t="s">
        <v>94</v>
      </c>
      <c r="X108" s="9" t="s">
        <v>330</v>
      </c>
      <c r="Y108" s="9" t="s">
        <v>840</v>
      </c>
      <c r="Z108" s="9" t="s">
        <v>841</v>
      </c>
      <c r="AA108" s="10" t="s">
        <v>319</v>
      </c>
    </row>
    <row r="109" spans="2:39" x14ac:dyDescent="0.2">
      <c r="B109" s="21" t="s">
        <v>94</v>
      </c>
      <c r="C109" s="21" t="s">
        <v>95</v>
      </c>
      <c r="D109" s="22">
        <v>0.94050830602645896</v>
      </c>
      <c r="E109" s="22">
        <v>-1.5795646905898999</v>
      </c>
      <c r="F109" s="22">
        <v>0.49814295768737799</v>
      </c>
      <c r="G109" s="21" t="s">
        <v>1110</v>
      </c>
      <c r="H109" s="22">
        <f>POWER(10,E109)</f>
        <v>2.6329057284440887E-2</v>
      </c>
      <c r="J109" s="2" t="s">
        <v>94</v>
      </c>
      <c r="K109" s="2" t="s">
        <v>95</v>
      </c>
      <c r="L109" s="5">
        <v>0.66869533061981201</v>
      </c>
      <c r="M109" s="5">
        <v>-1.4939715862274201</v>
      </c>
      <c r="N109" s="5">
        <v>0.48773437738418601</v>
      </c>
      <c r="O109" s="5">
        <f t="shared" si="1"/>
        <v>0.22447934371135844</v>
      </c>
      <c r="Q109" s="9" t="s">
        <v>95</v>
      </c>
      <c r="R109" s="9" t="s">
        <v>842</v>
      </c>
      <c r="S109" s="9" t="s">
        <v>843</v>
      </c>
      <c r="T109" s="9" t="s">
        <v>328</v>
      </c>
      <c r="U109" s="9" t="s">
        <v>328</v>
      </c>
      <c r="V109" s="9" t="s">
        <v>844</v>
      </c>
      <c r="W109" s="9" t="s">
        <v>94</v>
      </c>
      <c r="X109" s="9" t="s">
        <v>386</v>
      </c>
      <c r="Y109" s="9" t="s">
        <v>845</v>
      </c>
      <c r="Z109" s="9" t="s">
        <v>846</v>
      </c>
      <c r="AA109" s="10" t="s">
        <v>319</v>
      </c>
    </row>
    <row r="110" spans="2:39" x14ac:dyDescent="0.2">
      <c r="B110" s="21" t="s">
        <v>96</v>
      </c>
      <c r="C110" s="21" t="s">
        <v>97</v>
      </c>
      <c r="D110" s="22">
        <v>0.97070544958114602</v>
      </c>
      <c r="E110" s="22">
        <v>-1.8572078943252599</v>
      </c>
      <c r="F110" s="22">
        <v>0.94123804569244396</v>
      </c>
      <c r="G110" s="21" t="s">
        <v>1110</v>
      </c>
      <c r="H110" s="22">
        <f>POWER(10,E110)</f>
        <v>1.3892874279355368E-2</v>
      </c>
      <c r="J110" s="2" t="s">
        <v>96</v>
      </c>
      <c r="K110" s="2" t="s">
        <v>97</v>
      </c>
      <c r="L110" s="5">
        <v>0.56506884098053001</v>
      </c>
      <c r="M110" s="5">
        <v>-1.65385901927948</v>
      </c>
      <c r="N110" s="5">
        <v>0.94338983297348</v>
      </c>
      <c r="O110" s="5">
        <f t="shared" si="1"/>
        <v>0.19131021248954441</v>
      </c>
      <c r="Q110" s="9" t="s">
        <v>97</v>
      </c>
      <c r="R110" s="9" t="s">
        <v>847</v>
      </c>
      <c r="S110" s="9" t="s">
        <v>848</v>
      </c>
      <c r="T110" s="9" t="s">
        <v>375</v>
      </c>
      <c r="U110" s="9" t="s">
        <v>592</v>
      </c>
      <c r="V110" s="9" t="s">
        <v>849</v>
      </c>
      <c r="W110" s="9" t="s">
        <v>96</v>
      </c>
      <c r="X110" s="9" t="s">
        <v>35</v>
      </c>
      <c r="Y110" s="9" t="s">
        <v>850</v>
      </c>
      <c r="Z110" s="9" t="s">
        <v>851</v>
      </c>
      <c r="AA110" s="10" t="s">
        <v>579</v>
      </c>
    </row>
    <row r="111" spans="2:39" x14ac:dyDescent="0.2">
      <c r="B111" s="21" t="s">
        <v>96</v>
      </c>
      <c r="C111" s="21" t="s">
        <v>81</v>
      </c>
      <c r="D111" s="22">
        <v>0.96699762344360396</v>
      </c>
      <c r="E111" s="22">
        <v>-1.80766046047211</v>
      </c>
      <c r="F111" s="22">
        <v>0.91947340965270996</v>
      </c>
      <c r="G111" s="21" t="s">
        <v>1110</v>
      </c>
      <c r="H111" s="22">
        <f>POWER(10,E111)</f>
        <v>1.5571825902215133E-2</v>
      </c>
      <c r="J111" s="2" t="s">
        <v>96</v>
      </c>
      <c r="K111" s="2" t="s">
        <v>81</v>
      </c>
      <c r="L111" s="5">
        <v>0.56372278928756703</v>
      </c>
      <c r="M111" s="5">
        <v>-1.83113753795624</v>
      </c>
      <c r="N111" s="5">
        <v>0.94784498214721702</v>
      </c>
      <c r="O111" s="5">
        <f t="shared" si="1"/>
        <v>0.1602311950007749</v>
      </c>
      <c r="Q111" s="9" t="s">
        <v>81</v>
      </c>
      <c r="R111" s="9" t="s">
        <v>770</v>
      </c>
      <c r="S111" s="9" t="s">
        <v>852</v>
      </c>
      <c r="T111" s="9" t="s">
        <v>375</v>
      </c>
      <c r="U111" s="9" t="s">
        <v>435</v>
      </c>
      <c r="V111" s="9" t="s">
        <v>853</v>
      </c>
      <c r="W111" s="9" t="s">
        <v>96</v>
      </c>
      <c r="X111" s="9" t="s">
        <v>35</v>
      </c>
      <c r="Y111" s="9" t="s">
        <v>850</v>
      </c>
      <c r="Z111" s="9" t="s">
        <v>854</v>
      </c>
      <c r="AA111" s="10" t="s">
        <v>319</v>
      </c>
    </row>
    <row r="112" spans="2:39" x14ac:dyDescent="0.2">
      <c r="B112" s="21" t="s">
        <v>96</v>
      </c>
      <c r="C112" s="21" t="s">
        <v>37</v>
      </c>
      <c r="D112" s="22">
        <v>0.96889841556549094</v>
      </c>
      <c r="E112" s="22">
        <v>-2.06863212585449</v>
      </c>
      <c r="F112" s="22">
        <v>0.96585232019424405</v>
      </c>
      <c r="G112" s="21" t="s">
        <v>1110</v>
      </c>
      <c r="H112" s="22">
        <f>POWER(10,E112)</f>
        <v>8.5382304844165025E-3</v>
      </c>
      <c r="J112" s="2" t="s">
        <v>96</v>
      </c>
      <c r="K112" s="2" t="s">
        <v>37</v>
      </c>
      <c r="L112" s="5">
        <v>0.57443732023239102</v>
      </c>
      <c r="M112" s="5">
        <v>-2.4717540740966801</v>
      </c>
      <c r="N112" s="5">
        <v>0.99310779571533203</v>
      </c>
      <c r="O112" s="5">
        <f t="shared" si="1"/>
        <v>8.4436620939698892E-2</v>
      </c>
      <c r="Q112" s="9" t="s">
        <v>855</v>
      </c>
      <c r="R112" s="9" t="s">
        <v>856</v>
      </c>
      <c r="S112" s="9" t="s">
        <v>857</v>
      </c>
      <c r="T112" s="9" t="s">
        <v>670</v>
      </c>
      <c r="U112" s="9" t="s">
        <v>369</v>
      </c>
      <c r="V112" s="9" t="s">
        <v>858</v>
      </c>
      <c r="W112" s="9" t="s">
        <v>96</v>
      </c>
      <c r="X112" s="9" t="s">
        <v>35</v>
      </c>
      <c r="Y112" s="9" t="s">
        <v>850</v>
      </c>
      <c r="Z112" s="9" t="s">
        <v>859</v>
      </c>
      <c r="AA112" s="10" t="s">
        <v>579</v>
      </c>
    </row>
    <row r="113" spans="2:27" x14ac:dyDescent="0.2">
      <c r="B113" s="21" t="s">
        <v>96</v>
      </c>
      <c r="C113" s="21" t="s">
        <v>98</v>
      </c>
      <c r="D113" s="22">
        <v>0.97017425298690796</v>
      </c>
      <c r="E113" s="22">
        <v>-7.8780882060527802E-2</v>
      </c>
      <c r="F113" s="22">
        <v>0.78877907991409302</v>
      </c>
      <c r="G113" s="21" t="s">
        <v>1110</v>
      </c>
      <c r="H113" s="22">
        <f>POWER(10,E113)</f>
        <v>0.83410191433599634</v>
      </c>
      <c r="J113" s="2" t="s">
        <v>96</v>
      </c>
      <c r="K113" s="2" t="s">
        <v>98</v>
      </c>
      <c r="L113" s="5">
        <v>0.57497876882553101</v>
      </c>
      <c r="M113" s="5">
        <v>-0.29401355981826799</v>
      </c>
      <c r="N113" s="5">
        <v>0.83591705560684204</v>
      </c>
      <c r="O113" s="5">
        <f t="shared" si="1"/>
        <v>0.74526638569802139</v>
      </c>
      <c r="Q113" s="9" t="s">
        <v>98</v>
      </c>
      <c r="R113" s="9" t="s">
        <v>860</v>
      </c>
      <c r="S113" s="9" t="s">
        <v>861</v>
      </c>
      <c r="T113" s="9" t="s">
        <v>322</v>
      </c>
      <c r="U113" s="9" t="s">
        <v>862</v>
      </c>
      <c r="V113" s="9" t="s">
        <v>863</v>
      </c>
      <c r="W113" s="9" t="s">
        <v>96</v>
      </c>
      <c r="X113" s="9" t="s">
        <v>787</v>
      </c>
      <c r="Y113" s="9" t="s">
        <v>864</v>
      </c>
      <c r="Z113" s="9" t="s">
        <v>865</v>
      </c>
      <c r="AA113" s="10" t="s">
        <v>319</v>
      </c>
    </row>
    <row r="114" spans="2:27" x14ac:dyDescent="0.2">
      <c r="B114" s="21" t="s">
        <v>96</v>
      </c>
      <c r="C114" s="21" t="s">
        <v>38</v>
      </c>
      <c r="D114" s="22">
        <v>0.96850365400314298</v>
      </c>
      <c r="E114" s="22">
        <v>-1.7276147603988601</v>
      </c>
      <c r="F114" s="22">
        <v>0.92644780874252297</v>
      </c>
      <c r="G114" s="21" t="s">
        <v>1110</v>
      </c>
      <c r="H114" s="22">
        <f>POWER(10,E114)</f>
        <v>1.8723422594697538E-2</v>
      </c>
      <c r="J114" s="2" t="s">
        <v>96</v>
      </c>
      <c r="K114" s="2" t="s">
        <v>38</v>
      </c>
      <c r="L114" s="5">
        <v>0.56456321477890004</v>
      </c>
      <c r="M114" s="5">
        <v>-2.1776566505432098</v>
      </c>
      <c r="N114" s="5">
        <v>0.95610761642456099</v>
      </c>
      <c r="O114" s="5">
        <f t="shared" si="1"/>
        <v>0.11330673706417502</v>
      </c>
      <c r="Q114" s="9" t="s">
        <v>38</v>
      </c>
      <c r="R114" s="9" t="s">
        <v>521</v>
      </c>
      <c r="S114" s="9" t="s">
        <v>861</v>
      </c>
      <c r="T114" s="9" t="s">
        <v>347</v>
      </c>
      <c r="U114" s="9" t="s">
        <v>866</v>
      </c>
      <c r="V114" s="9" t="s">
        <v>867</v>
      </c>
      <c r="W114" s="9" t="s">
        <v>96</v>
      </c>
      <c r="X114" s="9" t="s">
        <v>78</v>
      </c>
      <c r="Y114" s="9" t="s">
        <v>868</v>
      </c>
      <c r="Z114" s="9" t="s">
        <v>851</v>
      </c>
      <c r="AA114" s="10" t="s">
        <v>579</v>
      </c>
    </row>
    <row r="115" spans="2:27" x14ac:dyDescent="0.2">
      <c r="B115" s="21" t="s">
        <v>96</v>
      </c>
      <c r="C115" s="21" t="s">
        <v>99</v>
      </c>
      <c r="D115" s="22">
        <v>0.97226077318191495</v>
      </c>
      <c r="E115" s="22">
        <v>-1.2490935325622601</v>
      </c>
      <c r="F115" s="22">
        <v>0.889900803565979</v>
      </c>
      <c r="G115" s="21" t="s">
        <v>1110</v>
      </c>
      <c r="H115" s="22">
        <f>POWER(10,E115)</f>
        <v>5.6351628012389444E-2</v>
      </c>
      <c r="J115" s="2" t="s">
        <v>96</v>
      </c>
      <c r="K115" s="2" t="s">
        <v>99</v>
      </c>
      <c r="L115" s="5">
        <v>0.56225645542144798</v>
      </c>
      <c r="M115" s="5">
        <v>-1.4259954690933201</v>
      </c>
      <c r="N115" s="5">
        <v>0.92915391921997104</v>
      </c>
      <c r="O115" s="5">
        <f t="shared" si="1"/>
        <v>0.24026916359398273</v>
      </c>
      <c r="Q115" s="9" t="s">
        <v>99</v>
      </c>
      <c r="R115" s="9" t="s">
        <v>869</v>
      </c>
      <c r="S115" s="9" t="s">
        <v>870</v>
      </c>
      <c r="T115" s="9" t="s">
        <v>434</v>
      </c>
      <c r="U115" s="9" t="s">
        <v>422</v>
      </c>
      <c r="V115" s="9" t="s">
        <v>871</v>
      </c>
      <c r="W115" s="9" t="s">
        <v>96</v>
      </c>
      <c r="X115" s="9" t="s">
        <v>78</v>
      </c>
      <c r="Y115" s="9" t="s">
        <v>868</v>
      </c>
      <c r="Z115" s="9" t="s">
        <v>872</v>
      </c>
      <c r="AA115" s="10" t="s">
        <v>579</v>
      </c>
    </row>
    <row r="116" spans="2:27" x14ac:dyDescent="0.2">
      <c r="B116" s="21" t="s">
        <v>96</v>
      </c>
      <c r="C116" s="21" t="s">
        <v>100</v>
      </c>
      <c r="D116" s="22">
        <v>0.97304266691207897</v>
      </c>
      <c r="E116" s="22">
        <v>-1.4716149568557699</v>
      </c>
      <c r="F116" s="22">
        <v>0.94219321012497004</v>
      </c>
      <c r="G116" s="21" t="s">
        <v>1110</v>
      </c>
      <c r="H116" s="22">
        <f>POWER(10,E116)</f>
        <v>3.3758647836827312E-2</v>
      </c>
      <c r="J116" s="2" t="s">
        <v>96</v>
      </c>
      <c r="K116" s="2" t="s">
        <v>100</v>
      </c>
      <c r="L116" s="5">
        <v>0.56435436010360696</v>
      </c>
      <c r="M116" s="5">
        <v>-1.4040119647979701</v>
      </c>
      <c r="N116" s="5">
        <v>0.91706597805023204</v>
      </c>
      <c r="O116" s="5">
        <f t="shared" si="1"/>
        <v>0.24560960754689806</v>
      </c>
      <c r="Q116" s="9" t="s">
        <v>100</v>
      </c>
      <c r="R116" s="9" t="s">
        <v>873</v>
      </c>
      <c r="S116" s="9" t="s">
        <v>857</v>
      </c>
      <c r="T116" s="9" t="s">
        <v>555</v>
      </c>
      <c r="U116" s="9" t="s">
        <v>422</v>
      </c>
      <c r="V116" s="9" t="s">
        <v>874</v>
      </c>
      <c r="W116" s="9" t="s">
        <v>96</v>
      </c>
      <c r="X116" s="9" t="s">
        <v>78</v>
      </c>
      <c r="Y116" s="9" t="s">
        <v>868</v>
      </c>
      <c r="Z116" s="9" t="s">
        <v>875</v>
      </c>
      <c r="AA116" s="10" t="s">
        <v>319</v>
      </c>
    </row>
    <row r="117" spans="2:27" x14ac:dyDescent="0.2">
      <c r="B117" s="21" t="s">
        <v>96</v>
      </c>
      <c r="C117" s="21" t="s">
        <v>101</v>
      </c>
      <c r="D117" s="22">
        <v>0.97057527303695701</v>
      </c>
      <c r="E117" s="22">
        <v>-1.61536800861359</v>
      </c>
      <c r="F117" s="22">
        <v>0.92443686723709095</v>
      </c>
      <c r="G117" s="21" t="s">
        <v>1110</v>
      </c>
      <c r="H117" s="22">
        <f>POWER(10,E117)</f>
        <v>2.4245547266539508E-2</v>
      </c>
      <c r="J117" s="2" t="s">
        <v>96</v>
      </c>
      <c r="K117" s="2" t="s">
        <v>101</v>
      </c>
      <c r="L117" s="5">
        <v>0.56835192441940297</v>
      </c>
      <c r="M117" s="5">
        <v>-2.2810926437377899</v>
      </c>
      <c r="N117" s="5">
        <v>0.97949665784835804</v>
      </c>
      <c r="O117" s="5">
        <f t="shared" si="1"/>
        <v>0.10217250755240334</v>
      </c>
      <c r="Q117" s="9" t="s">
        <v>101</v>
      </c>
      <c r="R117" s="9" t="s">
        <v>876</v>
      </c>
      <c r="S117" s="9" t="s">
        <v>877</v>
      </c>
      <c r="T117" s="9" t="s">
        <v>391</v>
      </c>
      <c r="U117" s="9" t="s">
        <v>603</v>
      </c>
      <c r="V117" s="9" t="s">
        <v>878</v>
      </c>
      <c r="W117" s="9" t="s">
        <v>96</v>
      </c>
      <c r="X117" s="9" t="s">
        <v>78</v>
      </c>
      <c r="Y117" s="9" t="s">
        <v>868</v>
      </c>
      <c r="Z117" s="9" t="s">
        <v>851</v>
      </c>
      <c r="AA117" s="10" t="s">
        <v>579</v>
      </c>
    </row>
    <row r="118" spans="2:27" x14ac:dyDescent="0.2">
      <c r="B118" s="21" t="s">
        <v>96</v>
      </c>
      <c r="C118" s="21" t="s">
        <v>102</v>
      </c>
      <c r="D118" s="22">
        <v>0.97351503372192405</v>
      </c>
      <c r="E118" s="22">
        <v>-1.3109836578369101</v>
      </c>
      <c r="F118" s="22">
        <v>0.85797011852264404</v>
      </c>
      <c r="G118" s="21" t="s">
        <v>1110</v>
      </c>
      <c r="H118" s="22">
        <f>POWER(10,E118)</f>
        <v>4.8867074729647318E-2</v>
      </c>
      <c r="J118" s="2" t="s">
        <v>96</v>
      </c>
      <c r="K118" s="2" t="s">
        <v>102</v>
      </c>
      <c r="L118" s="5">
        <v>0.560871541500092</v>
      </c>
      <c r="M118" s="5">
        <v>-0.48949882388114901</v>
      </c>
      <c r="N118" s="5">
        <v>0.849689841270447</v>
      </c>
      <c r="O118" s="5">
        <f t="shared" si="1"/>
        <v>0.61293350485479769</v>
      </c>
      <c r="Q118" s="9" t="s">
        <v>879</v>
      </c>
      <c r="R118" s="9" t="s">
        <v>880</v>
      </c>
      <c r="S118" s="9" t="s">
        <v>861</v>
      </c>
      <c r="T118" s="9" t="s">
        <v>541</v>
      </c>
      <c r="U118" s="9" t="s">
        <v>881</v>
      </c>
      <c r="V118" s="9" t="s">
        <v>882</v>
      </c>
      <c r="W118" s="9" t="s">
        <v>96</v>
      </c>
      <c r="X118" s="9" t="s">
        <v>35</v>
      </c>
      <c r="Y118" s="9" t="s">
        <v>850</v>
      </c>
      <c r="Z118" s="9" t="s">
        <v>883</v>
      </c>
      <c r="AA118" s="10" t="s">
        <v>579</v>
      </c>
    </row>
    <row r="119" spans="2:27" x14ac:dyDescent="0.2">
      <c r="B119" s="21" t="s">
        <v>103</v>
      </c>
      <c r="C119" s="21" t="s">
        <v>104</v>
      </c>
      <c r="D119" s="22">
        <v>0.85334539413452204</v>
      </c>
      <c r="E119" s="22">
        <v>0.96625334024429299</v>
      </c>
      <c r="F119" s="22">
        <v>0.61188590526580799</v>
      </c>
      <c r="G119" s="21" t="s">
        <v>1110</v>
      </c>
      <c r="H119" s="22">
        <f>POWER(10,E119)</f>
        <v>9.2523774239143624</v>
      </c>
      <c r="J119" s="2" t="s">
        <v>103</v>
      </c>
      <c r="K119" s="2" t="s">
        <v>104</v>
      </c>
      <c r="L119" s="5">
        <v>0.86104583740234397</v>
      </c>
      <c r="M119" s="5">
        <v>1.2346978187561</v>
      </c>
      <c r="N119" s="5">
        <v>0.53524279594421398</v>
      </c>
      <c r="O119" s="5">
        <f t="shared" si="1"/>
        <v>3.4373396641761231</v>
      </c>
      <c r="Q119" s="9" t="s">
        <v>104</v>
      </c>
      <c r="R119" s="9" t="s">
        <v>884</v>
      </c>
      <c r="S119" s="9" t="s">
        <v>885</v>
      </c>
      <c r="T119" s="9" t="s">
        <v>375</v>
      </c>
      <c r="U119" s="9" t="s">
        <v>375</v>
      </c>
      <c r="V119" s="9" t="s">
        <v>886</v>
      </c>
      <c r="W119" s="9" t="s">
        <v>103</v>
      </c>
      <c r="X119" s="9" t="s">
        <v>233</v>
      </c>
      <c r="Y119" s="9" t="s">
        <v>887</v>
      </c>
      <c r="Z119" s="9" t="s">
        <v>888</v>
      </c>
      <c r="AA119" s="10" t="s">
        <v>319</v>
      </c>
    </row>
    <row r="120" spans="2:27" x14ac:dyDescent="0.2">
      <c r="B120" s="21" t="s">
        <v>103</v>
      </c>
      <c r="C120" s="21" t="s">
        <v>105</v>
      </c>
      <c r="D120" s="22">
        <v>0.87807768583297696</v>
      </c>
      <c r="E120" s="22">
        <v>7.7897943556308802E-2</v>
      </c>
      <c r="F120" s="22">
        <v>0.63685804605483998</v>
      </c>
      <c r="G120" s="21" t="s">
        <v>1110</v>
      </c>
      <c r="H120" s="22">
        <f>POWER(10,E120)</f>
        <v>1.1964593379272332</v>
      </c>
      <c r="J120" s="2" t="s">
        <v>103</v>
      </c>
      <c r="K120" s="2" t="s">
        <v>105</v>
      </c>
      <c r="L120" s="5">
        <v>0.87480700016021695</v>
      </c>
      <c r="M120" s="5">
        <v>-0.16916923224926</v>
      </c>
      <c r="N120" s="5">
        <v>0.746085464954376</v>
      </c>
      <c r="O120" s="5">
        <f t="shared" si="1"/>
        <v>0.84436599733729134</v>
      </c>
      <c r="Q120" s="9" t="s">
        <v>105</v>
      </c>
      <c r="R120" s="9" t="s">
        <v>889</v>
      </c>
      <c r="S120" s="9" t="s">
        <v>890</v>
      </c>
      <c r="T120" s="9" t="s">
        <v>670</v>
      </c>
      <c r="U120" s="9" t="s">
        <v>356</v>
      </c>
      <c r="V120" s="9" t="s">
        <v>891</v>
      </c>
      <c r="W120" s="9" t="s">
        <v>103</v>
      </c>
      <c r="X120" s="9" t="s">
        <v>892</v>
      </c>
      <c r="Y120" s="9" t="s">
        <v>893</v>
      </c>
      <c r="Z120" s="9" t="s">
        <v>894</v>
      </c>
      <c r="AA120" s="10" t="s">
        <v>319</v>
      </c>
    </row>
    <row r="121" spans="2:27" x14ac:dyDescent="0.2">
      <c r="B121" s="21" t="s">
        <v>106</v>
      </c>
      <c r="C121" s="21" t="s">
        <v>17</v>
      </c>
      <c r="D121" s="22">
        <v>0.90347921848297097</v>
      </c>
      <c r="E121" s="22">
        <v>-8.0983221530914307E-2</v>
      </c>
      <c r="F121" s="22">
        <v>0.83841425180435203</v>
      </c>
      <c r="G121" s="21" t="s">
        <v>1110</v>
      </c>
      <c r="H121" s="22">
        <f>POWER(10,E121)</f>
        <v>0.8298828284661357</v>
      </c>
      <c r="J121" s="2" t="s">
        <v>106</v>
      </c>
      <c r="K121" s="2" t="s">
        <v>17</v>
      </c>
      <c r="L121" s="5">
        <v>0.90658301115036</v>
      </c>
      <c r="M121" s="5">
        <v>0.14488103985786399</v>
      </c>
      <c r="N121" s="5">
        <v>0.83378970623016402</v>
      </c>
      <c r="O121" s="5">
        <f t="shared" si="1"/>
        <v>1.1559020558159592</v>
      </c>
      <c r="Q121" s="9" t="s">
        <v>17</v>
      </c>
      <c r="R121" s="9" t="s">
        <v>382</v>
      </c>
      <c r="S121" s="9" t="s">
        <v>895</v>
      </c>
      <c r="T121" s="9" t="s">
        <v>499</v>
      </c>
      <c r="U121" s="9" t="s">
        <v>422</v>
      </c>
      <c r="V121" s="9" t="s">
        <v>896</v>
      </c>
      <c r="W121" s="9" t="s">
        <v>106</v>
      </c>
      <c r="X121" s="9" t="s">
        <v>5</v>
      </c>
      <c r="Y121" s="9" t="s">
        <v>897</v>
      </c>
      <c r="Z121" s="9" t="s">
        <v>898</v>
      </c>
      <c r="AA121" s="10" t="s">
        <v>319</v>
      </c>
    </row>
    <row r="122" spans="2:27" x14ac:dyDescent="0.2">
      <c r="B122" s="21" t="s">
        <v>107</v>
      </c>
      <c r="C122" s="21" t="s">
        <v>108</v>
      </c>
      <c r="D122" s="22">
        <v>0.93114709854125999</v>
      </c>
      <c r="E122" s="22">
        <v>-0.37304940819740301</v>
      </c>
      <c r="F122" s="22">
        <v>0.99867707490920998</v>
      </c>
      <c r="G122" s="21" t="s">
        <v>1110</v>
      </c>
      <c r="H122" s="22">
        <f>POWER(10,E122)</f>
        <v>0.42359477238012239</v>
      </c>
      <c r="J122" s="2" t="s">
        <v>107</v>
      </c>
      <c r="K122" s="2" t="s">
        <v>108</v>
      </c>
      <c r="L122" s="5">
        <v>0.87933492660522505</v>
      </c>
      <c r="M122" s="5">
        <v>9.7243010997772203E-2</v>
      </c>
      <c r="N122" s="5">
        <v>0.95930325984954801</v>
      </c>
      <c r="O122" s="5">
        <f t="shared" si="1"/>
        <v>1.1021281703472667</v>
      </c>
      <c r="Q122" s="9" t="s">
        <v>108</v>
      </c>
      <c r="R122" s="9" t="s">
        <v>899</v>
      </c>
      <c r="S122" s="9" t="s">
        <v>900</v>
      </c>
      <c r="T122" s="9" t="s">
        <v>731</v>
      </c>
      <c r="U122" s="9" t="s">
        <v>731</v>
      </c>
      <c r="V122" s="9" t="s">
        <v>901</v>
      </c>
      <c r="W122" s="9" t="s">
        <v>106</v>
      </c>
      <c r="X122" s="9" t="s">
        <v>64</v>
      </c>
      <c r="Y122" s="9" t="s">
        <v>902</v>
      </c>
      <c r="Z122" s="9" t="s">
        <v>903</v>
      </c>
      <c r="AA122" s="10" t="s">
        <v>319</v>
      </c>
    </row>
    <row r="123" spans="2:27" x14ac:dyDescent="0.2">
      <c r="B123" s="21" t="s">
        <v>107</v>
      </c>
      <c r="C123" s="21" t="s">
        <v>109</v>
      </c>
      <c r="D123" s="22">
        <v>0.90971004962921098</v>
      </c>
      <c r="E123" s="22">
        <v>-8.2574829459190396E-2</v>
      </c>
      <c r="F123" s="22">
        <v>0.82106077671051003</v>
      </c>
      <c r="G123" s="21" t="s">
        <v>1110</v>
      </c>
      <c r="H123" s="22">
        <f>POWER(10,E123)</f>
        <v>0.82684702956049771</v>
      </c>
      <c r="J123" s="2" t="s">
        <v>107</v>
      </c>
      <c r="K123" s="2" t="s">
        <v>109</v>
      </c>
      <c r="L123" s="5">
        <v>0.83112317323684703</v>
      </c>
      <c r="M123" s="5">
        <v>0.21656429767608601</v>
      </c>
      <c r="N123" s="5">
        <v>0.54944992065429699</v>
      </c>
      <c r="O123" s="5">
        <f t="shared" si="1"/>
        <v>1.241802927829375</v>
      </c>
      <c r="Q123" s="9" t="s">
        <v>109</v>
      </c>
      <c r="R123" s="9" t="s">
        <v>906</v>
      </c>
      <c r="S123" s="9" t="s">
        <v>907</v>
      </c>
      <c r="T123" s="9" t="s">
        <v>535</v>
      </c>
      <c r="U123" s="9" t="s">
        <v>535</v>
      </c>
      <c r="V123" s="9" t="s">
        <v>908</v>
      </c>
      <c r="W123" s="9" t="s">
        <v>107</v>
      </c>
      <c r="X123" s="9" t="s">
        <v>292</v>
      </c>
      <c r="Y123" s="9" t="s">
        <v>905</v>
      </c>
      <c r="Z123" s="9" t="s">
        <v>909</v>
      </c>
      <c r="AA123" s="10" t="s">
        <v>319</v>
      </c>
    </row>
    <row r="124" spans="2:27" x14ac:dyDescent="0.2">
      <c r="B124" s="21" t="s">
        <v>107</v>
      </c>
      <c r="C124" s="21" t="s">
        <v>13</v>
      </c>
      <c r="D124" s="22">
        <v>0.85273772478103604</v>
      </c>
      <c r="E124" s="22">
        <v>8.6395382881164606E-2</v>
      </c>
      <c r="F124" s="22">
        <v>0.24337173998355899</v>
      </c>
      <c r="G124" s="21" t="s">
        <v>1110</v>
      </c>
      <c r="H124" s="22">
        <f>POWER(10,E124)</f>
        <v>1.220099875704187</v>
      </c>
      <c r="J124" s="2" t="s">
        <v>107</v>
      </c>
      <c r="K124" s="2" t="s">
        <v>13</v>
      </c>
      <c r="L124" s="5">
        <v>0.85908120870590199</v>
      </c>
      <c r="M124" s="5">
        <v>-0.56175029277801503</v>
      </c>
      <c r="N124" s="5">
        <v>0.226221889257431</v>
      </c>
      <c r="O124" s="5">
        <f t="shared" si="1"/>
        <v>0.57021015519593921</v>
      </c>
      <c r="Q124" s="9" t="s">
        <v>13</v>
      </c>
      <c r="R124" s="9" t="s">
        <v>361</v>
      </c>
      <c r="S124" s="9" t="s">
        <v>910</v>
      </c>
      <c r="T124" s="9" t="s">
        <v>375</v>
      </c>
      <c r="U124" s="9" t="s">
        <v>375</v>
      </c>
      <c r="V124" s="9" t="s">
        <v>911</v>
      </c>
      <c r="W124" s="9" t="s">
        <v>107</v>
      </c>
      <c r="X124" s="9" t="s">
        <v>292</v>
      </c>
      <c r="Y124" s="9" t="s">
        <v>905</v>
      </c>
      <c r="Z124" s="9" t="s">
        <v>583</v>
      </c>
      <c r="AA124" s="10" t="s">
        <v>319</v>
      </c>
    </row>
    <row r="125" spans="2:27" x14ac:dyDescent="0.2">
      <c r="B125" s="21" t="s">
        <v>107</v>
      </c>
      <c r="C125" s="21" t="s">
        <v>50</v>
      </c>
      <c r="D125" s="22">
        <v>0.87974339723587003</v>
      </c>
      <c r="E125" s="22">
        <v>-0.19531570374965701</v>
      </c>
      <c r="F125" s="22">
        <v>0.61749935150146495</v>
      </c>
      <c r="G125" s="21" t="s">
        <v>1110</v>
      </c>
      <c r="H125" s="22">
        <f>POWER(10,E125)</f>
        <v>0.63779967888345679</v>
      </c>
      <c r="J125" s="2" t="s">
        <v>107</v>
      </c>
      <c r="K125" s="2" t="s">
        <v>50</v>
      </c>
      <c r="L125" s="5">
        <v>0.82442504167556796</v>
      </c>
      <c r="M125" s="5">
        <v>-0.36842021346092202</v>
      </c>
      <c r="N125" s="5">
        <v>0.71016728878021196</v>
      </c>
      <c r="O125" s="5">
        <f t="shared" si="1"/>
        <v>0.69182640583069299</v>
      </c>
      <c r="Q125" s="9" t="s">
        <v>50</v>
      </c>
      <c r="R125" s="9" t="s">
        <v>589</v>
      </c>
      <c r="S125" s="9" t="s">
        <v>912</v>
      </c>
      <c r="T125" s="9" t="s">
        <v>627</v>
      </c>
      <c r="U125" s="9" t="s">
        <v>392</v>
      </c>
      <c r="V125" s="9" t="s">
        <v>913</v>
      </c>
      <c r="W125" s="9" t="s">
        <v>107</v>
      </c>
      <c r="X125" s="9" t="s">
        <v>904</v>
      </c>
      <c r="Y125" s="9" t="s">
        <v>914</v>
      </c>
      <c r="Z125" s="9" t="s">
        <v>915</v>
      </c>
      <c r="AA125" s="10" t="s">
        <v>319</v>
      </c>
    </row>
    <row r="126" spans="2:27" x14ac:dyDescent="0.2">
      <c r="B126" s="21" t="s">
        <v>110</v>
      </c>
      <c r="C126" s="21" t="s">
        <v>26</v>
      </c>
      <c r="D126" s="22">
        <v>0.96517592668533303</v>
      </c>
      <c r="E126" s="22">
        <v>-0.81145453453063998</v>
      </c>
      <c r="F126" s="22">
        <v>0.79162955284118697</v>
      </c>
      <c r="G126" s="21" t="s">
        <v>1110</v>
      </c>
      <c r="H126" s="22">
        <f>POWER(10,E126)</f>
        <v>0.15436380154154353</v>
      </c>
      <c r="J126" s="2" t="s">
        <v>110</v>
      </c>
      <c r="K126" s="2" t="s">
        <v>26</v>
      </c>
      <c r="L126" s="5">
        <v>0.88065332174301203</v>
      </c>
      <c r="M126" s="5">
        <v>-0.50999391078948997</v>
      </c>
      <c r="N126" s="5">
        <v>0.71837049722671498</v>
      </c>
      <c r="O126" s="5">
        <f t="shared" si="1"/>
        <v>0.60049923536738847</v>
      </c>
      <c r="Q126" s="9" t="s">
        <v>26</v>
      </c>
      <c r="R126" s="9" t="s">
        <v>447</v>
      </c>
      <c r="S126" s="9" t="s">
        <v>916</v>
      </c>
      <c r="T126" s="9" t="s">
        <v>449</v>
      </c>
      <c r="U126" s="9" t="s">
        <v>917</v>
      </c>
      <c r="V126" s="9" t="s">
        <v>918</v>
      </c>
      <c r="W126" s="9" t="s">
        <v>110</v>
      </c>
      <c r="X126" s="9" t="s">
        <v>31</v>
      </c>
      <c r="Y126" s="9" t="s">
        <v>840</v>
      </c>
      <c r="Z126" s="9" t="s">
        <v>909</v>
      </c>
      <c r="AA126" s="10" t="s">
        <v>319</v>
      </c>
    </row>
    <row r="127" spans="2:27" x14ac:dyDescent="0.2">
      <c r="B127" s="21" t="s">
        <v>110</v>
      </c>
      <c r="C127" s="21" t="s">
        <v>41</v>
      </c>
      <c r="D127" s="22">
        <v>0.975108623504639</v>
      </c>
      <c r="E127" s="22">
        <v>0.25107291340827897</v>
      </c>
      <c r="F127" s="22">
        <v>0.856492400169373</v>
      </c>
      <c r="G127" s="21" t="s">
        <v>1110</v>
      </c>
      <c r="H127" s="22">
        <f>POWER(10,E127)</f>
        <v>1.7826780349409905</v>
      </c>
      <c r="J127" s="2" t="s">
        <v>110</v>
      </c>
      <c r="K127" s="2" t="s">
        <v>41</v>
      </c>
      <c r="L127" s="5">
        <v>0.90538185834884599</v>
      </c>
      <c r="M127" s="5">
        <v>0.44984337687492398</v>
      </c>
      <c r="N127" s="5">
        <v>0.86048877239227295</v>
      </c>
      <c r="O127" s="5">
        <f t="shared" si="1"/>
        <v>1.5680665707695571</v>
      </c>
      <c r="Q127" s="9" t="s">
        <v>41</v>
      </c>
      <c r="R127" s="9" t="s">
        <v>533</v>
      </c>
      <c r="S127" s="9" t="s">
        <v>919</v>
      </c>
      <c r="T127" s="9" t="s">
        <v>375</v>
      </c>
      <c r="U127" s="9" t="s">
        <v>603</v>
      </c>
      <c r="V127" s="9" t="s">
        <v>754</v>
      </c>
      <c r="W127" s="9" t="s">
        <v>110</v>
      </c>
      <c r="X127" s="9" t="s">
        <v>77</v>
      </c>
      <c r="Y127" s="9" t="s">
        <v>920</v>
      </c>
      <c r="Z127" s="9" t="s">
        <v>921</v>
      </c>
      <c r="AA127" s="10" t="s">
        <v>319</v>
      </c>
    </row>
    <row r="128" spans="2:27" x14ac:dyDescent="0.2">
      <c r="B128" s="21" t="s">
        <v>110</v>
      </c>
      <c r="C128" s="21" t="s">
        <v>111</v>
      </c>
      <c r="D128" s="22">
        <v>0.978546142578125</v>
      </c>
      <c r="E128" s="22">
        <v>0.19264629483223</v>
      </c>
      <c r="F128" s="22">
        <v>0.99392408132553101</v>
      </c>
      <c r="G128" s="21" t="s">
        <v>1110</v>
      </c>
      <c r="H128" s="22">
        <f>POWER(10,E128)</f>
        <v>1.5582828638303305</v>
      </c>
      <c r="J128" s="2" t="s">
        <v>110</v>
      </c>
      <c r="K128" s="2" t="s">
        <v>111</v>
      </c>
      <c r="L128" s="5">
        <v>0.90442556142806996</v>
      </c>
      <c r="M128" s="5">
        <v>0.19971762597560899</v>
      </c>
      <c r="N128" s="5">
        <v>0.99341064691543601</v>
      </c>
      <c r="O128" s="5">
        <f t="shared" si="1"/>
        <v>1.2210579144376921</v>
      </c>
      <c r="Q128" s="9" t="s">
        <v>111</v>
      </c>
      <c r="R128" s="9" t="s">
        <v>922</v>
      </c>
      <c r="S128" s="9" t="s">
        <v>923</v>
      </c>
      <c r="T128" s="9" t="s">
        <v>404</v>
      </c>
      <c r="U128" s="9" t="s">
        <v>384</v>
      </c>
      <c r="V128" s="9" t="s">
        <v>924</v>
      </c>
      <c r="W128" s="9" t="s">
        <v>110</v>
      </c>
      <c r="X128" s="9" t="s">
        <v>713</v>
      </c>
      <c r="Y128" s="9" t="s">
        <v>925</v>
      </c>
      <c r="Z128" s="9" t="s">
        <v>926</v>
      </c>
      <c r="AA128" s="10" t="s">
        <v>319</v>
      </c>
    </row>
    <row r="129" spans="2:27" x14ac:dyDescent="0.2">
      <c r="B129" s="21" t="s">
        <v>112</v>
      </c>
      <c r="C129" s="21" t="s">
        <v>113</v>
      </c>
      <c r="D129" s="22">
        <v>0.91466283798217796</v>
      </c>
      <c r="E129" s="22">
        <v>-0.20693369209766399</v>
      </c>
      <c r="F129" s="22">
        <v>0.35316222906112699</v>
      </c>
      <c r="G129" s="21" t="s">
        <v>1110</v>
      </c>
      <c r="H129" s="22">
        <f>POWER(10,E129)</f>
        <v>0.62096383549500533</v>
      </c>
      <c r="J129" s="2" t="s">
        <v>112</v>
      </c>
      <c r="K129" s="2" t="s">
        <v>113</v>
      </c>
      <c r="L129" s="5">
        <v>0.82469511032104503</v>
      </c>
      <c r="M129" s="5">
        <v>-0.855629563331604</v>
      </c>
      <c r="N129" s="5">
        <v>0.40681466460228</v>
      </c>
      <c r="O129" s="5">
        <f t="shared" si="1"/>
        <v>0.4250155326424313</v>
      </c>
      <c r="Q129" s="14" t="s">
        <v>113</v>
      </c>
      <c r="R129" s="14" t="s">
        <v>927</v>
      </c>
      <c r="S129" s="14" t="s">
        <v>928</v>
      </c>
      <c r="T129" s="14" t="s">
        <v>535</v>
      </c>
      <c r="U129" s="14" t="s">
        <v>731</v>
      </c>
      <c r="V129" s="14" t="s">
        <v>929</v>
      </c>
      <c r="W129" s="14" t="s">
        <v>112</v>
      </c>
      <c r="X129" s="14" t="s">
        <v>86</v>
      </c>
      <c r="Y129" s="14" t="s">
        <v>930</v>
      </c>
      <c r="Z129" s="14" t="s">
        <v>931</v>
      </c>
      <c r="AA129" s="15" t="s">
        <v>319</v>
      </c>
    </row>
    <row r="130" spans="2:27" x14ac:dyDescent="0.2">
      <c r="B130" s="21"/>
      <c r="C130" s="21"/>
      <c r="D130" s="22"/>
      <c r="E130" s="22"/>
      <c r="F130" s="22"/>
      <c r="G130" s="21"/>
      <c r="H130" s="22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</row>
    <row r="131" spans="2:27" x14ac:dyDescent="0.2">
      <c r="B131" s="21"/>
      <c r="C131" s="21"/>
      <c r="D131" s="22"/>
      <c r="E131" s="22"/>
      <c r="F131" s="22"/>
      <c r="G131" s="21"/>
      <c r="H131" s="22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</row>
    <row r="132" spans="2:27" x14ac:dyDescent="0.2">
      <c r="B132" s="21"/>
      <c r="C132" s="21"/>
      <c r="D132" s="22"/>
      <c r="E132" s="22"/>
      <c r="F132" s="22"/>
      <c r="G132" s="21"/>
      <c r="H132" s="22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</row>
    <row r="133" spans="2:27" x14ac:dyDescent="0.2">
      <c r="B133" s="21"/>
      <c r="C133" s="21"/>
      <c r="D133" s="22"/>
      <c r="E133" s="22"/>
      <c r="F133" s="22"/>
      <c r="G133" s="21"/>
      <c r="H133" s="22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4F0C-074B-E54B-A73A-B53165C781AD}">
  <dimension ref="A1:Y540"/>
  <sheetViews>
    <sheetView tabSelected="1" workbookViewId="0">
      <selection activeCell="P18" sqref="P18"/>
    </sheetView>
  </sheetViews>
  <sheetFormatPr baseColWidth="10" defaultRowHeight="16" x14ac:dyDescent="0.2"/>
  <cols>
    <col min="1" max="1" width="13" customWidth="1"/>
    <col min="3" max="3" width="15.5" customWidth="1"/>
    <col min="10" max="10" width="9.6640625" bestFit="1" customWidth="1"/>
    <col min="11" max="11" width="12.33203125" customWidth="1"/>
    <col min="12" max="12" width="17" style="7" bestFit="1" customWidth="1"/>
    <col min="13" max="13" width="13.83203125" style="7" bestFit="1" customWidth="1"/>
    <col min="14" max="14" width="13" style="7" bestFit="1" customWidth="1"/>
  </cols>
  <sheetData>
    <row r="1" spans="1:25" x14ac:dyDescent="0.2">
      <c r="A1" t="s">
        <v>1112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1108</v>
      </c>
      <c r="H1" s="20" t="s">
        <v>1109</v>
      </c>
      <c r="I1" t="s">
        <v>1111</v>
      </c>
      <c r="J1" s="1" t="s">
        <v>0</v>
      </c>
      <c r="K1" s="1" t="s">
        <v>1</v>
      </c>
      <c r="L1" s="6" t="s">
        <v>2</v>
      </c>
      <c r="M1" s="6" t="s">
        <v>300</v>
      </c>
      <c r="N1" s="6" t="s">
        <v>4</v>
      </c>
      <c r="O1" s="6" t="s">
        <v>301</v>
      </c>
      <c r="Q1" s="16" t="s">
        <v>932</v>
      </c>
      <c r="R1" s="16" t="s">
        <v>933</v>
      </c>
      <c r="S1" s="16" t="s">
        <v>934</v>
      </c>
      <c r="T1" s="16" t="s">
        <v>935</v>
      </c>
      <c r="U1" s="16" t="s">
        <v>936</v>
      </c>
      <c r="V1" s="16" t="s">
        <v>937</v>
      </c>
      <c r="W1" s="16" t="s">
        <v>938</v>
      </c>
      <c r="X1" s="16" t="s">
        <v>939</v>
      </c>
      <c r="Y1" s="16" t="s">
        <v>940</v>
      </c>
    </row>
    <row r="2" spans="1:25" x14ac:dyDescent="0.2">
      <c r="B2" s="21" t="s">
        <v>114</v>
      </c>
      <c r="C2" s="21" t="s">
        <v>123</v>
      </c>
      <c r="D2" s="22">
        <v>0.92530709505081199</v>
      </c>
      <c r="E2" s="22">
        <v>1.07952320575714</v>
      </c>
      <c r="F2" s="22">
        <v>6.0454491525888401E-2</v>
      </c>
      <c r="G2" s="21" t="s">
        <v>1113</v>
      </c>
      <c r="H2" s="22">
        <f>POWER(10,E2)</f>
        <v>12.009452416841583</v>
      </c>
      <c r="J2" s="2" t="s">
        <v>114</v>
      </c>
      <c r="K2" s="2" t="s">
        <v>123</v>
      </c>
      <c r="L2" s="5">
        <v>0.93567669391632102</v>
      </c>
      <c r="M2" s="5">
        <v>1.06979036331177</v>
      </c>
      <c r="N2" s="5">
        <v>6.0584925115108497E-2</v>
      </c>
      <c r="O2" s="5">
        <f>EXP(M2)</f>
        <v>2.9147683935310917</v>
      </c>
      <c r="Q2" s="16" t="s">
        <v>123</v>
      </c>
      <c r="R2" s="16" t="s">
        <v>941</v>
      </c>
      <c r="S2" s="17">
        <v>3.3043385843E-115</v>
      </c>
      <c r="T2" s="16">
        <v>0.69744600000000001</v>
      </c>
      <c r="U2" s="16" t="s">
        <v>942</v>
      </c>
      <c r="V2" s="16">
        <v>0.10933147632312</v>
      </c>
      <c r="W2" s="16" t="s">
        <v>943</v>
      </c>
      <c r="X2" s="16">
        <v>134</v>
      </c>
      <c r="Y2" s="16">
        <v>7</v>
      </c>
    </row>
    <row r="3" spans="1:25" x14ac:dyDescent="0.2">
      <c r="B3" s="21" t="s">
        <v>114</v>
      </c>
      <c r="C3" s="21" t="s">
        <v>117</v>
      </c>
      <c r="D3" s="22">
        <v>0.94714385271072399</v>
      </c>
      <c r="E3" s="22">
        <v>2.5570712089538601</v>
      </c>
      <c r="F3" s="22">
        <v>0.588426113128662</v>
      </c>
      <c r="G3" s="21" t="s">
        <v>1113</v>
      </c>
      <c r="H3" s="22">
        <f>POWER(10,E3)</f>
        <v>360.63777002912843</v>
      </c>
      <c r="J3" s="2" t="s">
        <v>114</v>
      </c>
      <c r="K3" s="2" t="s">
        <v>117</v>
      </c>
      <c r="L3" s="5">
        <v>0.95273160934448198</v>
      </c>
      <c r="M3" s="5">
        <v>2.44331932067871</v>
      </c>
      <c r="N3" s="5">
        <v>0.55031436681747403</v>
      </c>
      <c r="O3" s="5">
        <f>EXP(M3)</f>
        <v>11.511186718519085</v>
      </c>
      <c r="Q3" s="16" t="s">
        <v>117</v>
      </c>
      <c r="R3" s="16" t="s">
        <v>941</v>
      </c>
      <c r="S3" s="17">
        <v>2.13723982893999E-53</v>
      </c>
      <c r="T3" s="16">
        <v>0.66307300000000002</v>
      </c>
      <c r="U3" s="16" t="s">
        <v>942</v>
      </c>
      <c r="V3" s="16">
        <v>0.81615598885793905</v>
      </c>
      <c r="W3" s="16" t="s">
        <v>943</v>
      </c>
      <c r="X3" s="16">
        <v>134</v>
      </c>
      <c r="Y3" s="16">
        <v>32</v>
      </c>
    </row>
    <row r="4" spans="1:25" x14ac:dyDescent="0.2">
      <c r="B4" s="21" t="s">
        <v>114</v>
      </c>
      <c r="C4" s="21" t="s">
        <v>120</v>
      </c>
      <c r="D4" s="22">
        <v>0.95163631439208995</v>
      </c>
      <c r="E4" s="22">
        <v>2.3588604927063002</v>
      </c>
      <c r="F4" s="22">
        <v>0.56916844844818104</v>
      </c>
      <c r="G4" s="21" t="s">
        <v>1113</v>
      </c>
      <c r="H4" s="22">
        <f>POWER(10,E4)</f>
        <v>228.48647242899432</v>
      </c>
      <c r="J4" s="2" t="s">
        <v>114</v>
      </c>
      <c r="K4" s="2" t="s">
        <v>120</v>
      </c>
      <c r="L4" s="5">
        <v>0.95161056518554699</v>
      </c>
      <c r="M4" s="5">
        <v>2.1965470314025901</v>
      </c>
      <c r="N4" s="5">
        <v>0.57486355304717995</v>
      </c>
      <c r="O4" s="5">
        <f>EXP(M4)</f>
        <v>8.9939041519390699</v>
      </c>
      <c r="Q4" s="16" t="s">
        <v>120</v>
      </c>
      <c r="R4" s="16" t="s">
        <v>941</v>
      </c>
      <c r="S4" s="17">
        <v>6.8006523001800001E-86</v>
      </c>
      <c r="T4" s="16">
        <v>0.706044</v>
      </c>
      <c r="U4" s="16" t="s">
        <v>942</v>
      </c>
      <c r="V4" s="16">
        <v>0.81615598885793905</v>
      </c>
      <c r="W4" s="16" t="s">
        <v>943</v>
      </c>
      <c r="X4" s="16">
        <v>134</v>
      </c>
      <c r="Y4" s="16">
        <v>10</v>
      </c>
    </row>
    <row r="5" spans="1:25" x14ac:dyDescent="0.2">
      <c r="B5" s="21"/>
      <c r="C5" s="21"/>
      <c r="D5" s="22"/>
      <c r="E5" s="22"/>
      <c r="F5" s="22"/>
      <c r="G5" s="21"/>
      <c r="H5" s="22"/>
      <c r="J5" s="2" t="s">
        <v>114</v>
      </c>
      <c r="K5" s="2" t="s">
        <v>116</v>
      </c>
      <c r="L5" s="5">
        <v>0.94985467195510898</v>
      </c>
      <c r="M5" s="5">
        <v>0.36573594808578502</v>
      </c>
      <c r="N5" s="5">
        <v>0.34898129105567899</v>
      </c>
      <c r="O5" s="5">
        <f>EXP(M5)</f>
        <v>1.4415745418770773</v>
      </c>
      <c r="Q5" s="16" t="s">
        <v>116</v>
      </c>
      <c r="R5" s="16" t="s">
        <v>941</v>
      </c>
      <c r="S5" s="17">
        <v>4.1470502920599997E-8</v>
      </c>
      <c r="T5" s="16">
        <v>0.358209</v>
      </c>
      <c r="U5" s="16" t="s">
        <v>942</v>
      </c>
      <c r="V5" s="16">
        <v>0.84815618221258104</v>
      </c>
      <c r="W5" s="16" t="s">
        <v>944</v>
      </c>
      <c r="X5" s="16">
        <v>134</v>
      </c>
      <c r="Y5" s="16">
        <v>1903</v>
      </c>
    </row>
    <row r="6" spans="1:25" x14ac:dyDescent="0.2">
      <c r="B6" s="21" t="s">
        <v>114</v>
      </c>
      <c r="C6" s="21" t="s">
        <v>115</v>
      </c>
      <c r="D6" s="22">
        <v>0.93519240617752097</v>
      </c>
      <c r="E6" s="22">
        <v>1.5340803861618</v>
      </c>
      <c r="F6" s="22">
        <v>0.22213070094585399</v>
      </c>
      <c r="G6" s="21" t="s">
        <v>1113</v>
      </c>
      <c r="H6" s="22">
        <f>POWER(10,E6)</f>
        <v>34.204274739158194</v>
      </c>
      <c r="J6" s="2" t="s">
        <v>114</v>
      </c>
      <c r="K6" s="2" t="s">
        <v>115</v>
      </c>
      <c r="L6" s="5">
        <v>0.93766164779663097</v>
      </c>
      <c r="M6" s="5">
        <v>0.898001849651337</v>
      </c>
      <c r="N6" s="5">
        <v>0.17877656221389801</v>
      </c>
      <c r="O6" s="5">
        <f>EXP(M6)</f>
        <v>2.4546933611856847</v>
      </c>
      <c r="Q6" s="16" t="s">
        <v>115</v>
      </c>
      <c r="R6" s="16" t="s">
        <v>941</v>
      </c>
      <c r="S6" s="17">
        <v>1.08661387443E-7</v>
      </c>
      <c r="T6" s="16">
        <v>0.63295900000000005</v>
      </c>
      <c r="U6" s="16" t="s">
        <v>942</v>
      </c>
      <c r="V6" s="16">
        <v>0.81615598885793905</v>
      </c>
      <c r="W6" s="16" t="s">
        <v>943</v>
      </c>
      <c r="X6" s="16">
        <v>134</v>
      </c>
      <c r="Y6" s="16">
        <v>838</v>
      </c>
    </row>
    <row r="7" spans="1:25" x14ac:dyDescent="0.2">
      <c r="B7" s="21" t="s">
        <v>114</v>
      </c>
      <c r="C7" s="21" t="s">
        <v>119</v>
      </c>
      <c r="D7" s="22">
        <v>0.95388394594192505</v>
      </c>
      <c r="E7" s="22">
        <v>1.6273339986801101</v>
      </c>
      <c r="F7" s="22">
        <v>0.77578574419021595</v>
      </c>
      <c r="G7" s="21" t="s">
        <v>1113</v>
      </c>
      <c r="H7" s="22">
        <f>POWER(10,E7)</f>
        <v>42.396889838555992</v>
      </c>
      <c r="J7" s="2" t="s">
        <v>114</v>
      </c>
      <c r="K7" s="2" t="s">
        <v>119</v>
      </c>
      <c r="L7" s="5">
        <v>0.952298164367676</v>
      </c>
      <c r="M7" s="5">
        <v>1.67201364040375</v>
      </c>
      <c r="N7" s="5">
        <v>0.80556255578994795</v>
      </c>
      <c r="O7" s="5">
        <f>EXP(M7)</f>
        <v>5.3228753698715261</v>
      </c>
      <c r="Q7" s="16" t="s">
        <v>119</v>
      </c>
      <c r="R7" s="16" t="s">
        <v>941</v>
      </c>
      <c r="S7" s="17">
        <v>4.3214291603699998E-18</v>
      </c>
      <c r="T7" s="16">
        <v>0.57635499999999995</v>
      </c>
      <c r="U7" s="16" t="s">
        <v>942</v>
      </c>
      <c r="V7" s="16">
        <v>0.81615598885793905</v>
      </c>
      <c r="W7" s="16" t="s">
        <v>943</v>
      </c>
      <c r="X7" s="16">
        <v>134</v>
      </c>
      <c r="Y7" s="16">
        <v>123</v>
      </c>
    </row>
    <row r="8" spans="1:25" x14ac:dyDescent="0.2">
      <c r="B8" s="21" t="s">
        <v>114</v>
      </c>
      <c r="C8" s="21" t="s">
        <v>121</v>
      </c>
      <c r="D8" s="22">
        <v>0.94605934619903598</v>
      </c>
      <c r="E8" s="22">
        <v>1.85984587669373</v>
      </c>
      <c r="F8" s="22">
        <v>0.91201835870742798</v>
      </c>
      <c r="G8" s="21" t="s">
        <v>1113</v>
      </c>
      <c r="H8" s="22">
        <f>POWER(10,E8)</f>
        <v>72.417891638547559</v>
      </c>
      <c r="J8" s="2" t="s">
        <v>114</v>
      </c>
      <c r="K8" s="2" t="s">
        <v>121</v>
      </c>
      <c r="L8" s="5">
        <v>0.945398509502411</v>
      </c>
      <c r="M8" s="5">
        <v>1.9626227617263801</v>
      </c>
      <c r="N8" s="5">
        <v>0.87790232896804798</v>
      </c>
      <c r="O8" s="5">
        <f>EXP(M8)</f>
        <v>7.1179713475336506</v>
      </c>
      <c r="Q8" s="16" t="s">
        <v>121</v>
      </c>
      <c r="R8" s="16" t="s">
        <v>941</v>
      </c>
      <c r="S8" s="17">
        <v>1.1334843925E-86</v>
      </c>
      <c r="T8" s="16">
        <v>0.87341800000000003</v>
      </c>
      <c r="U8" s="16" t="s">
        <v>942</v>
      </c>
      <c r="V8" s="16">
        <v>0.81615598885793905</v>
      </c>
      <c r="W8" s="16" t="s">
        <v>943</v>
      </c>
      <c r="X8" s="16">
        <v>134</v>
      </c>
      <c r="Y8" s="16">
        <v>55</v>
      </c>
    </row>
    <row r="9" spans="1:25" x14ac:dyDescent="0.2">
      <c r="B9" s="21" t="s">
        <v>114</v>
      </c>
      <c r="C9" s="21" t="s">
        <v>122</v>
      </c>
      <c r="D9" s="22">
        <v>0.95010530948638905</v>
      </c>
      <c r="E9" s="22">
        <v>1.9574767351150499</v>
      </c>
      <c r="F9" s="22">
        <v>0.53540277481079102</v>
      </c>
      <c r="G9" s="21" t="s">
        <v>1113</v>
      </c>
      <c r="H9" s="22">
        <f>POWER(10,E9)</f>
        <v>90.67273904612081</v>
      </c>
      <c r="J9" s="2" t="s">
        <v>114</v>
      </c>
      <c r="K9" s="2" t="s">
        <v>122</v>
      </c>
      <c r="L9" s="5">
        <v>0.94942820072174094</v>
      </c>
      <c r="M9" s="5">
        <v>1.70809066295624</v>
      </c>
      <c r="N9" s="5">
        <v>0.62844151258468595</v>
      </c>
      <c r="O9" s="5">
        <f>EXP(M9)</f>
        <v>5.5184148983525212</v>
      </c>
      <c r="Q9" s="16" t="s">
        <v>122</v>
      </c>
      <c r="R9" s="16" t="s">
        <v>941</v>
      </c>
      <c r="S9" s="17">
        <v>1.31885341717E-42</v>
      </c>
      <c r="T9" s="16">
        <v>0.41509400000000002</v>
      </c>
      <c r="U9" s="16" t="s">
        <v>942</v>
      </c>
      <c r="V9" s="16">
        <v>0.81615598885793905</v>
      </c>
      <c r="W9" s="16" t="s">
        <v>943</v>
      </c>
      <c r="X9" s="16">
        <v>134</v>
      </c>
      <c r="Y9" s="16">
        <v>62</v>
      </c>
    </row>
    <row r="10" spans="1:25" x14ac:dyDescent="0.2">
      <c r="B10" s="21" t="s">
        <v>114</v>
      </c>
      <c r="C10" s="21" t="s">
        <v>118</v>
      </c>
      <c r="D10" s="22">
        <v>0.94809311628341697</v>
      </c>
      <c r="E10" s="22">
        <v>1.4043843746185301</v>
      </c>
      <c r="F10" s="22">
        <v>0.50241857767105103</v>
      </c>
      <c r="G10" s="21" t="s">
        <v>1113</v>
      </c>
      <c r="H10" s="22">
        <f>POWER(10,E10)</f>
        <v>25.373733526492785</v>
      </c>
      <c r="J10" s="2" t="s">
        <v>114</v>
      </c>
      <c r="K10" s="2" t="s">
        <v>118</v>
      </c>
      <c r="L10" s="5">
        <v>0.94925367832183805</v>
      </c>
      <c r="M10" s="5">
        <v>1.42526042461395</v>
      </c>
      <c r="N10" s="5">
        <v>0.54183822870254505</v>
      </c>
      <c r="O10" s="5">
        <f>EXP(M10)</f>
        <v>4.1589407922868018</v>
      </c>
      <c r="Q10" s="16" t="s">
        <v>118</v>
      </c>
      <c r="R10" s="16" t="s">
        <v>941</v>
      </c>
      <c r="S10" s="17">
        <v>3.5425177900000001E-20</v>
      </c>
      <c r="T10" s="16">
        <v>0.598916</v>
      </c>
      <c r="U10" s="16" t="s">
        <v>942</v>
      </c>
      <c r="V10" s="16">
        <v>0.81615598885793905</v>
      </c>
      <c r="W10" s="16" t="s">
        <v>943</v>
      </c>
      <c r="X10" s="16">
        <v>134</v>
      </c>
      <c r="Y10" s="16">
        <v>91</v>
      </c>
    </row>
    <row r="11" spans="1:25" x14ac:dyDescent="0.2">
      <c r="B11" s="21"/>
      <c r="C11" s="21"/>
      <c r="D11" s="22"/>
      <c r="E11" s="22"/>
      <c r="F11" s="22"/>
      <c r="G11" s="21"/>
      <c r="H11" s="22"/>
      <c r="J11" s="2" t="s">
        <v>124</v>
      </c>
      <c r="K11" s="2" t="s">
        <v>125</v>
      </c>
      <c r="L11" s="5">
        <v>0.80032777786254905</v>
      </c>
      <c r="M11" s="5">
        <v>1.9888170957565301</v>
      </c>
      <c r="N11" s="5">
        <v>0.55087888240814198</v>
      </c>
      <c r="O11" s="5">
        <f>EXP(M11)</f>
        <v>7.3068853025372205</v>
      </c>
      <c r="Q11" s="16" t="s">
        <v>125</v>
      </c>
      <c r="R11" s="16" t="s">
        <v>945</v>
      </c>
      <c r="S11" s="17">
        <v>5.5300265410200002E-6</v>
      </c>
      <c r="T11" s="16">
        <v>0.53496500000000002</v>
      </c>
      <c r="U11" s="16" t="s">
        <v>942</v>
      </c>
      <c r="V11" s="16">
        <v>0.85714285714285698</v>
      </c>
      <c r="W11" s="16" t="s">
        <v>946</v>
      </c>
      <c r="X11" s="16">
        <v>135</v>
      </c>
      <c r="Y11" s="16">
        <v>2152</v>
      </c>
    </row>
    <row r="12" spans="1:25" x14ac:dyDescent="0.2">
      <c r="B12" s="21" t="s">
        <v>124</v>
      </c>
      <c r="C12" s="21" t="s">
        <v>123</v>
      </c>
      <c r="D12" s="22">
        <v>0.93446367979049705</v>
      </c>
      <c r="E12" s="22">
        <v>0.38968557119369501</v>
      </c>
      <c r="F12" s="22">
        <v>0.100540556013584</v>
      </c>
      <c r="G12" s="21" t="s">
        <v>1113</v>
      </c>
      <c r="H12" s="22">
        <f>POWER(10,E12)</f>
        <v>2.4529323518758783</v>
      </c>
      <c r="J12" s="2" t="s">
        <v>124</v>
      </c>
      <c r="K12" s="2" t="s">
        <v>123</v>
      </c>
      <c r="L12" s="5">
        <v>0.86359655857086204</v>
      </c>
      <c r="M12" s="5">
        <v>0.107914626598358</v>
      </c>
      <c r="N12" s="5">
        <v>0.10809500515461</v>
      </c>
      <c r="O12" s="5">
        <f>EXP(M12)</f>
        <v>1.1139526394006709</v>
      </c>
      <c r="Q12" s="16" t="s">
        <v>123</v>
      </c>
      <c r="R12" s="16" t="s">
        <v>945</v>
      </c>
      <c r="S12" s="17">
        <v>4.8309472799700001E-62</v>
      </c>
      <c r="T12" s="16">
        <v>0.69364199999999998</v>
      </c>
      <c r="U12" s="16" t="s">
        <v>942</v>
      </c>
      <c r="V12" s="16">
        <v>0.14225941422594099</v>
      </c>
      <c r="W12" s="16" t="s">
        <v>947</v>
      </c>
      <c r="X12" s="16">
        <v>135</v>
      </c>
      <c r="Y12" s="16">
        <v>230</v>
      </c>
    </row>
    <row r="13" spans="1:25" x14ac:dyDescent="0.2">
      <c r="B13" s="21" t="s">
        <v>124</v>
      </c>
      <c r="C13" s="21" t="s">
        <v>117</v>
      </c>
      <c r="D13" s="22">
        <v>0.94464915990829501</v>
      </c>
      <c r="E13" s="22">
        <v>2.0427050590515101</v>
      </c>
      <c r="F13" s="22">
        <v>0.33682376146316501</v>
      </c>
      <c r="G13" s="21" t="s">
        <v>1113</v>
      </c>
      <c r="H13" s="22">
        <f>POWER(10,E13)</f>
        <v>110.33290652583111</v>
      </c>
      <c r="J13" s="2" t="s">
        <v>124</v>
      </c>
      <c r="K13" s="2" t="s">
        <v>117</v>
      </c>
      <c r="L13" s="5">
        <v>0.86797732114791903</v>
      </c>
      <c r="M13" s="5">
        <v>1.84626340866089</v>
      </c>
      <c r="N13" s="5">
        <v>0.49833455681800798</v>
      </c>
      <c r="O13" s="5">
        <f>EXP(M13)</f>
        <v>6.3360998190728566</v>
      </c>
      <c r="Q13" s="16" t="s">
        <v>117</v>
      </c>
      <c r="R13" s="16" t="s">
        <v>945</v>
      </c>
      <c r="S13" s="17">
        <v>4.5789297949699997E-36</v>
      </c>
      <c r="T13" s="16">
        <v>0.655914</v>
      </c>
      <c r="U13" s="16" t="s">
        <v>942</v>
      </c>
      <c r="V13" s="16">
        <v>0.69246861924686198</v>
      </c>
      <c r="W13" s="16" t="s">
        <v>947</v>
      </c>
      <c r="X13" s="16">
        <v>135</v>
      </c>
      <c r="Y13" s="16">
        <v>58</v>
      </c>
    </row>
    <row r="14" spans="1:25" x14ac:dyDescent="0.2">
      <c r="B14" s="21" t="s">
        <v>124</v>
      </c>
      <c r="C14" s="21" t="s">
        <v>120</v>
      </c>
      <c r="D14" s="22">
        <v>0.94976139068603505</v>
      </c>
      <c r="E14" s="22">
        <v>1.9167298078537001</v>
      </c>
      <c r="F14" s="22">
        <v>0.22432930767536199</v>
      </c>
      <c r="G14" s="21" t="s">
        <v>1113</v>
      </c>
      <c r="H14" s="22">
        <f>POWER(10,E14)</f>
        <v>82.552419781938084</v>
      </c>
      <c r="J14" s="2" t="s">
        <v>124</v>
      </c>
      <c r="K14" s="2" t="s">
        <v>120</v>
      </c>
      <c r="L14" s="5">
        <v>0.86908215284347501</v>
      </c>
      <c r="M14" s="5">
        <v>1.9236541986465501</v>
      </c>
      <c r="N14" s="5">
        <v>0.22915138304233601</v>
      </c>
      <c r="O14" s="5">
        <f>EXP(M14)</f>
        <v>6.8459292027210319</v>
      </c>
      <c r="Q14" s="16" t="s">
        <v>120</v>
      </c>
      <c r="R14" s="16" t="s">
        <v>945</v>
      </c>
      <c r="S14" s="17">
        <v>6.7061518144399998E-58</v>
      </c>
      <c r="T14" s="16">
        <v>0.70557000000000003</v>
      </c>
      <c r="U14" s="16" t="s">
        <v>942</v>
      </c>
      <c r="V14" s="16">
        <v>0.69246861924686198</v>
      </c>
      <c r="W14" s="16" t="s">
        <v>947</v>
      </c>
      <c r="X14" s="16">
        <v>135</v>
      </c>
      <c r="Y14" s="16">
        <v>22</v>
      </c>
    </row>
    <row r="15" spans="1:25" x14ac:dyDescent="0.2">
      <c r="B15" s="21" t="s">
        <v>124</v>
      </c>
      <c r="C15" s="21" t="s">
        <v>115</v>
      </c>
      <c r="D15" s="22">
        <v>0.94129574298858598</v>
      </c>
      <c r="E15" s="22">
        <v>0.68967658281326305</v>
      </c>
      <c r="F15" s="22">
        <v>0.166831970214844</v>
      </c>
      <c r="G15" s="21" t="s">
        <v>1113</v>
      </c>
      <c r="H15" s="22">
        <f>POWER(10,E15)</f>
        <v>4.8941421901510651</v>
      </c>
      <c r="J15" s="2" t="s">
        <v>124</v>
      </c>
      <c r="K15" s="2" t="s">
        <v>115</v>
      </c>
      <c r="L15" s="5">
        <v>0.86962813138961803</v>
      </c>
      <c r="M15" s="5">
        <v>0.97726637125015303</v>
      </c>
      <c r="N15" s="5">
        <v>0.14876994490623499</v>
      </c>
      <c r="O15" s="5">
        <f>EXP(M15)</f>
        <v>2.6571825540544385</v>
      </c>
      <c r="Q15" s="16" t="s">
        <v>115</v>
      </c>
      <c r="R15" s="16" t="s">
        <v>945</v>
      </c>
      <c r="S15" s="17">
        <v>2.1674478878400001E-9</v>
      </c>
      <c r="T15" s="16">
        <v>0.64615400000000001</v>
      </c>
      <c r="U15" s="16" t="s">
        <v>942</v>
      </c>
      <c r="V15" s="16">
        <v>0.69246861924686198</v>
      </c>
      <c r="W15" s="16" t="s">
        <v>947</v>
      </c>
      <c r="X15" s="16">
        <v>135</v>
      </c>
      <c r="Y15" s="16">
        <v>1033</v>
      </c>
    </row>
    <row r="16" spans="1:25" x14ac:dyDescent="0.2">
      <c r="B16" s="21" t="s">
        <v>124</v>
      </c>
      <c r="C16" s="21" t="s">
        <v>119</v>
      </c>
      <c r="D16" s="22">
        <v>0.95128262042999301</v>
      </c>
      <c r="E16" s="22">
        <v>1.10857605934143</v>
      </c>
      <c r="F16" s="22">
        <v>0.67778748273849498</v>
      </c>
      <c r="G16" s="21" t="s">
        <v>1113</v>
      </c>
      <c r="H16" s="22">
        <f>POWER(10,E16)</f>
        <v>12.840326274038889</v>
      </c>
      <c r="J16" s="2" t="s">
        <v>124</v>
      </c>
      <c r="K16" s="2" t="s">
        <v>119</v>
      </c>
      <c r="L16" s="5">
        <v>0.88353055715560902</v>
      </c>
      <c r="M16" s="5">
        <v>1.11830711364746</v>
      </c>
      <c r="N16" s="5">
        <v>0.67733818292617798</v>
      </c>
      <c r="O16" s="5">
        <f>EXP(M16)</f>
        <v>3.0596701426905129</v>
      </c>
      <c r="Q16" s="16" t="s">
        <v>119</v>
      </c>
      <c r="R16" s="16" t="s">
        <v>945</v>
      </c>
      <c r="S16" s="17">
        <v>2.7348518443500001E-17</v>
      </c>
      <c r="T16" s="16">
        <v>0.570025</v>
      </c>
      <c r="U16" s="16" t="s">
        <v>942</v>
      </c>
      <c r="V16" s="16">
        <v>0.69246861924686198</v>
      </c>
      <c r="W16" s="16" t="s">
        <v>947</v>
      </c>
      <c r="X16" s="16">
        <v>135</v>
      </c>
      <c r="Y16" s="16">
        <v>170</v>
      </c>
    </row>
    <row r="17" spans="2:25" x14ac:dyDescent="0.2">
      <c r="B17" s="21" t="s">
        <v>124</v>
      </c>
      <c r="C17" s="21" t="s">
        <v>121</v>
      </c>
      <c r="D17" s="22">
        <v>0.94565057754516602</v>
      </c>
      <c r="E17" s="22">
        <v>1.7597237825393699</v>
      </c>
      <c r="F17" s="22">
        <v>0.89637768268585205</v>
      </c>
      <c r="G17" s="21" t="s">
        <v>1113</v>
      </c>
      <c r="H17" s="22">
        <f>POWER(10,E17)</f>
        <v>57.507406572368488</v>
      </c>
      <c r="J17" s="2" t="s">
        <v>124</v>
      </c>
      <c r="K17" s="2" t="s">
        <v>121</v>
      </c>
      <c r="L17" s="5">
        <v>0.86818325519561801</v>
      </c>
      <c r="M17" s="5">
        <v>1.99801480770111</v>
      </c>
      <c r="N17" s="5">
        <v>0.986952424049377</v>
      </c>
      <c r="O17" s="5">
        <f>EXP(M17)</f>
        <v>7.3744019521293263</v>
      </c>
      <c r="Q17" s="16" t="s">
        <v>121</v>
      </c>
      <c r="R17" s="16" t="s">
        <v>945</v>
      </c>
      <c r="S17" s="17">
        <v>2.31798876029E-42</v>
      </c>
      <c r="T17" s="16">
        <v>0.706897</v>
      </c>
      <c r="U17" s="16" t="s">
        <v>942</v>
      </c>
      <c r="V17" s="16">
        <v>0.69246861924686198</v>
      </c>
      <c r="W17" s="16" t="s">
        <v>947</v>
      </c>
      <c r="X17" s="16">
        <v>135</v>
      </c>
      <c r="Y17" s="16">
        <v>68</v>
      </c>
    </row>
    <row r="18" spans="2:25" x14ac:dyDescent="0.2">
      <c r="B18" s="21" t="s">
        <v>124</v>
      </c>
      <c r="C18" s="21" t="s">
        <v>122</v>
      </c>
      <c r="D18" s="22">
        <v>0.94858568906784102</v>
      </c>
      <c r="E18" s="22">
        <v>1.92616331577301</v>
      </c>
      <c r="F18" s="22">
        <v>0.32514858245849598</v>
      </c>
      <c r="G18" s="21" t="s">
        <v>1113</v>
      </c>
      <c r="H18" s="22">
        <f>POWER(10,E18)</f>
        <v>84.365195214138538</v>
      </c>
      <c r="J18" s="2" t="s">
        <v>124</v>
      </c>
      <c r="K18" s="2" t="s">
        <v>122</v>
      </c>
      <c r="L18" s="5">
        <v>0.88480806350707997</v>
      </c>
      <c r="M18" s="5">
        <v>1.59108662605286</v>
      </c>
      <c r="N18" s="5">
        <v>0.57543158531188998</v>
      </c>
      <c r="O18" s="5">
        <f>EXP(M18)</f>
        <v>4.9090803657836526</v>
      </c>
      <c r="Q18" s="16" t="s">
        <v>122</v>
      </c>
      <c r="R18" s="16" t="s">
        <v>945</v>
      </c>
      <c r="S18" s="17">
        <v>1.6986670143099999E-27</v>
      </c>
      <c r="T18" s="16">
        <v>0.42592600000000003</v>
      </c>
      <c r="U18" s="16" t="s">
        <v>942</v>
      </c>
      <c r="V18" s="16">
        <v>0.69246861924686198</v>
      </c>
      <c r="W18" s="16" t="s">
        <v>947</v>
      </c>
      <c r="X18" s="16">
        <v>135</v>
      </c>
      <c r="Y18" s="16">
        <v>119</v>
      </c>
    </row>
    <row r="19" spans="2:25" x14ac:dyDescent="0.2">
      <c r="B19" s="21" t="s">
        <v>124</v>
      </c>
      <c r="C19" s="21" t="s">
        <v>118</v>
      </c>
      <c r="D19" s="22">
        <v>0.94895190000534102</v>
      </c>
      <c r="E19" s="22">
        <v>1.5951330661773699</v>
      </c>
      <c r="F19" s="22">
        <v>0.54309207201003995</v>
      </c>
      <c r="G19" s="21" t="s">
        <v>1113</v>
      </c>
      <c r="H19" s="22">
        <f>POWER(10,E19)</f>
        <v>39.367067617684526</v>
      </c>
      <c r="J19" s="2" t="s">
        <v>124</v>
      </c>
      <c r="K19" s="2" t="s">
        <v>118</v>
      </c>
      <c r="L19" s="5">
        <v>0.87010318040847801</v>
      </c>
      <c r="M19" s="5">
        <v>1.19698262214661</v>
      </c>
      <c r="N19" s="5">
        <v>0.68296599388122603</v>
      </c>
      <c r="O19" s="5">
        <f>EXP(M19)</f>
        <v>3.3101139743899983</v>
      </c>
      <c r="Q19" s="16" t="s">
        <v>118</v>
      </c>
      <c r="R19" s="16" t="s">
        <v>945</v>
      </c>
      <c r="S19" s="17">
        <v>3.67174718539E-22</v>
      </c>
      <c r="T19" s="16">
        <v>0.59189199999999997</v>
      </c>
      <c r="U19" s="16" t="s">
        <v>942</v>
      </c>
      <c r="V19" s="16">
        <v>0.69246861924686198</v>
      </c>
      <c r="W19" s="16" t="s">
        <v>947</v>
      </c>
      <c r="X19" s="16">
        <v>135</v>
      </c>
      <c r="Y19" s="16">
        <v>160</v>
      </c>
    </row>
    <row r="20" spans="2:25" x14ac:dyDescent="0.2">
      <c r="J20" s="2" t="s">
        <v>5</v>
      </c>
      <c r="K20" s="2" t="s">
        <v>27</v>
      </c>
      <c r="L20" s="5">
        <v>0.75145035982132002</v>
      </c>
      <c r="M20" s="5">
        <v>-0.84659457206726096</v>
      </c>
      <c r="N20" s="5">
        <v>0.94613295793533303</v>
      </c>
      <c r="O20" s="5">
        <f>EXP(M20)</f>
        <v>0.4288729438650683</v>
      </c>
      <c r="Q20" s="16" t="s">
        <v>27</v>
      </c>
      <c r="R20" s="16" t="s">
        <v>948</v>
      </c>
      <c r="S20" s="17">
        <v>1.4449652585599999E-10</v>
      </c>
      <c r="T20" s="16">
        <v>0.81628400000000001</v>
      </c>
      <c r="U20" s="16" t="s">
        <v>942</v>
      </c>
      <c r="V20" s="16">
        <v>0.93333333333333302</v>
      </c>
      <c r="W20" s="16" t="s">
        <v>949</v>
      </c>
      <c r="X20" s="16">
        <v>148</v>
      </c>
      <c r="Y20" s="16">
        <v>1661</v>
      </c>
    </row>
    <row r="21" spans="2:25" x14ac:dyDescent="0.2">
      <c r="J21" s="2" t="s">
        <v>5</v>
      </c>
      <c r="K21" s="2" t="s">
        <v>66</v>
      </c>
      <c r="L21" s="5">
        <v>0.74320393800735496</v>
      </c>
      <c r="M21" s="5">
        <v>-1.88578546047211</v>
      </c>
      <c r="N21" s="5">
        <v>0.79366987943649303</v>
      </c>
      <c r="O21" s="5">
        <f>EXP(M21)</f>
        <v>0.15170985052780003</v>
      </c>
      <c r="Q21" s="16" t="s">
        <v>66</v>
      </c>
      <c r="R21" s="16" t="s">
        <v>948</v>
      </c>
      <c r="S21" s="17">
        <v>2.8899305171099998E-10</v>
      </c>
      <c r="T21" s="16">
        <v>0.36507899999999999</v>
      </c>
      <c r="U21" s="16" t="s">
        <v>942</v>
      </c>
      <c r="V21" s="16">
        <v>0.90303030303030296</v>
      </c>
      <c r="W21" s="16" t="s">
        <v>950</v>
      </c>
      <c r="X21" s="16">
        <v>148</v>
      </c>
      <c r="Y21" s="16">
        <v>1699</v>
      </c>
    </row>
    <row r="22" spans="2:25" x14ac:dyDescent="0.2">
      <c r="J22" s="2" t="s">
        <v>5</v>
      </c>
      <c r="K22" s="2" t="s">
        <v>126</v>
      </c>
      <c r="L22" s="5">
        <v>0.74055975675582897</v>
      </c>
      <c r="M22" s="5">
        <v>1.85440230369568</v>
      </c>
      <c r="N22" s="5">
        <v>0.25873896479606601</v>
      </c>
      <c r="O22" s="5">
        <f>EXP(M22)</f>
        <v>6.3878790976586775</v>
      </c>
      <c r="Q22" s="16" t="s">
        <v>126</v>
      </c>
      <c r="R22" s="16" t="s">
        <v>948</v>
      </c>
      <c r="S22" s="17">
        <v>2.1188239347399999E-12</v>
      </c>
      <c r="T22" s="16">
        <v>0.6</v>
      </c>
      <c r="U22" s="16" t="s">
        <v>942</v>
      </c>
      <c r="V22" s="16">
        <v>0.90303030303030296</v>
      </c>
      <c r="W22" s="16" t="s">
        <v>950</v>
      </c>
      <c r="X22" s="16">
        <v>148</v>
      </c>
      <c r="Y22" s="16">
        <v>1529</v>
      </c>
    </row>
    <row r="23" spans="2:25" x14ac:dyDescent="0.2">
      <c r="J23" s="2" t="s">
        <v>5</v>
      </c>
      <c r="K23" s="2" t="s">
        <v>127</v>
      </c>
      <c r="L23" s="5">
        <v>0.75191611051559504</v>
      </c>
      <c r="M23" s="5">
        <v>-1.0958106517791699</v>
      </c>
      <c r="N23" s="5">
        <v>0.96932286024093595</v>
      </c>
      <c r="O23" s="5">
        <f>EXP(M23)</f>
        <v>0.33426852171374133</v>
      </c>
      <c r="Q23" s="16" t="s">
        <v>127</v>
      </c>
      <c r="R23" s="16" t="s">
        <v>948</v>
      </c>
      <c r="S23" s="17">
        <v>3.0509574455300002E-5</v>
      </c>
      <c r="T23" s="16">
        <v>0.72834600000000005</v>
      </c>
      <c r="U23" s="16" t="s">
        <v>942</v>
      </c>
      <c r="V23" s="16">
        <v>0.90303030303030296</v>
      </c>
      <c r="W23" s="16" t="s">
        <v>950</v>
      </c>
      <c r="X23" s="16">
        <v>148</v>
      </c>
      <c r="Y23" s="16">
        <v>2236</v>
      </c>
    </row>
    <row r="24" spans="2:25" x14ac:dyDescent="0.2">
      <c r="J24" s="2" t="s">
        <v>15</v>
      </c>
      <c r="K24" s="2" t="s">
        <v>6</v>
      </c>
      <c r="L24" s="5">
        <v>0.72099113464355502</v>
      </c>
      <c r="M24" s="5">
        <v>0.183884486556053</v>
      </c>
      <c r="N24" s="5">
        <v>0.96216595172882102</v>
      </c>
      <c r="O24" s="5">
        <f>EXP(M24)</f>
        <v>1.2018769821280504</v>
      </c>
      <c r="Q24" s="16" t="s">
        <v>6</v>
      </c>
      <c r="R24" s="16" t="s">
        <v>951</v>
      </c>
      <c r="S24" s="17">
        <v>6.5711445691900005E-11</v>
      </c>
      <c r="T24" s="16">
        <v>0.5</v>
      </c>
      <c r="U24" s="16" t="s">
        <v>942</v>
      </c>
      <c r="V24" s="16">
        <v>0.91818181818181799</v>
      </c>
      <c r="W24" s="16" t="s">
        <v>952</v>
      </c>
      <c r="X24" s="16">
        <v>150</v>
      </c>
      <c r="Y24" s="16">
        <v>1651</v>
      </c>
    </row>
    <row r="25" spans="2:25" x14ac:dyDescent="0.2">
      <c r="J25" s="2" t="s">
        <v>15</v>
      </c>
      <c r="K25" s="2" t="s">
        <v>26</v>
      </c>
      <c r="L25" s="5">
        <v>0.69210225343704201</v>
      </c>
      <c r="M25" s="5">
        <v>3.9425898343324703E-2</v>
      </c>
      <c r="N25" s="5">
        <v>0.69008654356002797</v>
      </c>
      <c r="O25" s="5">
        <f>EXP(M25)</f>
        <v>1.0402134144916428</v>
      </c>
      <c r="Q25" s="16" t="s">
        <v>26</v>
      </c>
      <c r="R25" s="16" t="s">
        <v>951</v>
      </c>
      <c r="S25" s="17">
        <v>4.76838535324E-9</v>
      </c>
      <c r="T25" s="16">
        <v>0.59235700000000002</v>
      </c>
      <c r="U25" s="16" t="s">
        <v>942</v>
      </c>
      <c r="V25" s="16">
        <v>0.87555555555555598</v>
      </c>
      <c r="W25" s="16" t="s">
        <v>953</v>
      </c>
      <c r="X25" s="16">
        <v>150</v>
      </c>
      <c r="Y25" s="16">
        <v>1805</v>
      </c>
    </row>
    <row r="26" spans="2:25" x14ac:dyDescent="0.2">
      <c r="B26" s="21" t="s">
        <v>15</v>
      </c>
      <c r="C26" s="21" t="s">
        <v>27</v>
      </c>
      <c r="D26" s="22">
        <v>0.56879103183746305</v>
      </c>
      <c r="E26" s="22">
        <v>-2.3150210380554199</v>
      </c>
      <c r="F26" s="22">
        <v>0.97095370292663596</v>
      </c>
      <c r="G26" s="21" t="s">
        <v>1113</v>
      </c>
      <c r="H26" s="22">
        <f>POWER(10,E26)</f>
        <v>4.8414891391656556E-3</v>
      </c>
      <c r="J26" s="2" t="s">
        <v>15</v>
      </c>
      <c r="K26" s="2" t="s">
        <v>27</v>
      </c>
      <c r="L26" s="5">
        <v>0.733437359333038</v>
      </c>
      <c r="M26" s="5">
        <v>-0.29791885614395103</v>
      </c>
      <c r="N26" s="5">
        <v>0.931748926639557</v>
      </c>
      <c r="O26" s="5">
        <f>EXP(M26)</f>
        <v>0.74236157538467473</v>
      </c>
      <c r="Q26" s="16" t="s">
        <v>27</v>
      </c>
      <c r="R26" s="16" t="s">
        <v>951</v>
      </c>
      <c r="S26" s="17">
        <v>2.3019887466199999E-31</v>
      </c>
      <c r="T26" s="16">
        <v>0.82424200000000003</v>
      </c>
      <c r="U26" s="16" t="s">
        <v>942</v>
      </c>
      <c r="V26" s="16">
        <v>0.89948453608247403</v>
      </c>
      <c r="W26" s="16" t="s">
        <v>954</v>
      </c>
      <c r="X26" s="16">
        <v>150</v>
      </c>
      <c r="Y26" s="16">
        <v>199</v>
      </c>
    </row>
    <row r="27" spans="2:25" x14ac:dyDescent="0.2">
      <c r="B27" s="21" t="s">
        <v>15</v>
      </c>
      <c r="C27" s="21" t="s">
        <v>129</v>
      </c>
      <c r="D27" s="22">
        <v>0.677190601825714</v>
      </c>
      <c r="E27" s="22">
        <v>0.23439386487007099</v>
      </c>
      <c r="F27" s="22">
        <v>0.33163470029830899</v>
      </c>
      <c r="G27" s="21" t="s">
        <v>1113</v>
      </c>
      <c r="H27" s="22">
        <f>POWER(10,E27)</f>
        <v>1.7155124130987838</v>
      </c>
      <c r="J27" s="2" t="s">
        <v>15</v>
      </c>
      <c r="K27" s="2" t="s">
        <v>129</v>
      </c>
      <c r="L27" s="5">
        <v>0.733514964580536</v>
      </c>
      <c r="M27" s="5">
        <v>-5.96192888915539E-2</v>
      </c>
      <c r="N27" s="5">
        <v>0.77412068843841597</v>
      </c>
      <c r="O27" s="5">
        <f>EXP(M27)</f>
        <v>0.94212314206250902</v>
      </c>
      <c r="Q27" s="16" t="s">
        <v>129</v>
      </c>
      <c r="R27" s="16" t="s">
        <v>951</v>
      </c>
      <c r="S27" s="17">
        <v>5.4350923235399997E-6</v>
      </c>
      <c r="T27" s="16">
        <v>0.81300799999999995</v>
      </c>
      <c r="U27" s="16" t="s">
        <v>942</v>
      </c>
      <c r="V27" s="16">
        <v>0.89948453608247403</v>
      </c>
      <c r="W27" s="16" t="s">
        <v>954</v>
      </c>
      <c r="X27" s="16">
        <v>150</v>
      </c>
      <c r="Y27" s="16">
        <v>997</v>
      </c>
    </row>
    <row r="28" spans="2:25" x14ac:dyDescent="0.2">
      <c r="J28" s="2" t="s">
        <v>15</v>
      </c>
      <c r="K28" s="2" t="s">
        <v>9</v>
      </c>
      <c r="L28" s="5">
        <v>0.72998756170272805</v>
      </c>
      <c r="M28" s="5">
        <v>-2.58373928070068</v>
      </c>
      <c r="N28" s="5">
        <v>0.93774372339248702</v>
      </c>
      <c r="O28" s="5">
        <f>EXP(M28)</f>
        <v>7.5491192836721982E-2</v>
      </c>
      <c r="Q28" s="16" t="s">
        <v>9</v>
      </c>
      <c r="R28" s="16" t="s">
        <v>951</v>
      </c>
      <c r="S28" s="17">
        <v>1.3582673430399999E-8</v>
      </c>
      <c r="T28" s="16">
        <v>0.45283000000000001</v>
      </c>
      <c r="U28" s="16" t="s">
        <v>942</v>
      </c>
      <c r="V28" s="16">
        <v>0.91818181818181799</v>
      </c>
      <c r="W28" s="16" t="s">
        <v>952</v>
      </c>
      <c r="X28" s="16">
        <v>150</v>
      </c>
      <c r="Y28" s="16">
        <v>1853</v>
      </c>
    </row>
    <row r="29" spans="2:25" x14ac:dyDescent="0.2">
      <c r="B29" s="21" t="s">
        <v>15</v>
      </c>
      <c r="C29" s="21" t="s">
        <v>73</v>
      </c>
      <c r="D29" s="22">
        <v>0.74471825361251798</v>
      </c>
      <c r="E29" s="22">
        <v>0.90378564596176203</v>
      </c>
      <c r="F29" s="22">
        <v>0.26756134629249601</v>
      </c>
      <c r="G29" s="21" t="s">
        <v>1113</v>
      </c>
      <c r="H29" s="22">
        <f>POWER(10,E29)</f>
        <v>8.0128247805038448</v>
      </c>
      <c r="J29" s="2" t="s">
        <v>15</v>
      </c>
      <c r="K29" s="2" t="s">
        <v>73</v>
      </c>
      <c r="L29" s="5">
        <v>0.717967510223389</v>
      </c>
      <c r="M29" s="5">
        <v>0.13624350726604501</v>
      </c>
      <c r="N29" s="5">
        <v>0.93391942977905296</v>
      </c>
      <c r="O29" s="5">
        <f>EXP(M29)</f>
        <v>1.1459609094303413</v>
      </c>
      <c r="Q29" s="16" t="s">
        <v>73</v>
      </c>
      <c r="R29" s="16" t="s">
        <v>951</v>
      </c>
      <c r="S29" s="17">
        <v>1.23793063631E-5</v>
      </c>
      <c r="T29" s="16">
        <v>0.84905699999999995</v>
      </c>
      <c r="U29" s="16" t="s">
        <v>942</v>
      </c>
      <c r="V29" s="16">
        <v>0.89948453608247403</v>
      </c>
      <c r="W29" s="16" t="s">
        <v>954</v>
      </c>
      <c r="X29" s="16">
        <v>150</v>
      </c>
      <c r="Y29" s="16">
        <v>970</v>
      </c>
    </row>
    <row r="30" spans="2:25" x14ac:dyDescent="0.2">
      <c r="J30" s="2" t="s">
        <v>15</v>
      </c>
      <c r="K30" s="2" t="s">
        <v>128</v>
      </c>
      <c r="L30" s="5">
        <v>0.72992581129074097</v>
      </c>
      <c r="M30" s="5">
        <v>0.56432574987411499</v>
      </c>
      <c r="N30" s="5">
        <v>0.63809108734130904</v>
      </c>
      <c r="O30" s="5">
        <f>EXP(M30)</f>
        <v>1.7582618746770784</v>
      </c>
      <c r="Q30" s="16" t="s">
        <v>128</v>
      </c>
      <c r="R30" s="16" t="s">
        <v>951</v>
      </c>
      <c r="S30" s="17">
        <v>4.3348957756699996E-9</v>
      </c>
      <c r="T30" s="16">
        <v>0.54852299999999998</v>
      </c>
      <c r="U30" s="16" t="s">
        <v>942</v>
      </c>
      <c r="V30" s="16">
        <v>0.87555555555555598</v>
      </c>
      <c r="W30" s="16" t="s">
        <v>953</v>
      </c>
      <c r="X30" s="16">
        <v>150</v>
      </c>
      <c r="Y30" s="16">
        <v>1800</v>
      </c>
    </row>
    <row r="31" spans="2:25" x14ac:dyDescent="0.2">
      <c r="B31" s="21" t="s">
        <v>15</v>
      </c>
      <c r="C31" s="21" t="s">
        <v>12</v>
      </c>
      <c r="D31" s="22">
        <v>0.53651088476180997</v>
      </c>
      <c r="E31" s="22">
        <v>-2.1455936431884801</v>
      </c>
      <c r="F31" s="22">
        <v>0.95993030071258501</v>
      </c>
      <c r="G31" s="21" t="s">
        <v>1113</v>
      </c>
      <c r="H31" s="22">
        <f>POWER(10,E31)</f>
        <v>7.1516517252642143E-3</v>
      </c>
      <c r="J31" s="2" t="s">
        <v>15</v>
      </c>
      <c r="K31" s="2" t="s">
        <v>12</v>
      </c>
      <c r="L31" s="5">
        <v>0.70279693603515603</v>
      </c>
      <c r="M31" s="5">
        <v>0.66323620080947898</v>
      </c>
      <c r="N31" s="5">
        <v>0.79717582464218095</v>
      </c>
      <c r="O31" s="5">
        <f>EXP(M31)</f>
        <v>1.9410638533947526</v>
      </c>
      <c r="Q31" s="16" t="s">
        <v>12</v>
      </c>
      <c r="R31" s="16" t="s">
        <v>951</v>
      </c>
      <c r="S31" s="17">
        <v>5.0651812863499997E-30</v>
      </c>
      <c r="T31" s="16">
        <v>0.78671999999999997</v>
      </c>
      <c r="U31" s="16" t="s">
        <v>942</v>
      </c>
      <c r="V31" s="16">
        <v>0.89948453608247403</v>
      </c>
      <c r="W31" s="16" t="s">
        <v>954</v>
      </c>
      <c r="X31" s="16">
        <v>150</v>
      </c>
      <c r="Y31" s="16">
        <v>211</v>
      </c>
    </row>
    <row r="32" spans="2:25" x14ac:dyDescent="0.2">
      <c r="B32" s="21" t="s">
        <v>15</v>
      </c>
      <c r="C32" s="21" t="s">
        <v>13</v>
      </c>
      <c r="D32" s="22">
        <v>0.61444938182830799</v>
      </c>
      <c r="E32" s="22">
        <v>-2.1728529930114702</v>
      </c>
      <c r="F32" s="22">
        <v>0.96326291561126698</v>
      </c>
      <c r="G32" s="21" t="s">
        <v>1113</v>
      </c>
      <c r="H32" s="22">
        <f>POWER(10,E32)</f>
        <v>6.7165616744470141E-3</v>
      </c>
      <c r="J32" s="2" t="s">
        <v>15</v>
      </c>
      <c r="K32" s="2" t="s">
        <v>13</v>
      </c>
      <c r="L32" s="5">
        <v>0.71748131513595603</v>
      </c>
      <c r="M32" s="5">
        <v>-0.53949511051178001</v>
      </c>
      <c r="N32" s="5">
        <v>0.87380194664001498</v>
      </c>
      <c r="O32" s="5">
        <f>EXP(M32)</f>
        <v>0.58304255012856154</v>
      </c>
      <c r="Q32" s="16" t="s">
        <v>13</v>
      </c>
      <c r="R32" s="16" t="s">
        <v>951</v>
      </c>
      <c r="S32" s="17">
        <v>1.82131075989E-30</v>
      </c>
      <c r="T32" s="16">
        <v>0.80473399999999995</v>
      </c>
      <c r="U32" s="16" t="s">
        <v>942</v>
      </c>
      <c r="V32" s="16">
        <v>0.89948453608247403</v>
      </c>
      <c r="W32" s="16" t="s">
        <v>954</v>
      </c>
      <c r="X32" s="16">
        <v>150</v>
      </c>
      <c r="Y32" s="16">
        <v>208</v>
      </c>
    </row>
    <row r="33" spans="2:25" x14ac:dyDescent="0.2">
      <c r="J33" s="2" t="s">
        <v>15</v>
      </c>
      <c r="K33" s="2" t="s">
        <v>131</v>
      </c>
      <c r="L33" s="5">
        <v>0.70703154802322399</v>
      </c>
      <c r="M33" s="5">
        <v>0.20207005739212</v>
      </c>
      <c r="N33" s="5">
        <v>0.79477345943450906</v>
      </c>
      <c r="O33" s="5">
        <f>EXP(M33)</f>
        <v>1.2239337507145742</v>
      </c>
      <c r="Q33" s="16"/>
      <c r="R33" s="16"/>
      <c r="S33" s="17"/>
      <c r="T33" s="16"/>
      <c r="U33" s="16"/>
      <c r="V33" s="16"/>
      <c r="W33" s="16"/>
      <c r="X33" s="16"/>
      <c r="Y33" s="16"/>
    </row>
    <row r="34" spans="2:25" x14ac:dyDescent="0.2">
      <c r="J34" s="2" t="s">
        <v>15</v>
      </c>
      <c r="K34" s="2" t="s">
        <v>130</v>
      </c>
      <c r="L34" s="5">
        <v>0.71994322538375899</v>
      </c>
      <c r="M34" s="5">
        <v>1.5540475845336901</v>
      </c>
      <c r="N34" s="5">
        <v>0.851728916168213</v>
      </c>
      <c r="O34" s="5">
        <f>EXP(M34)</f>
        <v>4.7305789024240879</v>
      </c>
      <c r="Q34" s="16" t="s">
        <v>130</v>
      </c>
      <c r="R34" s="16" t="s">
        <v>951</v>
      </c>
      <c r="S34" s="17">
        <v>5.5074017562800001E-17</v>
      </c>
      <c r="T34" s="16">
        <v>0.73228300000000002</v>
      </c>
      <c r="U34" s="16" t="s">
        <v>942</v>
      </c>
      <c r="V34" s="16">
        <v>0.87555555555555598</v>
      </c>
      <c r="W34" s="16" t="s">
        <v>953</v>
      </c>
      <c r="X34" s="16">
        <v>150</v>
      </c>
      <c r="Y34" s="16">
        <v>1220</v>
      </c>
    </row>
    <row r="35" spans="2:25" x14ac:dyDescent="0.2">
      <c r="J35" s="2" t="s">
        <v>15</v>
      </c>
      <c r="K35" s="2" t="s">
        <v>132</v>
      </c>
      <c r="L35" s="5">
        <v>0.71323806047439597</v>
      </c>
      <c r="M35" s="5">
        <v>-0.33748948574066201</v>
      </c>
      <c r="N35" s="5">
        <v>0.86516356468200695</v>
      </c>
      <c r="O35" s="5">
        <f>EXP(M35)</f>
        <v>0.71355947721645729</v>
      </c>
      <c r="Q35" s="16" t="s">
        <v>132</v>
      </c>
      <c r="R35" s="16" t="s">
        <v>951</v>
      </c>
      <c r="S35" s="17">
        <v>6.4318149092399996E-5</v>
      </c>
      <c r="T35" s="16">
        <v>0.66489399999999999</v>
      </c>
      <c r="U35" s="16" t="s">
        <v>942</v>
      </c>
      <c r="V35" s="16">
        <v>0.87555555555555598</v>
      </c>
      <c r="W35" s="16" t="s">
        <v>953</v>
      </c>
      <c r="X35" s="16">
        <v>150</v>
      </c>
      <c r="Y35" s="16">
        <v>2280</v>
      </c>
    </row>
    <row r="36" spans="2:25" x14ac:dyDescent="0.2">
      <c r="J36" s="2" t="s">
        <v>15</v>
      </c>
      <c r="K36" s="2" t="s">
        <v>14</v>
      </c>
      <c r="L36" s="5">
        <v>0.72700107097625699</v>
      </c>
      <c r="M36" s="5">
        <v>-0.69018149375915505</v>
      </c>
      <c r="N36" s="5">
        <v>0.88963794708251998</v>
      </c>
      <c r="O36" s="5">
        <f>EXP(M36)</f>
        <v>0.50148504440023278</v>
      </c>
      <c r="Q36" s="16" t="s">
        <v>14</v>
      </c>
      <c r="R36" s="16" t="s">
        <v>951</v>
      </c>
      <c r="S36" s="17">
        <v>6.2356981855500001E-19</v>
      </c>
      <c r="T36" s="16">
        <v>0.68778300000000003</v>
      </c>
      <c r="U36" s="16" t="s">
        <v>942</v>
      </c>
      <c r="V36" s="16">
        <v>0.91818181818181799</v>
      </c>
      <c r="W36" s="16" t="s">
        <v>952</v>
      </c>
      <c r="X36" s="16">
        <v>150</v>
      </c>
      <c r="Y36" s="16">
        <v>1090</v>
      </c>
    </row>
    <row r="37" spans="2:25" x14ac:dyDescent="0.2">
      <c r="J37" s="2" t="s">
        <v>22</v>
      </c>
      <c r="K37" s="2" t="s">
        <v>6</v>
      </c>
      <c r="L37" s="5">
        <v>0.6415656208992</v>
      </c>
      <c r="M37" s="5">
        <v>1.99018120765686E-2</v>
      </c>
      <c r="N37" s="5">
        <v>0.83894419670105003</v>
      </c>
      <c r="O37" s="5">
        <f>EXP(M37)</f>
        <v>1.0201011734933492</v>
      </c>
      <c r="Q37" s="16" t="s">
        <v>6</v>
      </c>
      <c r="R37" s="16" t="s">
        <v>955</v>
      </c>
      <c r="S37" s="17">
        <v>3.2727224634799999E-11</v>
      </c>
      <c r="T37" s="16">
        <v>0.39583299999999999</v>
      </c>
      <c r="U37" s="16" t="s">
        <v>942</v>
      </c>
      <c r="V37" s="16">
        <v>0.94871794871794901</v>
      </c>
      <c r="W37" s="16" t="s">
        <v>956</v>
      </c>
      <c r="X37" s="16">
        <v>151</v>
      </c>
      <c r="Y37" s="16">
        <v>1635</v>
      </c>
    </row>
    <row r="38" spans="2:25" x14ac:dyDescent="0.2">
      <c r="J38" s="2" t="s">
        <v>22</v>
      </c>
      <c r="K38" s="2" t="s">
        <v>26</v>
      </c>
      <c r="L38" s="5">
        <v>0.73900222778320301</v>
      </c>
      <c r="M38" s="5">
        <v>-0.27085480093955999</v>
      </c>
      <c r="N38" s="5">
        <v>0.78764325380325295</v>
      </c>
      <c r="O38" s="5">
        <f>EXP(M38)</f>
        <v>0.76272723564324152</v>
      </c>
      <c r="Q38" s="16" t="s">
        <v>26</v>
      </c>
      <c r="R38" s="16" t="s">
        <v>955</v>
      </c>
      <c r="S38" s="17">
        <v>3.6124131463899999E-9</v>
      </c>
      <c r="T38" s="16">
        <v>0.59235700000000002</v>
      </c>
      <c r="U38" s="16" t="s">
        <v>942</v>
      </c>
      <c r="V38" s="16">
        <v>0.87256371814093003</v>
      </c>
      <c r="W38" s="16" t="s">
        <v>957</v>
      </c>
      <c r="X38" s="16">
        <v>151</v>
      </c>
      <c r="Y38" s="16">
        <v>1791</v>
      </c>
    </row>
    <row r="39" spans="2:25" x14ac:dyDescent="0.2">
      <c r="B39" s="21" t="s">
        <v>22</v>
      </c>
      <c r="C39" s="21" t="s">
        <v>27</v>
      </c>
      <c r="D39" s="22">
        <v>0.84763908386230502</v>
      </c>
      <c r="E39" s="22">
        <v>-0.75484549999237105</v>
      </c>
      <c r="F39" s="22">
        <v>0.90892469882965099</v>
      </c>
      <c r="G39" s="21" t="s">
        <v>1113</v>
      </c>
      <c r="H39" s="22">
        <f>POWER(10,E39)</f>
        <v>0.17585491055075073</v>
      </c>
      <c r="J39" s="2" t="s">
        <v>22</v>
      </c>
      <c r="K39" s="2" t="s">
        <v>27</v>
      </c>
      <c r="L39" s="5">
        <v>0.73856729269027699</v>
      </c>
      <c r="M39" s="5">
        <v>-0.35118120908737199</v>
      </c>
      <c r="N39" s="5">
        <v>0.92504471540451105</v>
      </c>
      <c r="O39" s="5">
        <f>EXP(M39)</f>
        <v>0.70385619715962533</v>
      </c>
      <c r="Q39" s="16" t="s">
        <v>27</v>
      </c>
      <c r="R39" s="16" t="s">
        <v>955</v>
      </c>
      <c r="S39" s="17">
        <v>4.7752202972799897E-43</v>
      </c>
      <c r="T39" s="16">
        <v>0.81628400000000001</v>
      </c>
      <c r="U39" s="16" t="s">
        <v>942</v>
      </c>
      <c r="V39" s="16">
        <v>0.91964285714285698</v>
      </c>
      <c r="W39" s="16" t="s">
        <v>958</v>
      </c>
      <c r="X39" s="16">
        <v>151</v>
      </c>
      <c r="Y39" s="16">
        <v>200</v>
      </c>
    </row>
    <row r="40" spans="2:25" x14ac:dyDescent="0.2">
      <c r="J40" s="2" t="s">
        <v>22</v>
      </c>
      <c r="K40" s="2" t="s">
        <v>133</v>
      </c>
      <c r="L40" s="5">
        <v>0.74616479873657204</v>
      </c>
      <c r="M40" s="5">
        <v>-0.14941596984863301</v>
      </c>
      <c r="N40" s="5">
        <v>0.98210066556930498</v>
      </c>
      <c r="O40" s="5">
        <f>EXP(M40)</f>
        <v>0.86121080265335881</v>
      </c>
      <c r="Q40" s="16" t="s">
        <v>133</v>
      </c>
      <c r="R40" s="16" t="s">
        <v>955</v>
      </c>
      <c r="S40" s="17">
        <v>8.0688593996099998E-5</v>
      </c>
      <c r="T40" s="16">
        <v>0.63636400000000004</v>
      </c>
      <c r="U40" s="16" t="s">
        <v>942</v>
      </c>
      <c r="V40" s="16">
        <v>0.87256371814093003</v>
      </c>
      <c r="W40" s="16" t="s">
        <v>957</v>
      </c>
      <c r="X40" s="16">
        <v>151</v>
      </c>
      <c r="Y40" s="16">
        <v>2304</v>
      </c>
    </row>
    <row r="41" spans="2:25" x14ac:dyDescent="0.2">
      <c r="J41" s="2" t="s">
        <v>22</v>
      </c>
      <c r="K41" s="2" t="s">
        <v>18</v>
      </c>
      <c r="L41" s="5">
        <v>0.72870397567749001</v>
      </c>
      <c r="M41" s="5">
        <v>-0.71425986289978005</v>
      </c>
      <c r="N41" s="5">
        <v>0.57777303457260099</v>
      </c>
      <c r="O41" s="5">
        <f>EXP(M41)</f>
        <v>0.48955431505090552</v>
      </c>
      <c r="Q41" s="16" t="s">
        <v>18</v>
      </c>
      <c r="R41" s="16" t="s">
        <v>955</v>
      </c>
      <c r="S41" s="17">
        <v>5.0384376671399997E-23</v>
      </c>
      <c r="T41" s="16">
        <v>0.71192100000000003</v>
      </c>
      <c r="U41" s="16" t="s">
        <v>942</v>
      </c>
      <c r="V41" s="16">
        <v>0.87256371814093003</v>
      </c>
      <c r="W41" s="16" t="s">
        <v>957</v>
      </c>
      <c r="X41" s="16">
        <v>151</v>
      </c>
      <c r="Y41" s="16">
        <v>908</v>
      </c>
    </row>
    <row r="42" spans="2:25" x14ac:dyDescent="0.2">
      <c r="B42" s="21" t="s">
        <v>22</v>
      </c>
      <c r="C42" s="21" t="s">
        <v>129</v>
      </c>
      <c r="D42" s="22">
        <v>0.86476153135299705</v>
      </c>
      <c r="E42" s="22">
        <v>-0.30305397510528598</v>
      </c>
      <c r="F42" s="22">
        <v>0.84741950035095204</v>
      </c>
      <c r="G42" s="21" t="s">
        <v>1113</v>
      </c>
      <c r="H42" s="22">
        <f>POWER(10,E42)</f>
        <v>0.49767522892663091</v>
      </c>
      <c r="J42" s="2" t="s">
        <v>22</v>
      </c>
      <c r="K42" s="2" t="s">
        <v>129</v>
      </c>
      <c r="L42" s="5">
        <v>0.72189098596572898</v>
      </c>
      <c r="M42" s="5">
        <v>-2.4435959756374401E-2</v>
      </c>
      <c r="N42" s="5">
        <v>0.77680122852325395</v>
      </c>
      <c r="O42" s="5">
        <f>EXP(M42)</f>
        <v>0.97586018124112539</v>
      </c>
      <c r="Q42" s="16" t="s">
        <v>129</v>
      </c>
      <c r="R42" s="16" t="s">
        <v>955</v>
      </c>
      <c r="S42" s="17">
        <v>1.58946178441E-9</v>
      </c>
      <c r="T42" s="16">
        <v>0.81300799999999995</v>
      </c>
      <c r="U42" s="16" t="s">
        <v>942</v>
      </c>
      <c r="V42" s="16">
        <v>0.91964285714285698</v>
      </c>
      <c r="W42" s="16" t="s">
        <v>958</v>
      </c>
      <c r="X42" s="16">
        <v>151</v>
      </c>
      <c r="Y42" s="16">
        <v>983</v>
      </c>
    </row>
    <row r="43" spans="2:25" x14ac:dyDescent="0.2">
      <c r="J43" s="2" t="s">
        <v>22</v>
      </c>
      <c r="K43" s="2" t="s">
        <v>21</v>
      </c>
      <c r="L43" s="5">
        <v>0.72191113233566295</v>
      </c>
      <c r="M43" s="5">
        <v>-1.40500771999359</v>
      </c>
      <c r="N43" s="5">
        <v>0.750072240829468</v>
      </c>
      <c r="O43" s="5">
        <f>EXP(M43)</f>
        <v>0.24536516222813504</v>
      </c>
      <c r="Q43" s="16" t="s">
        <v>21</v>
      </c>
      <c r="R43" s="16" t="s">
        <v>955</v>
      </c>
      <c r="S43" s="17">
        <v>6.6687071650099996E-16</v>
      </c>
      <c r="T43" s="16">
        <v>0.703704</v>
      </c>
      <c r="U43" s="16" t="s">
        <v>942</v>
      </c>
      <c r="V43" s="16">
        <v>0.87256371814093003</v>
      </c>
      <c r="W43" s="16" t="s">
        <v>957</v>
      </c>
      <c r="X43" s="16">
        <v>151</v>
      </c>
      <c r="Y43" s="16">
        <v>1291</v>
      </c>
    </row>
    <row r="44" spans="2:25" x14ac:dyDescent="0.2">
      <c r="B44" s="21" t="s">
        <v>22</v>
      </c>
      <c r="C44" s="21" t="s">
        <v>73</v>
      </c>
      <c r="D44" s="22">
        <v>0.86740845441818204</v>
      </c>
      <c r="E44" s="22">
        <v>0.53867542743682895</v>
      </c>
      <c r="F44" s="22">
        <v>0.93562519550323497</v>
      </c>
      <c r="G44" s="21" t="s">
        <v>1113</v>
      </c>
      <c r="H44" s="22">
        <f>POWER(10,E44)</f>
        <v>3.4568093456188715</v>
      </c>
      <c r="J44" s="2" t="s">
        <v>22</v>
      </c>
      <c r="K44" s="2" t="s">
        <v>73</v>
      </c>
      <c r="L44" s="5">
        <v>0.74857056140899703</v>
      </c>
      <c r="M44" s="5">
        <v>0.42538762092590299</v>
      </c>
      <c r="N44" s="5">
        <v>0.91998094320297197</v>
      </c>
      <c r="O44" s="5">
        <f>EXP(M44)</f>
        <v>1.5301834358434163</v>
      </c>
      <c r="Q44" s="16" t="s">
        <v>73</v>
      </c>
      <c r="R44" s="16" t="s">
        <v>955</v>
      </c>
      <c r="S44" s="17">
        <v>7.2248262927799997E-9</v>
      </c>
      <c r="T44" s="16">
        <v>0.84905699999999995</v>
      </c>
      <c r="U44" s="16" t="s">
        <v>942</v>
      </c>
      <c r="V44" s="16">
        <v>0.91964285714285698</v>
      </c>
      <c r="W44" s="16" t="s">
        <v>958</v>
      </c>
      <c r="X44" s="16">
        <v>151</v>
      </c>
      <c r="Y44" s="16">
        <v>952</v>
      </c>
    </row>
    <row r="45" spans="2:25" x14ac:dyDescent="0.2">
      <c r="J45" s="2" t="s">
        <v>22</v>
      </c>
      <c r="K45" s="2" t="s">
        <v>128</v>
      </c>
      <c r="L45" s="5">
        <v>0.72598659992217995</v>
      </c>
      <c r="M45" s="5">
        <v>1.0982969999313399</v>
      </c>
      <c r="N45" s="5">
        <v>0.41566801071166998</v>
      </c>
      <c r="O45" s="5">
        <f>EXP(M45)</f>
        <v>2.9990542828845022</v>
      </c>
      <c r="Q45" s="16" t="s">
        <v>128</v>
      </c>
      <c r="R45" s="16" t="s">
        <v>955</v>
      </c>
      <c r="S45" s="17">
        <v>3.46791662054E-9</v>
      </c>
      <c r="T45" s="16">
        <v>0.54852299999999998</v>
      </c>
      <c r="U45" s="16" t="s">
        <v>942</v>
      </c>
      <c r="V45" s="16">
        <v>0.87256371814093003</v>
      </c>
      <c r="W45" s="16" t="s">
        <v>957</v>
      </c>
      <c r="X45" s="16">
        <v>151</v>
      </c>
      <c r="Y45" s="16">
        <v>1790</v>
      </c>
    </row>
    <row r="46" spans="2:25" x14ac:dyDescent="0.2">
      <c r="B46" s="21" t="s">
        <v>22</v>
      </c>
      <c r="C46" s="21" t="s">
        <v>12</v>
      </c>
      <c r="D46" s="22">
        <v>0.84406995773315396</v>
      </c>
      <c r="E46" s="22">
        <v>-0.11990061402320901</v>
      </c>
      <c r="F46" s="22">
        <v>0.78457850217819203</v>
      </c>
      <c r="G46" s="21" t="s">
        <v>1113</v>
      </c>
      <c r="H46" s="22">
        <f>POWER(10,E46)</f>
        <v>0.7587511913277819</v>
      </c>
      <c r="J46" s="2" t="s">
        <v>22</v>
      </c>
      <c r="K46" s="2" t="s">
        <v>12</v>
      </c>
      <c r="L46" s="5">
        <v>0.69905686378479004</v>
      </c>
      <c r="M46" s="5">
        <v>0.26052516698837302</v>
      </c>
      <c r="N46" s="5">
        <v>0.78292608261108398</v>
      </c>
      <c r="O46" s="5">
        <f>EXP(M46)</f>
        <v>1.2976113704117247</v>
      </c>
      <c r="Q46" s="16" t="s">
        <v>12</v>
      </c>
      <c r="R46" s="16" t="s">
        <v>955</v>
      </c>
      <c r="S46" s="17">
        <v>1.9496708057500001E-41</v>
      </c>
      <c r="T46" s="16">
        <v>0.78671999999999997</v>
      </c>
      <c r="U46" s="16" t="s">
        <v>942</v>
      </c>
      <c r="V46" s="16">
        <v>0.91964285714285698</v>
      </c>
      <c r="W46" s="16" t="s">
        <v>958</v>
      </c>
      <c r="X46" s="16">
        <v>151</v>
      </c>
      <c r="Y46" s="16">
        <v>212</v>
      </c>
    </row>
    <row r="47" spans="2:25" x14ac:dyDescent="0.2">
      <c r="J47" s="2" t="s">
        <v>22</v>
      </c>
      <c r="K47" s="2" t="s">
        <v>13</v>
      </c>
      <c r="L47" s="5">
        <v>0.73555642366409302</v>
      </c>
      <c r="M47" s="5">
        <v>-0.766401827335358</v>
      </c>
      <c r="N47" s="5">
        <v>0.85597813129425104</v>
      </c>
      <c r="O47" s="5">
        <f>EXP(M47)</f>
        <v>0.46468207015471064</v>
      </c>
      <c r="Q47" s="16" t="s">
        <v>13</v>
      </c>
      <c r="R47" s="16" t="s">
        <v>955</v>
      </c>
      <c r="S47" s="17">
        <v>6.3212082775999995E-42</v>
      </c>
      <c r="T47" s="16">
        <v>0.79633399999999999</v>
      </c>
      <c r="U47" s="16" t="s">
        <v>942</v>
      </c>
      <c r="V47" s="16">
        <v>0.91964285714285698</v>
      </c>
      <c r="W47" s="16" t="s">
        <v>958</v>
      </c>
      <c r="X47" s="16">
        <v>151</v>
      </c>
      <c r="Y47" s="16">
        <v>209</v>
      </c>
    </row>
    <row r="48" spans="2:25" x14ac:dyDescent="0.2">
      <c r="B48" s="21" t="s">
        <v>22</v>
      </c>
      <c r="C48" s="21" t="s">
        <v>131</v>
      </c>
      <c r="D48" s="22">
        <v>0.86986488103866599</v>
      </c>
      <c r="E48" s="22">
        <v>-0.28809326887130698</v>
      </c>
      <c r="F48" s="22">
        <v>0.85606461763382002</v>
      </c>
      <c r="G48" s="21" t="s">
        <v>1113</v>
      </c>
      <c r="H48" s="22">
        <f>POWER(10,E48)</f>
        <v>0.51511800620985748</v>
      </c>
      <c r="J48" s="2" t="s">
        <v>22</v>
      </c>
      <c r="K48" s="2" t="s">
        <v>131</v>
      </c>
      <c r="L48" s="5">
        <v>0.72810739278793302</v>
      </c>
      <c r="M48" s="5">
        <v>0.16341993212699901</v>
      </c>
      <c r="N48" s="5">
        <v>0.76558554172515902</v>
      </c>
      <c r="O48" s="5">
        <f>EXP(M48)</f>
        <v>1.1775310690047376</v>
      </c>
      <c r="Q48" s="16" t="s">
        <v>131</v>
      </c>
      <c r="R48" s="16" t="s">
        <v>955</v>
      </c>
      <c r="S48" s="17">
        <v>4.6932471597900002E-7</v>
      </c>
      <c r="T48" s="16">
        <v>0.76229499999999994</v>
      </c>
      <c r="U48" s="16" t="s">
        <v>942</v>
      </c>
      <c r="V48" s="16">
        <v>0.91964285714285698</v>
      </c>
      <c r="W48" s="16" t="s">
        <v>958</v>
      </c>
      <c r="X48" s="16">
        <v>151</v>
      </c>
      <c r="Y48" s="16">
        <v>1093</v>
      </c>
    </row>
    <row r="49" spans="2:25" x14ac:dyDescent="0.2">
      <c r="B49" s="21" t="s">
        <v>22</v>
      </c>
      <c r="C49" s="21" t="s">
        <v>130</v>
      </c>
      <c r="D49" s="22">
        <v>0.88556069135665905</v>
      </c>
      <c r="E49" s="22">
        <v>1.72397124767303</v>
      </c>
      <c r="F49" s="22">
        <v>0.97013098001480103</v>
      </c>
      <c r="G49" s="21" t="s">
        <v>1113</v>
      </c>
      <c r="H49" s="22">
        <f>POWER(10,E49)</f>
        <v>52.962837885387586</v>
      </c>
      <c r="J49" s="2" t="s">
        <v>22</v>
      </c>
      <c r="K49" s="2" t="s">
        <v>130</v>
      </c>
      <c r="L49" s="5">
        <v>0.74137318134307895</v>
      </c>
      <c r="M49" s="5">
        <v>1.85813641548157</v>
      </c>
      <c r="N49" s="5">
        <v>0.97478353977203402</v>
      </c>
      <c r="O49" s="5">
        <f>EXP(M49)</f>
        <v>6.411776742754947</v>
      </c>
      <c r="Q49" s="16" t="s">
        <v>130</v>
      </c>
      <c r="R49" s="16" t="s">
        <v>955</v>
      </c>
      <c r="S49" s="17">
        <v>7.3818940163900001E-6</v>
      </c>
      <c r="T49" s="16">
        <v>0.73228300000000002</v>
      </c>
      <c r="U49" s="16" t="s">
        <v>942</v>
      </c>
      <c r="V49" s="16">
        <v>0.91964285714285698</v>
      </c>
      <c r="W49" s="16" t="s">
        <v>958</v>
      </c>
      <c r="X49" s="16">
        <v>151</v>
      </c>
      <c r="Y49" s="16">
        <v>1212</v>
      </c>
    </row>
    <row r="50" spans="2:25" x14ac:dyDescent="0.2">
      <c r="J50" s="2" t="s">
        <v>25</v>
      </c>
      <c r="K50" s="2" t="s">
        <v>134</v>
      </c>
      <c r="L50" s="5">
        <v>0.75519192218780495</v>
      </c>
      <c r="M50" s="5">
        <v>0.769559025764465</v>
      </c>
      <c r="N50" s="5">
        <v>4.0756624191999401E-2</v>
      </c>
      <c r="O50" s="5">
        <f>EXP(M50)</f>
        <v>2.1588140624735659</v>
      </c>
      <c r="Q50" s="16" t="s">
        <v>134</v>
      </c>
      <c r="R50" s="16" t="s">
        <v>959</v>
      </c>
      <c r="S50" s="17">
        <v>2.2175249930300001E-12</v>
      </c>
      <c r="T50" s="16">
        <v>0.61356900000000003</v>
      </c>
      <c r="U50" s="16" t="s">
        <v>942</v>
      </c>
      <c r="V50" s="16">
        <v>0.90453460620525095</v>
      </c>
      <c r="W50" s="16" t="s">
        <v>960</v>
      </c>
      <c r="X50" s="16">
        <v>152</v>
      </c>
      <c r="Y50" s="16">
        <v>1531</v>
      </c>
    </row>
    <row r="51" spans="2:25" x14ac:dyDescent="0.2">
      <c r="J51" s="2" t="s">
        <v>25</v>
      </c>
      <c r="K51" s="2" t="s">
        <v>133</v>
      </c>
      <c r="L51" s="5">
        <v>0.75697582960128795</v>
      </c>
      <c r="M51" s="5">
        <v>-0.34106650948524497</v>
      </c>
      <c r="N51" s="5">
        <v>0.96731245517730702</v>
      </c>
      <c r="O51" s="5">
        <f>EXP(M51)</f>
        <v>0.71101161761709986</v>
      </c>
      <c r="Q51" s="16" t="s">
        <v>133</v>
      </c>
      <c r="R51" s="16" t="s">
        <v>959</v>
      </c>
      <c r="S51" s="17">
        <v>9.1954121137899998E-5</v>
      </c>
      <c r="T51" s="16">
        <v>0.63636400000000004</v>
      </c>
      <c r="U51" s="16" t="s">
        <v>942</v>
      </c>
      <c r="V51" s="16">
        <v>0.86929133858267704</v>
      </c>
      <c r="W51" s="16" t="s">
        <v>961</v>
      </c>
      <c r="X51" s="16">
        <v>152</v>
      </c>
      <c r="Y51" s="16">
        <v>2314</v>
      </c>
    </row>
    <row r="52" spans="2:25" x14ac:dyDescent="0.2">
      <c r="J52" s="2" t="s">
        <v>25</v>
      </c>
      <c r="K52" s="2" t="s">
        <v>129</v>
      </c>
      <c r="L52" s="5">
        <v>0.75179368257522605</v>
      </c>
      <c r="M52" s="5">
        <v>-0.25372353196144098</v>
      </c>
      <c r="N52" s="5">
        <v>0.82793569564819303</v>
      </c>
      <c r="O52" s="5">
        <f>EXP(M52)</f>
        <v>0.77590628568508335</v>
      </c>
      <c r="Q52" s="16" t="s">
        <v>129</v>
      </c>
      <c r="R52" s="16" t="s">
        <v>959</v>
      </c>
      <c r="S52" s="17">
        <v>1.3190654355799999E-5</v>
      </c>
      <c r="T52" s="16">
        <v>0.81300799999999995</v>
      </c>
      <c r="U52" s="16" t="s">
        <v>942</v>
      </c>
      <c r="V52" s="16">
        <v>0.90453460620525095</v>
      </c>
      <c r="W52" s="16" t="s">
        <v>960</v>
      </c>
      <c r="X52" s="16">
        <v>152</v>
      </c>
      <c r="Y52" s="16">
        <v>969</v>
      </c>
    </row>
    <row r="53" spans="2:25" x14ac:dyDescent="0.2">
      <c r="J53" s="2" t="s">
        <v>25</v>
      </c>
      <c r="K53" s="2" t="s">
        <v>21</v>
      </c>
      <c r="L53" s="5">
        <v>0.73880624771118197</v>
      </c>
      <c r="M53" s="5">
        <v>-1.3331147432327299</v>
      </c>
      <c r="N53" s="5">
        <v>0.74210500717163097</v>
      </c>
      <c r="O53" s="5">
        <f>EXP(M53)</f>
        <v>0.26365476413867589</v>
      </c>
      <c r="Q53" s="16" t="s">
        <v>21</v>
      </c>
      <c r="R53" s="16" t="s">
        <v>959</v>
      </c>
      <c r="S53" s="17">
        <v>1.4149296015499999E-16</v>
      </c>
      <c r="T53" s="16">
        <v>0.703704</v>
      </c>
      <c r="U53" s="16" t="s">
        <v>942</v>
      </c>
      <c r="V53" s="16">
        <v>0.86929133858267704</v>
      </c>
      <c r="W53" s="16" t="s">
        <v>961</v>
      </c>
      <c r="X53" s="16">
        <v>152</v>
      </c>
      <c r="Y53" s="16">
        <v>1249</v>
      </c>
    </row>
    <row r="54" spans="2:25" x14ac:dyDescent="0.2">
      <c r="J54" s="2" t="s">
        <v>25</v>
      </c>
      <c r="K54" s="2" t="s">
        <v>73</v>
      </c>
      <c r="L54" s="5">
        <v>0.77482217550277699</v>
      </c>
      <c r="M54" s="5">
        <v>-1.0532869100570701</v>
      </c>
      <c r="N54" s="5">
        <v>0.95269554853439298</v>
      </c>
      <c r="O54" s="5">
        <f>EXP(M54)</f>
        <v>0.34878942345967417</v>
      </c>
      <c r="Q54" s="16" t="s">
        <v>73</v>
      </c>
      <c r="R54" s="16" t="s">
        <v>959</v>
      </c>
      <c r="S54" s="17">
        <v>2.9267771312100001E-5</v>
      </c>
      <c r="T54" s="16">
        <v>0.84905699999999995</v>
      </c>
      <c r="U54" s="16" t="s">
        <v>942</v>
      </c>
      <c r="V54" s="16">
        <v>0.90453460620525095</v>
      </c>
      <c r="W54" s="16" t="s">
        <v>960</v>
      </c>
      <c r="X54" s="16">
        <v>152</v>
      </c>
      <c r="Y54" s="16">
        <v>944</v>
      </c>
    </row>
    <row r="55" spans="2:25" x14ac:dyDescent="0.2">
      <c r="J55" s="2" t="s">
        <v>25</v>
      </c>
      <c r="K55" s="2" t="s">
        <v>128</v>
      </c>
      <c r="L55" s="5">
        <v>0.73512440919876099</v>
      </c>
      <c r="M55" s="5">
        <v>-0.54817503690719604</v>
      </c>
      <c r="N55" s="5">
        <v>0.58904671669006403</v>
      </c>
      <c r="O55" s="5">
        <f>EXP(M55)</f>
        <v>0.57800368383842105</v>
      </c>
      <c r="Q55" s="16" t="s">
        <v>128</v>
      </c>
      <c r="R55" s="16" t="s">
        <v>959</v>
      </c>
      <c r="S55" s="17">
        <v>1.1559722068500001E-9</v>
      </c>
      <c r="T55" s="16">
        <v>0.54852299999999998</v>
      </c>
      <c r="U55" s="16" t="s">
        <v>942</v>
      </c>
      <c r="V55" s="16">
        <v>0.86929133858267704</v>
      </c>
      <c r="W55" s="16" t="s">
        <v>961</v>
      </c>
      <c r="X55" s="16">
        <v>152</v>
      </c>
      <c r="Y55" s="16">
        <v>1749</v>
      </c>
    </row>
    <row r="56" spans="2:25" x14ac:dyDescent="0.2">
      <c r="J56" s="2" t="s">
        <v>25</v>
      </c>
      <c r="K56" s="2" t="s">
        <v>135</v>
      </c>
      <c r="L56" s="5">
        <v>0.76182609796524103</v>
      </c>
      <c r="M56" s="5">
        <v>0.706731617450714</v>
      </c>
      <c r="N56" s="5">
        <v>5.1813565194606802E-2</v>
      </c>
      <c r="O56" s="5">
        <f>EXP(M56)</f>
        <v>2.0273542491628009</v>
      </c>
      <c r="Q56" s="16" t="s">
        <v>135</v>
      </c>
      <c r="R56" s="16" t="s">
        <v>959</v>
      </c>
      <c r="S56" s="17">
        <v>8.0346960007799998E-21</v>
      </c>
      <c r="T56" s="16">
        <v>0.62121199999999999</v>
      </c>
      <c r="U56" s="16" t="s">
        <v>942</v>
      </c>
      <c r="V56" s="16">
        <v>0.90453460620525095</v>
      </c>
      <c r="W56" s="16" t="s">
        <v>960</v>
      </c>
      <c r="X56" s="16">
        <v>152</v>
      </c>
      <c r="Y56" s="16">
        <v>1011</v>
      </c>
    </row>
    <row r="57" spans="2:25" x14ac:dyDescent="0.2">
      <c r="J57" s="2" t="s">
        <v>25</v>
      </c>
      <c r="K57" s="2" t="s">
        <v>12</v>
      </c>
      <c r="L57" s="5">
        <v>0.749508917331696</v>
      </c>
      <c r="M57" s="5">
        <v>0.98268222808837902</v>
      </c>
      <c r="N57" s="5">
        <v>0.83761245012283303</v>
      </c>
      <c r="O57" s="5">
        <f>EXP(M57)</f>
        <v>2.6716125143888845</v>
      </c>
      <c r="Q57" s="16" t="s">
        <v>12</v>
      </c>
      <c r="R57" s="16" t="s">
        <v>959</v>
      </c>
      <c r="S57" s="17">
        <v>6.1583184213799999E-28</v>
      </c>
      <c r="T57" s="16">
        <v>0.78671999999999997</v>
      </c>
      <c r="U57" s="16" t="s">
        <v>942</v>
      </c>
      <c r="V57" s="16">
        <v>0.90453460620525095</v>
      </c>
      <c r="W57" s="16" t="s">
        <v>960</v>
      </c>
      <c r="X57" s="16">
        <v>152</v>
      </c>
      <c r="Y57" s="16">
        <v>213</v>
      </c>
    </row>
    <row r="58" spans="2:25" x14ac:dyDescent="0.2">
      <c r="J58" s="2" t="s">
        <v>25</v>
      </c>
      <c r="K58" s="2" t="s">
        <v>13</v>
      </c>
      <c r="L58" s="5">
        <v>0.76871198415756203</v>
      </c>
      <c r="M58" s="5">
        <v>-0.77913355827331499</v>
      </c>
      <c r="N58" s="5">
        <v>0.86231881380081199</v>
      </c>
      <c r="O58" s="5">
        <f>EXP(M58)</f>
        <v>0.45880336551845841</v>
      </c>
      <c r="Q58" s="16" t="s">
        <v>13</v>
      </c>
      <c r="R58" s="16" t="s">
        <v>959</v>
      </c>
      <c r="S58" s="17">
        <v>2.2050228085799998E-28</v>
      </c>
      <c r="T58" s="16">
        <v>0.80473399999999995</v>
      </c>
      <c r="U58" s="16" t="s">
        <v>942</v>
      </c>
      <c r="V58" s="16">
        <v>0.90453460620525095</v>
      </c>
      <c r="W58" s="16" t="s">
        <v>960</v>
      </c>
      <c r="X58" s="16">
        <v>152</v>
      </c>
      <c r="Y58" s="16">
        <v>210</v>
      </c>
    </row>
    <row r="59" spans="2:25" x14ac:dyDescent="0.2">
      <c r="J59" s="2" t="s">
        <v>25</v>
      </c>
      <c r="K59" s="2" t="s">
        <v>131</v>
      </c>
      <c r="L59" s="5">
        <v>0.74879193305969205</v>
      </c>
      <c r="M59" s="5">
        <v>-0.45735329389572099</v>
      </c>
      <c r="N59" s="5">
        <v>0.87176388502121005</v>
      </c>
      <c r="O59" s="5">
        <f>EXP(M59)</f>
        <v>0.63295668082477319</v>
      </c>
      <c r="Q59" s="16" t="s">
        <v>131</v>
      </c>
      <c r="R59" s="16" t="s">
        <v>959</v>
      </c>
      <c r="S59" s="17">
        <v>3.82727126568E-19</v>
      </c>
      <c r="T59" s="16">
        <v>0.79508199999999996</v>
      </c>
      <c r="U59" s="16" t="s">
        <v>942</v>
      </c>
      <c r="V59" s="16">
        <v>0.86929133858267704</v>
      </c>
      <c r="W59" s="16" t="s">
        <v>961</v>
      </c>
      <c r="X59" s="16">
        <v>152</v>
      </c>
      <c r="Y59" s="16">
        <v>1085</v>
      </c>
    </row>
    <row r="60" spans="2:25" x14ac:dyDescent="0.2">
      <c r="J60" s="2" t="s">
        <v>25</v>
      </c>
      <c r="K60" s="2" t="s">
        <v>130</v>
      </c>
      <c r="L60" s="5">
        <v>0.74479925632476796</v>
      </c>
      <c r="M60" s="5">
        <v>1.7592135667800901</v>
      </c>
      <c r="N60" s="5">
        <v>0.94465541839599598</v>
      </c>
      <c r="O60" s="5">
        <f>EXP(M60)</f>
        <v>5.8078680975059198</v>
      </c>
      <c r="Q60" s="16" t="s">
        <v>130</v>
      </c>
      <c r="R60" s="16" t="s">
        <v>959</v>
      </c>
      <c r="S60" s="17">
        <v>2.1844728348699999E-17</v>
      </c>
      <c r="T60" s="16">
        <v>0.73228300000000002</v>
      </c>
      <c r="U60" s="16" t="s">
        <v>942</v>
      </c>
      <c r="V60" s="16">
        <v>0.86929133858267704</v>
      </c>
      <c r="W60" s="16" t="s">
        <v>961</v>
      </c>
      <c r="X60" s="16">
        <v>152</v>
      </c>
      <c r="Y60" s="16">
        <v>1201</v>
      </c>
    </row>
    <row r="61" spans="2:25" x14ac:dyDescent="0.2">
      <c r="J61" s="2" t="s">
        <v>25</v>
      </c>
      <c r="K61" s="2" t="s">
        <v>132</v>
      </c>
      <c r="L61" s="5">
        <v>0.73001557588577304</v>
      </c>
      <c r="M61" s="5">
        <v>-0.124806188046932</v>
      </c>
      <c r="N61" s="5">
        <v>0.90537828207016002</v>
      </c>
      <c r="O61" s="5">
        <f>EXP(M61)</f>
        <v>0.88266795760858052</v>
      </c>
      <c r="Q61" s="16" t="s">
        <v>132</v>
      </c>
      <c r="R61" s="16" t="s">
        <v>959</v>
      </c>
      <c r="S61" s="17">
        <v>7.7116928869999998E-5</v>
      </c>
      <c r="T61" s="16">
        <v>0.586538</v>
      </c>
      <c r="U61" s="16" t="s">
        <v>942</v>
      </c>
      <c r="V61" s="16">
        <v>0.86929133858267704</v>
      </c>
      <c r="W61" s="16" t="s">
        <v>961</v>
      </c>
      <c r="X61" s="16">
        <v>152</v>
      </c>
      <c r="Y61" s="16">
        <v>2299</v>
      </c>
    </row>
    <row r="62" spans="2:25" x14ac:dyDescent="0.2">
      <c r="B62" s="21" t="s">
        <v>29</v>
      </c>
      <c r="C62" s="21" t="s">
        <v>137</v>
      </c>
      <c r="D62" s="22">
        <v>0.77751415967941295</v>
      </c>
      <c r="E62" s="22">
        <v>0.181607395410538</v>
      </c>
      <c r="F62" s="22">
        <v>0.946927130222321</v>
      </c>
      <c r="G62" s="21" t="s">
        <v>1113</v>
      </c>
      <c r="H62" s="22">
        <f>POWER(10,E62)</f>
        <v>1.5191735675686417</v>
      </c>
      <c r="J62" s="2" t="s">
        <v>29</v>
      </c>
      <c r="K62" s="2" t="s">
        <v>137</v>
      </c>
      <c r="L62" s="5">
        <v>0.77255958318710305</v>
      </c>
      <c r="M62" s="5">
        <v>0.174770057201386</v>
      </c>
      <c r="N62" s="5">
        <v>0.93530213832855202</v>
      </c>
      <c r="O62" s="5">
        <f>EXP(M62)</f>
        <v>1.1909723296138501</v>
      </c>
      <c r="Q62" s="16" t="s">
        <v>137</v>
      </c>
      <c r="R62" s="16" t="s">
        <v>29</v>
      </c>
      <c r="S62" s="17">
        <v>2.7802160045899999E-13</v>
      </c>
      <c r="T62" s="16">
        <v>0.64634100000000005</v>
      </c>
      <c r="U62" s="16" t="s">
        <v>942</v>
      </c>
      <c r="V62" s="16">
        <v>0.54945054945054905</v>
      </c>
      <c r="W62" s="16" t="s">
        <v>962</v>
      </c>
      <c r="X62" s="16">
        <v>153</v>
      </c>
      <c r="Y62" s="16">
        <v>1460</v>
      </c>
    </row>
    <row r="63" spans="2:25" x14ac:dyDescent="0.2">
      <c r="B63" s="21" t="s">
        <v>29</v>
      </c>
      <c r="C63" s="21" t="s">
        <v>145</v>
      </c>
      <c r="D63" s="22">
        <v>0.75781118869781505</v>
      </c>
      <c r="E63" s="22">
        <v>2.3646438121795699</v>
      </c>
      <c r="F63" s="22">
        <v>0.488279819488525</v>
      </c>
      <c r="G63" s="21" t="s">
        <v>1113</v>
      </c>
      <c r="H63" s="22">
        <f>POWER(10,E63)</f>
        <v>231.54948115226267</v>
      </c>
      <c r="J63" s="2" t="s">
        <v>29</v>
      </c>
      <c r="K63" s="2" t="s">
        <v>145</v>
      </c>
      <c r="L63" s="5">
        <v>0.77401149272918701</v>
      </c>
      <c r="M63" s="5">
        <v>2.6843309402465798</v>
      </c>
      <c r="N63" s="5">
        <v>0.54096454381942805</v>
      </c>
      <c r="O63" s="5">
        <f>EXP(M63)</f>
        <v>14.6483974477357</v>
      </c>
      <c r="Q63" s="16" t="s">
        <v>145</v>
      </c>
      <c r="R63" s="16" t="s">
        <v>29</v>
      </c>
      <c r="S63" s="17">
        <v>6.5997776708899995E-5</v>
      </c>
      <c r="T63" s="16">
        <v>0.61594199999999999</v>
      </c>
      <c r="U63" s="16" t="s">
        <v>942</v>
      </c>
      <c r="V63" s="16">
        <v>0.41758241758241799</v>
      </c>
      <c r="W63" s="16" t="s">
        <v>962</v>
      </c>
      <c r="X63" s="16">
        <v>153</v>
      </c>
      <c r="Y63" s="16">
        <v>2282</v>
      </c>
    </row>
    <row r="64" spans="2:25" x14ac:dyDescent="0.2">
      <c r="B64" s="21" t="s">
        <v>29</v>
      </c>
      <c r="C64" s="21" t="s">
        <v>136</v>
      </c>
      <c r="D64" s="22">
        <v>0.78587919473648105</v>
      </c>
      <c r="E64" s="22">
        <v>1.2779513597488401</v>
      </c>
      <c r="F64" s="22">
        <v>5.8554124087095302E-2</v>
      </c>
      <c r="G64" s="21" t="s">
        <v>1113</v>
      </c>
      <c r="H64" s="22">
        <f>POWER(10,E64)</f>
        <v>18.964935052350096</v>
      </c>
      <c r="J64" s="2" t="s">
        <v>29</v>
      </c>
      <c r="K64" s="2" t="s">
        <v>136</v>
      </c>
      <c r="L64" s="5">
        <v>0.771181881427765</v>
      </c>
      <c r="M64" s="5">
        <v>1.1653369665145901</v>
      </c>
      <c r="N64" s="5">
        <v>0.111491829156876</v>
      </c>
      <c r="O64" s="5">
        <f>EXP(M64)</f>
        <v>3.2070033538938096</v>
      </c>
      <c r="Q64" s="16" t="s">
        <v>136</v>
      </c>
      <c r="R64" s="16" t="s">
        <v>29</v>
      </c>
      <c r="S64" s="17">
        <v>2.38419267662E-8</v>
      </c>
      <c r="T64" s="16">
        <v>0.59016400000000002</v>
      </c>
      <c r="U64" s="16" t="s">
        <v>942</v>
      </c>
      <c r="V64" s="16">
        <v>0.41758241758241799</v>
      </c>
      <c r="W64" s="16" t="s">
        <v>962</v>
      </c>
      <c r="X64" s="16">
        <v>153</v>
      </c>
      <c r="Y64" s="16">
        <v>1880</v>
      </c>
    </row>
    <row r="65" spans="2:25" x14ac:dyDescent="0.2">
      <c r="B65" s="21"/>
      <c r="C65" s="21"/>
      <c r="D65" s="22"/>
      <c r="E65" s="22"/>
      <c r="F65" s="22"/>
      <c r="G65" s="21"/>
      <c r="H65" s="22"/>
      <c r="J65" s="2" t="s">
        <v>29</v>
      </c>
      <c r="K65" s="2" t="s">
        <v>133</v>
      </c>
      <c r="L65" s="5">
        <v>0.77653789520263705</v>
      </c>
      <c r="M65" s="5">
        <v>1.83578692376614E-2</v>
      </c>
      <c r="N65" s="5">
        <v>0.84633523225784302</v>
      </c>
      <c r="O65" s="5">
        <f>EXP(M65)</f>
        <v>1.018527410804013</v>
      </c>
      <c r="Q65" s="16" t="s">
        <v>133</v>
      </c>
      <c r="R65" s="16" t="s">
        <v>29</v>
      </c>
      <c r="S65" s="17">
        <v>9.0454825185699995E-8</v>
      </c>
      <c r="T65" s="16">
        <v>0.538462</v>
      </c>
      <c r="U65" s="16" t="s">
        <v>942</v>
      </c>
      <c r="V65" s="16">
        <v>0.98275862068965503</v>
      </c>
      <c r="W65" s="16" t="s">
        <v>963</v>
      </c>
      <c r="X65" s="16">
        <v>153</v>
      </c>
      <c r="Y65" s="16">
        <v>1943</v>
      </c>
    </row>
    <row r="66" spans="2:25" x14ac:dyDescent="0.2">
      <c r="B66" s="21" t="s">
        <v>29</v>
      </c>
      <c r="C66" s="21" t="s">
        <v>144</v>
      </c>
      <c r="D66" s="22">
        <v>0.78683167695999201</v>
      </c>
      <c r="E66" s="22">
        <v>1.0218356847763099</v>
      </c>
      <c r="F66" s="22">
        <v>0.68154948949813798</v>
      </c>
      <c r="G66" s="21" t="s">
        <v>1113</v>
      </c>
      <c r="H66" s="22">
        <f>POWER(10,E66)</f>
        <v>10.515639395587513</v>
      </c>
      <c r="J66" s="2" t="s">
        <v>29</v>
      </c>
      <c r="K66" s="2" t="s">
        <v>144</v>
      </c>
      <c r="L66" s="5">
        <v>0.78212451934814498</v>
      </c>
      <c r="M66" s="5">
        <v>1.0942283868789699</v>
      </c>
      <c r="N66" s="5">
        <v>0.79104495048523005</v>
      </c>
      <c r="O66" s="5">
        <f>EXP(M66)</f>
        <v>2.9868770804448386</v>
      </c>
      <c r="Q66" s="16" t="s">
        <v>144</v>
      </c>
      <c r="R66" s="16" t="s">
        <v>29</v>
      </c>
      <c r="S66" s="17">
        <v>5.7726940065500001E-5</v>
      </c>
      <c r="T66" s="16">
        <v>0.61111099999999996</v>
      </c>
      <c r="U66" s="16" t="s">
        <v>942</v>
      </c>
      <c r="V66" s="16">
        <v>0.54945054945054905</v>
      </c>
      <c r="W66" s="16" t="s">
        <v>962</v>
      </c>
      <c r="X66" s="16">
        <v>153</v>
      </c>
      <c r="Y66" s="16">
        <v>2275</v>
      </c>
    </row>
    <row r="67" spans="2:25" x14ac:dyDescent="0.2">
      <c r="B67" s="21" t="s">
        <v>29</v>
      </c>
      <c r="C67" s="21" t="s">
        <v>140</v>
      </c>
      <c r="D67" s="22">
        <v>0.77089548110961903</v>
      </c>
      <c r="E67" s="22">
        <v>0.42920076847076399</v>
      </c>
      <c r="F67" s="22">
        <v>0.74686044454574596</v>
      </c>
      <c r="G67" s="21" t="s">
        <v>1113</v>
      </c>
      <c r="H67" s="22">
        <f>POWER(10,E67)</f>
        <v>2.6865861310962451</v>
      </c>
      <c r="J67" s="2" t="s">
        <v>29</v>
      </c>
      <c r="K67" s="2" t="s">
        <v>140</v>
      </c>
      <c r="L67" s="5">
        <v>0.72272962331771895</v>
      </c>
      <c r="M67" s="5">
        <v>-0.49606192111969</v>
      </c>
      <c r="N67" s="5">
        <v>0.74964940547943104</v>
      </c>
      <c r="O67" s="5">
        <f>EXP(M67)</f>
        <v>0.60892393465365724</v>
      </c>
      <c r="Q67" s="16" t="s">
        <v>140</v>
      </c>
      <c r="R67" s="16" t="s">
        <v>29</v>
      </c>
      <c r="S67" s="17">
        <v>1.1148284441200001E-18</v>
      </c>
      <c r="T67" s="16">
        <v>0.77227699999999999</v>
      </c>
      <c r="U67" s="16" t="s">
        <v>942</v>
      </c>
      <c r="V67" s="16">
        <v>0.41758241758241799</v>
      </c>
      <c r="W67" s="16" t="s">
        <v>962</v>
      </c>
      <c r="X67" s="16">
        <v>153</v>
      </c>
      <c r="Y67" s="16">
        <v>1112</v>
      </c>
    </row>
    <row r="68" spans="2:25" x14ac:dyDescent="0.2">
      <c r="B68" s="21" t="s">
        <v>29</v>
      </c>
      <c r="C68" s="21" t="s">
        <v>142</v>
      </c>
      <c r="D68" s="22">
        <v>0.77421021461486805</v>
      </c>
      <c r="E68" s="22">
        <v>-0.10206139087677001</v>
      </c>
      <c r="F68" s="22">
        <v>0.27460724115371699</v>
      </c>
      <c r="G68" s="21" t="s">
        <v>1113</v>
      </c>
      <c r="H68" s="22">
        <f>POWER(10,E68)</f>
        <v>0.79056686737283932</v>
      </c>
      <c r="J68" s="2" t="s">
        <v>29</v>
      </c>
      <c r="K68" s="2" t="s">
        <v>142</v>
      </c>
      <c r="L68" s="5">
        <v>0.7660773396492</v>
      </c>
      <c r="M68" s="5">
        <v>1.10063588619232</v>
      </c>
      <c r="N68" s="5">
        <v>0.48109659552574202</v>
      </c>
      <c r="O68" s="5">
        <f>EXP(M68)</f>
        <v>3.0060769391384001</v>
      </c>
      <c r="Q68" s="16" t="s">
        <v>142</v>
      </c>
      <c r="R68" s="16" t="s">
        <v>29</v>
      </c>
      <c r="S68" s="17">
        <v>3.2283431938899999E-14</v>
      </c>
      <c r="T68" s="16">
        <v>0.71929799999999999</v>
      </c>
      <c r="U68" s="16" t="s">
        <v>942</v>
      </c>
      <c r="V68" s="16">
        <v>0.41758241758241799</v>
      </c>
      <c r="W68" s="16" t="s">
        <v>962</v>
      </c>
      <c r="X68" s="16">
        <v>153</v>
      </c>
      <c r="Y68" s="16">
        <v>1386</v>
      </c>
    </row>
    <row r="69" spans="2:25" x14ac:dyDescent="0.2">
      <c r="B69" s="21" t="s">
        <v>29</v>
      </c>
      <c r="C69" s="21" t="s">
        <v>141</v>
      </c>
      <c r="D69" s="22">
        <v>0.77969998121261597</v>
      </c>
      <c r="E69" s="22">
        <v>1.95399594306946</v>
      </c>
      <c r="F69" s="22">
        <v>0.35914176702499401</v>
      </c>
      <c r="G69" s="21" t="s">
        <v>1113</v>
      </c>
      <c r="H69" s="22">
        <f>POWER(10,E69)</f>
        <v>89.948917897758136</v>
      </c>
      <c r="J69" s="2" t="s">
        <v>29</v>
      </c>
      <c r="K69" s="2" t="s">
        <v>141</v>
      </c>
      <c r="L69" s="5">
        <v>0.75970321893692005</v>
      </c>
      <c r="M69" s="5">
        <v>1.7088475227355999</v>
      </c>
      <c r="N69" s="5">
        <v>0.47489446401596103</v>
      </c>
      <c r="O69" s="5">
        <f>EXP(M69)</f>
        <v>5.5225931456090986</v>
      </c>
      <c r="Q69" s="16" t="s">
        <v>141</v>
      </c>
      <c r="R69" s="16" t="s">
        <v>29</v>
      </c>
      <c r="S69" s="17">
        <v>6.3289478324800003E-8</v>
      </c>
      <c r="T69" s="16">
        <v>0.68548399999999998</v>
      </c>
      <c r="U69" s="16" t="s">
        <v>942</v>
      </c>
      <c r="V69" s="16">
        <v>0.41758241758241799</v>
      </c>
      <c r="W69" s="16" t="s">
        <v>962</v>
      </c>
      <c r="X69" s="16">
        <v>153</v>
      </c>
      <c r="Y69" s="16">
        <v>1924</v>
      </c>
    </row>
    <row r="70" spans="2:25" x14ac:dyDescent="0.2">
      <c r="B70" s="21" t="s">
        <v>29</v>
      </c>
      <c r="C70" s="21" t="s">
        <v>139</v>
      </c>
      <c r="D70" s="22">
        <v>0.77963280677795399</v>
      </c>
      <c r="E70" s="22">
        <v>2.3998932838439901</v>
      </c>
      <c r="F70" s="22">
        <v>0.48648372292518599</v>
      </c>
      <c r="G70" s="21" t="s">
        <v>1113</v>
      </c>
      <c r="H70" s="22">
        <f>POWER(10,E70)</f>
        <v>251.12692789919885</v>
      </c>
      <c r="J70" s="2" t="s">
        <v>29</v>
      </c>
      <c r="K70" s="2" t="s">
        <v>139</v>
      </c>
      <c r="L70" s="5">
        <v>0.77434885501861594</v>
      </c>
      <c r="M70" s="5">
        <v>2.23202276229858</v>
      </c>
      <c r="N70" s="5">
        <v>0.51397275924682595</v>
      </c>
      <c r="O70" s="5">
        <f>EXP(M70)</f>
        <v>9.3186965363195782</v>
      </c>
      <c r="Q70" s="16" t="s">
        <v>139</v>
      </c>
      <c r="R70" s="16" t="s">
        <v>29</v>
      </c>
      <c r="S70" s="17">
        <v>9.5223210538900002E-8</v>
      </c>
      <c r="T70" s="16">
        <v>0.67460299999999995</v>
      </c>
      <c r="U70" s="16" t="s">
        <v>942</v>
      </c>
      <c r="V70" s="16">
        <v>0.41758241758241799</v>
      </c>
      <c r="W70" s="16" t="s">
        <v>962</v>
      </c>
      <c r="X70" s="16">
        <v>153</v>
      </c>
      <c r="Y70" s="16">
        <v>1945</v>
      </c>
    </row>
    <row r="71" spans="2:25" x14ac:dyDescent="0.2">
      <c r="B71" s="21" t="s">
        <v>29</v>
      </c>
      <c r="C71" s="21" t="s">
        <v>138</v>
      </c>
      <c r="D71" s="22">
        <v>0.77945899963378895</v>
      </c>
      <c r="E71" s="22">
        <v>0.98547589778900202</v>
      </c>
      <c r="F71" s="22">
        <v>0.51467162370681796</v>
      </c>
      <c r="G71" s="21" t="s">
        <v>1113</v>
      </c>
      <c r="H71" s="22">
        <f>POWER(10,E71)</f>
        <v>9.6711005307517777</v>
      </c>
      <c r="J71" s="2" t="s">
        <v>29</v>
      </c>
      <c r="K71" s="2" t="s">
        <v>138</v>
      </c>
      <c r="L71" s="5">
        <v>0.77729344367981001</v>
      </c>
      <c r="M71" s="5">
        <v>0.74234950542449996</v>
      </c>
      <c r="N71" s="5">
        <v>0.506652891635895</v>
      </c>
      <c r="O71" s="5">
        <f>EXP(M71)</f>
        <v>2.1008657158545265</v>
      </c>
      <c r="Q71" s="16" t="s">
        <v>138</v>
      </c>
      <c r="R71" s="16" t="s">
        <v>29</v>
      </c>
      <c r="S71" s="17">
        <v>5.7798610342300002E-10</v>
      </c>
      <c r="T71" s="16">
        <v>0.69523800000000002</v>
      </c>
      <c r="U71" s="16" t="s">
        <v>942</v>
      </c>
      <c r="V71" s="16">
        <v>0.54945054945054905</v>
      </c>
      <c r="W71" s="16" t="s">
        <v>962</v>
      </c>
      <c r="X71" s="16">
        <v>153</v>
      </c>
      <c r="Y71" s="16">
        <v>1078</v>
      </c>
    </row>
    <row r="72" spans="2:25" x14ac:dyDescent="0.2">
      <c r="B72" s="21"/>
      <c r="C72" s="21"/>
      <c r="D72" s="22"/>
      <c r="E72" s="22"/>
      <c r="F72" s="22"/>
      <c r="G72" s="21"/>
      <c r="H72" s="22"/>
      <c r="J72" s="2" t="s">
        <v>29</v>
      </c>
      <c r="K72" s="2" t="s">
        <v>143</v>
      </c>
      <c r="L72" s="5">
        <v>0.78162378072738703</v>
      </c>
      <c r="M72" s="5">
        <v>0.93986594676971402</v>
      </c>
      <c r="N72" s="5">
        <v>0.79389679431915305</v>
      </c>
      <c r="O72" s="5">
        <f>EXP(M72)</f>
        <v>2.5596382675514215</v>
      </c>
      <c r="Q72" s="16" t="s">
        <v>143</v>
      </c>
      <c r="R72" s="16" t="s">
        <v>29</v>
      </c>
      <c r="S72" s="17">
        <v>2.2748088065499999E-6</v>
      </c>
      <c r="T72" s="16">
        <v>0.52830200000000005</v>
      </c>
      <c r="U72" s="16" t="s">
        <v>942</v>
      </c>
      <c r="V72" s="16">
        <v>0.98275862068965503</v>
      </c>
      <c r="W72" s="16" t="s">
        <v>963</v>
      </c>
      <c r="X72" s="16">
        <v>153</v>
      </c>
      <c r="Y72" s="16">
        <v>2101</v>
      </c>
    </row>
    <row r="73" spans="2:25" x14ac:dyDescent="0.2">
      <c r="B73" s="21" t="s">
        <v>29</v>
      </c>
      <c r="C73" s="21" t="s">
        <v>131</v>
      </c>
      <c r="D73" s="22">
        <v>0.78615981340408303</v>
      </c>
      <c r="E73" s="22">
        <v>4.8606812953949002E-2</v>
      </c>
      <c r="F73" s="22">
        <v>0.87971311807632502</v>
      </c>
      <c r="G73" s="21" t="s">
        <v>1113</v>
      </c>
      <c r="H73" s="22">
        <f>POWER(10,E73)</f>
        <v>1.1184248627873694</v>
      </c>
      <c r="J73" s="2" t="s">
        <v>29</v>
      </c>
      <c r="K73" s="2" t="s">
        <v>131</v>
      </c>
      <c r="L73" s="5">
        <v>0.75917714834213301</v>
      </c>
      <c r="M73" s="5">
        <v>-0.41484168171882602</v>
      </c>
      <c r="N73" s="5">
        <v>0.92626523971557595</v>
      </c>
      <c r="O73" s="5">
        <f>EXP(M73)</f>
        <v>0.66044483291925904</v>
      </c>
      <c r="Q73" s="16" t="s">
        <v>131</v>
      </c>
      <c r="R73" s="16" t="s">
        <v>29</v>
      </c>
      <c r="S73" s="17">
        <v>2.31969266221999E-46</v>
      </c>
      <c r="T73" s="16">
        <v>0.82786899999999997</v>
      </c>
      <c r="U73" s="16" t="s">
        <v>942</v>
      </c>
      <c r="V73" s="16">
        <v>0.54945054945054905</v>
      </c>
      <c r="W73" s="16" t="s">
        <v>962</v>
      </c>
      <c r="X73" s="16">
        <v>153</v>
      </c>
      <c r="Y73" s="16">
        <v>358</v>
      </c>
    </row>
    <row r="74" spans="2:25" x14ac:dyDescent="0.2">
      <c r="B74" s="21"/>
      <c r="C74" s="21"/>
      <c r="D74" s="22"/>
      <c r="E74" s="22"/>
      <c r="F74" s="22"/>
      <c r="G74" s="21"/>
      <c r="H74" s="22"/>
      <c r="J74" s="2" t="s">
        <v>31</v>
      </c>
      <c r="K74" s="2" t="s">
        <v>6</v>
      </c>
      <c r="L74" s="5">
        <v>0.80014896392822299</v>
      </c>
      <c r="M74" s="5">
        <v>-0.50747650861740101</v>
      </c>
      <c r="N74" s="5">
        <v>0.91760045289993297</v>
      </c>
      <c r="O74" s="5">
        <f>EXP(M74)</f>
        <v>0.60201283782054393</v>
      </c>
      <c r="Q74" s="16" t="s">
        <v>6</v>
      </c>
      <c r="R74" s="16" t="s">
        <v>31</v>
      </c>
      <c r="S74" s="17">
        <v>1.0560690224E-17</v>
      </c>
      <c r="T74" s="16">
        <v>0.56989199999999995</v>
      </c>
      <c r="U74" s="16" t="s">
        <v>942</v>
      </c>
      <c r="V74" s="16">
        <v>1</v>
      </c>
      <c r="W74" s="16" t="s">
        <v>964</v>
      </c>
      <c r="X74" s="16">
        <v>154</v>
      </c>
      <c r="Y74" s="16">
        <v>1175</v>
      </c>
    </row>
    <row r="75" spans="2:25" x14ac:dyDescent="0.2">
      <c r="B75" s="21"/>
      <c r="C75" s="21"/>
      <c r="D75" s="22"/>
      <c r="E75" s="22"/>
      <c r="F75" s="22"/>
      <c r="G75" s="21"/>
      <c r="H75" s="22"/>
      <c r="J75" s="2" t="s">
        <v>31</v>
      </c>
      <c r="K75" s="2" t="s">
        <v>137</v>
      </c>
      <c r="L75" s="5">
        <v>0.81583118438720703</v>
      </c>
      <c r="M75" s="5">
        <v>6.5847933292388899E-3</v>
      </c>
      <c r="N75" s="5">
        <v>0.94856423139572099</v>
      </c>
      <c r="O75" s="5">
        <f>EXP(M75)</f>
        <v>1.0066065207448331</v>
      </c>
      <c r="Q75" s="16" t="s">
        <v>137</v>
      </c>
      <c r="R75" s="16" t="s">
        <v>31</v>
      </c>
      <c r="S75" s="17">
        <v>1.7090961201500001E-20</v>
      </c>
      <c r="T75" s="16">
        <v>0.66423399999999999</v>
      </c>
      <c r="U75" s="16" t="s">
        <v>942</v>
      </c>
      <c r="V75" s="16">
        <v>1</v>
      </c>
      <c r="W75" s="16" t="s">
        <v>965</v>
      </c>
      <c r="X75" s="16">
        <v>154</v>
      </c>
      <c r="Y75" s="16">
        <v>1028</v>
      </c>
    </row>
    <row r="76" spans="2:25" x14ac:dyDescent="0.2">
      <c r="B76" s="21" t="s">
        <v>31</v>
      </c>
      <c r="C76" s="21" t="s">
        <v>145</v>
      </c>
      <c r="D76" s="22">
        <v>0.88835173845291104</v>
      </c>
      <c r="E76" s="22">
        <v>1.63375055789948</v>
      </c>
      <c r="F76" s="22">
        <v>0.78589624166488703</v>
      </c>
      <c r="G76" s="21" t="s">
        <v>1113</v>
      </c>
      <c r="H76" s="22">
        <f>POWER(10,E76)</f>
        <v>43.027940351197962</v>
      </c>
      <c r="J76" s="2" t="s">
        <v>31</v>
      </c>
      <c r="K76" s="2" t="s">
        <v>145</v>
      </c>
      <c r="L76" s="5">
        <v>0.829786717891693</v>
      </c>
      <c r="M76" s="5">
        <v>1.4162298440933201</v>
      </c>
      <c r="N76" s="5">
        <v>0.80002558231353804</v>
      </c>
      <c r="O76" s="5">
        <f>EXP(M76)</f>
        <v>4.1215522169421197</v>
      </c>
      <c r="Q76" s="16" t="s">
        <v>145</v>
      </c>
      <c r="R76" s="16" t="s">
        <v>31</v>
      </c>
      <c r="S76" s="17">
        <v>1.08372394392E-8</v>
      </c>
      <c r="T76" s="16">
        <v>0.59354799999999996</v>
      </c>
      <c r="U76" s="16" t="s">
        <v>942</v>
      </c>
      <c r="V76" s="16">
        <v>0.203125</v>
      </c>
      <c r="W76" s="16" t="s">
        <v>966</v>
      </c>
      <c r="X76" s="16">
        <v>154</v>
      </c>
      <c r="Y76" s="16">
        <v>1836</v>
      </c>
    </row>
    <row r="77" spans="2:25" x14ac:dyDescent="0.2">
      <c r="B77" s="21"/>
      <c r="C77" s="21"/>
      <c r="D77" s="22"/>
      <c r="E77" s="22"/>
      <c r="F77" s="22"/>
      <c r="G77" s="21"/>
      <c r="H77" s="22"/>
      <c r="J77" s="2" t="s">
        <v>31</v>
      </c>
      <c r="K77" s="2" t="s">
        <v>153</v>
      </c>
      <c r="L77" s="5">
        <v>0.79144269227981601</v>
      </c>
      <c r="M77" s="5">
        <v>-0.48088091611862199</v>
      </c>
      <c r="N77" s="5">
        <v>0.57198703289032005</v>
      </c>
      <c r="O77" s="5">
        <f>EXP(M77)</f>
        <v>0.61823853556392094</v>
      </c>
      <c r="Q77" s="16" t="s">
        <v>153</v>
      </c>
      <c r="R77" s="16" t="s">
        <v>31</v>
      </c>
      <c r="S77" s="17">
        <v>4.39085738360999E-14</v>
      </c>
      <c r="T77" s="16">
        <v>0.60135099999999997</v>
      </c>
      <c r="U77" s="16" t="s">
        <v>942</v>
      </c>
      <c r="V77" s="16">
        <v>1</v>
      </c>
      <c r="W77" s="16" t="s">
        <v>965</v>
      </c>
      <c r="X77" s="16">
        <v>154</v>
      </c>
      <c r="Y77" s="16">
        <v>1023</v>
      </c>
    </row>
    <row r="78" spans="2:25" x14ac:dyDescent="0.2">
      <c r="B78" s="21" t="s">
        <v>31</v>
      </c>
      <c r="C78" s="21" t="s">
        <v>136</v>
      </c>
      <c r="D78" s="22">
        <v>0.874309182167053</v>
      </c>
      <c r="E78" s="22">
        <v>1.3576012849807699</v>
      </c>
      <c r="F78" s="22">
        <v>5.7968046516179997E-2</v>
      </c>
      <c r="G78" s="21" t="s">
        <v>1113</v>
      </c>
      <c r="H78" s="22">
        <f>POWER(10,E78)</f>
        <v>22.782495070736402</v>
      </c>
      <c r="J78" s="2" t="s">
        <v>31</v>
      </c>
      <c r="K78" s="2" t="s">
        <v>136</v>
      </c>
      <c r="L78" s="5">
        <v>0.82820796966552701</v>
      </c>
      <c r="M78" s="5">
        <v>1.32254862785339</v>
      </c>
      <c r="N78" s="5">
        <v>7.2178453207016005E-2</v>
      </c>
      <c r="O78" s="5">
        <f>EXP(M78)</f>
        <v>3.7529741332891406</v>
      </c>
      <c r="Q78" s="16" t="s">
        <v>136</v>
      </c>
      <c r="R78" s="16" t="s">
        <v>31</v>
      </c>
      <c r="S78" s="17">
        <v>4.1470502920599998E-6</v>
      </c>
      <c r="T78" s="16">
        <v>0.59016400000000002</v>
      </c>
      <c r="U78" s="16" t="s">
        <v>942</v>
      </c>
      <c r="V78" s="16">
        <v>0.203125</v>
      </c>
      <c r="W78" s="16" t="s">
        <v>966</v>
      </c>
      <c r="X78" s="16">
        <v>154</v>
      </c>
      <c r="Y78" s="16">
        <v>2134</v>
      </c>
    </row>
    <row r="79" spans="2:25" x14ac:dyDescent="0.2">
      <c r="B79" s="21"/>
      <c r="C79" s="21"/>
      <c r="D79" s="22"/>
      <c r="E79" s="22"/>
      <c r="F79" s="22"/>
      <c r="G79" s="21"/>
      <c r="H79" s="22"/>
      <c r="J79" s="2" t="s">
        <v>31</v>
      </c>
      <c r="K79" s="2" t="s">
        <v>149</v>
      </c>
      <c r="L79" s="5">
        <v>0.77820438146591198</v>
      </c>
      <c r="M79" s="5">
        <v>-0.49699062108993503</v>
      </c>
      <c r="N79" s="5">
        <v>0.66540271043777499</v>
      </c>
      <c r="O79" s="5">
        <f>EXP(M79)</f>
        <v>0.60835868952585581</v>
      </c>
      <c r="Q79" s="16" t="s">
        <v>149</v>
      </c>
      <c r="R79" s="16" t="s">
        <v>31</v>
      </c>
      <c r="S79" s="17">
        <v>1.04397336846E-18</v>
      </c>
      <c r="T79" s="16">
        <v>0.63247900000000001</v>
      </c>
      <c r="U79" s="16" t="s">
        <v>942</v>
      </c>
      <c r="V79" s="16">
        <v>1</v>
      </c>
      <c r="W79" s="16" t="s">
        <v>965</v>
      </c>
      <c r="X79" s="16">
        <v>154</v>
      </c>
      <c r="Y79" s="16">
        <v>1106</v>
      </c>
    </row>
    <row r="80" spans="2:25" x14ac:dyDescent="0.2">
      <c r="B80" s="21"/>
      <c r="C80" s="21"/>
      <c r="D80" s="22"/>
      <c r="E80" s="22"/>
      <c r="F80" s="22"/>
      <c r="G80" s="21"/>
      <c r="H80" s="22"/>
      <c r="J80" s="2" t="s">
        <v>31</v>
      </c>
      <c r="K80" s="2" t="s">
        <v>111</v>
      </c>
      <c r="L80" s="5">
        <v>0.80720645189285301</v>
      </c>
      <c r="M80" s="5">
        <v>0.244296669960022</v>
      </c>
      <c r="N80" s="5">
        <v>0.63088673353195202</v>
      </c>
      <c r="O80" s="5">
        <f>EXP(M80)</f>
        <v>1.2767230396839984</v>
      </c>
      <c r="Q80" s="16" t="s">
        <v>111</v>
      </c>
      <c r="R80" s="16" t="s">
        <v>31</v>
      </c>
      <c r="S80" s="17">
        <v>1.41301692104E-13</v>
      </c>
      <c r="T80" s="16">
        <v>0.56115099999999996</v>
      </c>
      <c r="U80" s="16" t="s">
        <v>942</v>
      </c>
      <c r="V80" s="16">
        <v>1</v>
      </c>
      <c r="W80" s="16" t="s">
        <v>965</v>
      </c>
      <c r="X80" s="16">
        <v>154</v>
      </c>
      <c r="Y80" s="16">
        <v>1434</v>
      </c>
    </row>
    <row r="81" spans="2:25" x14ac:dyDescent="0.2">
      <c r="B81" s="21"/>
      <c r="C81" s="21"/>
      <c r="D81" s="22"/>
      <c r="E81" s="22"/>
      <c r="F81" s="22"/>
      <c r="G81" s="21"/>
      <c r="H81" s="22"/>
      <c r="J81" s="2" t="s">
        <v>31</v>
      </c>
      <c r="K81" s="2" t="s">
        <v>157</v>
      </c>
      <c r="L81" s="5">
        <v>0.78114122152328502</v>
      </c>
      <c r="M81" s="5">
        <v>-1.45235371589661</v>
      </c>
      <c r="N81" s="5">
        <v>0.937108755111694</v>
      </c>
      <c r="O81" s="5">
        <f>EXP(M81)</f>
        <v>0.23401882552553643</v>
      </c>
      <c r="Q81" s="16" t="s">
        <v>157</v>
      </c>
      <c r="R81" s="16" t="s">
        <v>31</v>
      </c>
      <c r="S81" s="17">
        <v>1.50144476078E-31</v>
      </c>
      <c r="T81" s="16">
        <v>0.62857099999999999</v>
      </c>
      <c r="U81" s="16" t="s">
        <v>942</v>
      </c>
      <c r="V81" s="16">
        <v>1</v>
      </c>
      <c r="W81" s="16" t="s">
        <v>964</v>
      </c>
      <c r="X81" s="16">
        <v>154</v>
      </c>
      <c r="Y81" s="16">
        <v>684</v>
      </c>
    </row>
    <row r="82" spans="2:25" x14ac:dyDescent="0.2">
      <c r="B82" s="21"/>
      <c r="C82" s="21"/>
      <c r="D82" s="22"/>
      <c r="E82" s="22"/>
      <c r="F82" s="22"/>
      <c r="G82" s="21"/>
      <c r="H82" s="22"/>
      <c r="J82" s="2" t="s">
        <v>31</v>
      </c>
      <c r="K82" s="2" t="s">
        <v>133</v>
      </c>
      <c r="L82" s="5">
        <v>0.79594957828521695</v>
      </c>
      <c r="M82" s="5">
        <v>8.4683671593666104E-2</v>
      </c>
      <c r="N82" s="5">
        <v>0.88951379060745195</v>
      </c>
      <c r="O82" s="5">
        <f>EXP(M82)</f>
        <v>1.0883727290285059</v>
      </c>
      <c r="Q82" s="16" t="s">
        <v>133</v>
      </c>
      <c r="R82" s="16" t="s">
        <v>31</v>
      </c>
      <c r="S82" s="17">
        <v>1.16112897750999E-25</v>
      </c>
      <c r="T82" s="16">
        <v>0.59</v>
      </c>
      <c r="U82" s="16" t="s">
        <v>942</v>
      </c>
      <c r="V82" s="16">
        <v>1</v>
      </c>
      <c r="W82" s="16" t="s">
        <v>965</v>
      </c>
      <c r="X82" s="16">
        <v>154</v>
      </c>
      <c r="Y82" s="16">
        <v>840</v>
      </c>
    </row>
    <row r="83" spans="2:25" x14ac:dyDescent="0.2">
      <c r="B83" s="21" t="s">
        <v>31</v>
      </c>
      <c r="C83" s="21" t="s">
        <v>144</v>
      </c>
      <c r="D83" s="22">
        <v>0.894190013408661</v>
      </c>
      <c r="E83" s="22">
        <v>1.65828084945679</v>
      </c>
      <c r="F83" s="22">
        <v>0.68101978302001998</v>
      </c>
      <c r="G83" s="21" t="s">
        <v>1113</v>
      </c>
      <c r="H83" s="22">
        <f>POWER(10,E83)</f>
        <v>45.528238688262839</v>
      </c>
      <c r="J83" s="2" t="s">
        <v>31</v>
      </c>
      <c r="K83" s="2" t="s">
        <v>144</v>
      </c>
      <c r="L83" s="5">
        <v>0.81355470418930098</v>
      </c>
      <c r="M83" s="5">
        <v>0.92585527896881104</v>
      </c>
      <c r="N83" s="5">
        <v>0.61854082345962502</v>
      </c>
      <c r="O83" s="5">
        <f>EXP(M83)</f>
        <v>2.5240260838823461</v>
      </c>
      <c r="Q83" s="16" t="s">
        <v>144</v>
      </c>
      <c r="R83" s="16" t="s">
        <v>31</v>
      </c>
      <c r="S83" s="17">
        <v>3.5101096060900002E-6</v>
      </c>
      <c r="T83" s="16">
        <v>0.56521699999999997</v>
      </c>
      <c r="U83" s="16" t="s">
        <v>942</v>
      </c>
      <c r="V83" s="16">
        <v>0.73828125</v>
      </c>
      <c r="W83" s="16" t="s">
        <v>966</v>
      </c>
      <c r="X83" s="16">
        <v>154</v>
      </c>
      <c r="Y83" s="16">
        <v>360</v>
      </c>
    </row>
    <row r="84" spans="2:25" x14ac:dyDescent="0.2">
      <c r="B84" s="21"/>
      <c r="C84" s="21"/>
      <c r="D84" s="22"/>
      <c r="E84" s="22"/>
      <c r="F84" s="22"/>
      <c r="G84" s="21"/>
      <c r="H84" s="22"/>
      <c r="J84" s="2" t="s">
        <v>31</v>
      </c>
      <c r="K84" s="2" t="s">
        <v>158</v>
      </c>
      <c r="L84" s="5">
        <v>0.79688394069671598</v>
      </c>
      <c r="M84" s="5">
        <v>-1.3133298158645601</v>
      </c>
      <c r="N84" s="5">
        <v>0.85046994686126698</v>
      </c>
      <c r="O84" s="5">
        <f>EXP(M84)</f>
        <v>0.2689230994598234</v>
      </c>
      <c r="Q84" s="16" t="s">
        <v>158</v>
      </c>
      <c r="R84" s="16" t="s">
        <v>31</v>
      </c>
      <c r="S84" s="17">
        <v>2.8562481758199899E-15</v>
      </c>
      <c r="T84" s="16">
        <v>0.51075300000000001</v>
      </c>
      <c r="U84" s="16" t="s">
        <v>942</v>
      </c>
      <c r="V84" s="16">
        <v>1</v>
      </c>
      <c r="W84" s="16" t="s">
        <v>964</v>
      </c>
      <c r="X84" s="16">
        <v>154</v>
      </c>
      <c r="Y84" s="16">
        <v>1324</v>
      </c>
    </row>
    <row r="85" spans="2:25" x14ac:dyDescent="0.2">
      <c r="B85" s="21" t="s">
        <v>31</v>
      </c>
      <c r="C85" s="21" t="s">
        <v>140</v>
      </c>
      <c r="D85" s="22">
        <v>0.85867643356323198</v>
      </c>
      <c r="E85" s="22">
        <v>0.104478746652603</v>
      </c>
      <c r="F85" s="22">
        <v>0.81833475828170799</v>
      </c>
      <c r="G85" s="21" t="s">
        <v>1113</v>
      </c>
      <c r="H85" s="22">
        <f>POWER(10,E85)</f>
        <v>1.2719755010822473</v>
      </c>
      <c r="J85" s="2" t="s">
        <v>31</v>
      </c>
      <c r="K85" s="2" t="s">
        <v>140</v>
      </c>
      <c r="L85" s="5">
        <v>0.80488806962966897</v>
      </c>
      <c r="M85" s="5">
        <v>0.57718575000762895</v>
      </c>
      <c r="N85" s="5">
        <v>0.78946602344512895</v>
      </c>
      <c r="O85" s="5">
        <f>EXP(M85)</f>
        <v>1.7810191381947122</v>
      </c>
      <c r="Q85" s="16" t="s">
        <v>140</v>
      </c>
      <c r="R85" s="16" t="s">
        <v>31</v>
      </c>
      <c r="S85" s="17">
        <v>3.2024765297099899E-21</v>
      </c>
      <c r="T85" s="16">
        <v>0.77227699999999999</v>
      </c>
      <c r="U85" s="16" t="s">
        <v>942</v>
      </c>
      <c r="V85" s="16">
        <v>0.203125</v>
      </c>
      <c r="W85" s="16" t="s">
        <v>966</v>
      </c>
      <c r="X85" s="16">
        <v>154</v>
      </c>
      <c r="Y85" s="16">
        <v>993</v>
      </c>
    </row>
    <row r="86" spans="2:25" x14ac:dyDescent="0.2">
      <c r="B86" s="21"/>
      <c r="C86" s="21"/>
      <c r="D86" s="22"/>
      <c r="E86" s="22"/>
      <c r="F86" s="22"/>
      <c r="G86" s="21"/>
      <c r="H86" s="22"/>
      <c r="J86" s="2" t="s">
        <v>31</v>
      </c>
      <c r="K86" s="2" t="s">
        <v>151</v>
      </c>
      <c r="L86" s="5">
        <v>0.81172686815261796</v>
      </c>
      <c r="M86" s="5">
        <v>-1.36002504825592</v>
      </c>
      <c r="N86" s="5">
        <v>0.92069947719573997</v>
      </c>
      <c r="O86" s="5">
        <f>EXP(M86)</f>
        <v>0.25665434812924587</v>
      </c>
      <c r="Q86" s="16" t="s">
        <v>151</v>
      </c>
      <c r="R86" s="16" t="s">
        <v>31</v>
      </c>
      <c r="S86" s="17">
        <v>1.90735660081E-57</v>
      </c>
      <c r="T86" s="16">
        <v>1</v>
      </c>
      <c r="U86" s="16" t="s">
        <v>942</v>
      </c>
      <c r="V86" s="16">
        <v>1</v>
      </c>
      <c r="W86" s="16" t="s">
        <v>964</v>
      </c>
      <c r="X86" s="16">
        <v>154</v>
      </c>
      <c r="Y86" s="16">
        <v>254</v>
      </c>
    </row>
    <row r="87" spans="2:25" x14ac:dyDescent="0.2">
      <c r="B87" s="21" t="s">
        <v>31</v>
      </c>
      <c r="C87" s="21" t="s">
        <v>155</v>
      </c>
      <c r="D87" s="22">
        <v>0.87052422761917103</v>
      </c>
      <c r="E87" s="22">
        <v>1.1487014591693901E-2</v>
      </c>
      <c r="F87" s="22">
        <v>0.75805842876434304</v>
      </c>
      <c r="G87" s="21" t="s">
        <v>1113</v>
      </c>
      <c r="H87" s="22">
        <f>POWER(10,E87)</f>
        <v>1.0268027297996791</v>
      </c>
      <c r="J87" s="2" t="s">
        <v>31</v>
      </c>
      <c r="K87" s="2" t="s">
        <v>155</v>
      </c>
      <c r="L87" s="5">
        <v>0.83074599504470803</v>
      </c>
      <c r="M87" s="5">
        <v>-0.12127361446619001</v>
      </c>
      <c r="N87" s="5">
        <v>0.75287878513336204</v>
      </c>
      <c r="O87" s="5">
        <f>EXP(M87)</f>
        <v>0.88579156104738199</v>
      </c>
      <c r="Q87" s="16" t="s">
        <v>155</v>
      </c>
      <c r="R87" s="16" t="s">
        <v>31</v>
      </c>
      <c r="S87" s="17">
        <v>2.8899305171100001E-9</v>
      </c>
      <c r="T87" s="16">
        <v>0.62087899999999996</v>
      </c>
      <c r="U87" s="16" t="s">
        <v>942</v>
      </c>
      <c r="V87" s="16">
        <v>0.73828125</v>
      </c>
      <c r="W87" s="16" t="s">
        <v>966</v>
      </c>
      <c r="X87" s="16">
        <v>154</v>
      </c>
      <c r="Y87" s="16">
        <v>903</v>
      </c>
    </row>
    <row r="88" spans="2:25" x14ac:dyDescent="0.2">
      <c r="B88" s="21" t="s">
        <v>31</v>
      </c>
      <c r="C88" s="21" t="s">
        <v>142</v>
      </c>
      <c r="D88" s="22">
        <v>0.86901408433914196</v>
      </c>
      <c r="E88" s="22">
        <v>1.1628454923629801</v>
      </c>
      <c r="F88" s="22">
        <v>0.53565615415573098</v>
      </c>
      <c r="G88" s="21" t="s">
        <v>1113</v>
      </c>
      <c r="H88" s="22">
        <f>POWER(10,E88)</f>
        <v>14.549413683957104</v>
      </c>
      <c r="J88" s="2" t="s">
        <v>31</v>
      </c>
      <c r="K88" s="2" t="s">
        <v>142</v>
      </c>
      <c r="L88" s="5">
        <v>0.821499824523926</v>
      </c>
      <c r="M88" s="5">
        <v>1.20332527160645</v>
      </c>
      <c r="N88" s="5">
        <v>0.54305112361908003</v>
      </c>
      <c r="O88" s="5">
        <f>EXP(M88)</f>
        <v>3.3311755896152704</v>
      </c>
      <c r="Q88" s="16" t="s">
        <v>142</v>
      </c>
      <c r="R88" s="16" t="s">
        <v>31</v>
      </c>
      <c r="S88" s="17">
        <v>4.25835789389999E-20</v>
      </c>
      <c r="T88" s="16">
        <v>0.5</v>
      </c>
      <c r="U88" s="16" t="s">
        <v>942</v>
      </c>
      <c r="V88" s="16">
        <v>0.203125</v>
      </c>
      <c r="W88" s="16" t="s">
        <v>966</v>
      </c>
      <c r="X88" s="16">
        <v>154</v>
      </c>
      <c r="Y88" s="16">
        <v>1042</v>
      </c>
    </row>
    <row r="89" spans="2:25" x14ac:dyDescent="0.2">
      <c r="B89" s="21"/>
      <c r="C89" s="21"/>
      <c r="D89" s="22"/>
      <c r="E89" s="22"/>
      <c r="F89" s="22"/>
      <c r="G89" s="21"/>
      <c r="H89" s="22"/>
      <c r="J89" s="2" t="s">
        <v>31</v>
      </c>
      <c r="K89" s="2" t="s">
        <v>150</v>
      </c>
      <c r="L89" s="5">
        <v>0.80360805988311801</v>
      </c>
      <c r="M89" s="5">
        <v>0.93845969438552901</v>
      </c>
      <c r="N89" s="5">
        <v>0.15701319277286499</v>
      </c>
      <c r="O89" s="5">
        <f>EXP(M89)</f>
        <v>2.5560412998499928</v>
      </c>
      <c r="Q89" s="16" t="s">
        <v>150</v>
      </c>
      <c r="R89" s="16" t="s">
        <v>31</v>
      </c>
      <c r="S89" s="17">
        <v>2.0186164662E-7</v>
      </c>
      <c r="T89" s="16">
        <v>0.57534200000000002</v>
      </c>
      <c r="U89" s="16" t="s">
        <v>942</v>
      </c>
      <c r="V89" s="16">
        <v>1</v>
      </c>
      <c r="W89" s="16" t="s">
        <v>965</v>
      </c>
      <c r="X89" s="16">
        <v>154</v>
      </c>
      <c r="Y89" s="16">
        <v>1971</v>
      </c>
    </row>
    <row r="90" spans="2:25" x14ac:dyDescent="0.2">
      <c r="B90" s="21"/>
      <c r="C90" s="21"/>
      <c r="D90" s="22"/>
      <c r="E90" s="22"/>
      <c r="F90" s="22"/>
      <c r="G90" s="21"/>
      <c r="H90" s="22"/>
      <c r="J90" s="2" t="s">
        <v>31</v>
      </c>
      <c r="K90" s="2" t="s">
        <v>146</v>
      </c>
      <c r="L90" s="5">
        <v>0.80297034978866599</v>
      </c>
      <c r="M90" s="5">
        <v>-0.87300777435302701</v>
      </c>
      <c r="N90" s="5">
        <v>0.903153777122498</v>
      </c>
      <c r="O90" s="5">
        <f>EXP(M90)</f>
        <v>0.41769333068996617</v>
      </c>
      <c r="Q90" s="16" t="s">
        <v>146</v>
      </c>
      <c r="R90" s="16" t="s">
        <v>31</v>
      </c>
      <c r="S90" s="17">
        <v>1.8938406943899999E-71</v>
      </c>
      <c r="T90" s="16">
        <v>1</v>
      </c>
      <c r="U90" s="16" t="s">
        <v>942</v>
      </c>
      <c r="V90" s="16">
        <v>1</v>
      </c>
      <c r="W90" s="16" t="s">
        <v>964</v>
      </c>
      <c r="X90" s="16">
        <v>154</v>
      </c>
      <c r="Y90" s="16">
        <v>184</v>
      </c>
    </row>
    <row r="91" spans="2:25" x14ac:dyDescent="0.2">
      <c r="B91" s="21"/>
      <c r="C91" s="21"/>
      <c r="D91" s="22"/>
      <c r="E91" s="22"/>
      <c r="F91" s="22"/>
      <c r="G91" s="21"/>
      <c r="H91" s="22"/>
      <c r="J91" s="2" t="s">
        <v>31</v>
      </c>
      <c r="K91" s="2" t="s">
        <v>159</v>
      </c>
      <c r="L91" s="5">
        <v>0.80952352285385099</v>
      </c>
      <c r="M91" s="5">
        <v>-0.63207215070724498</v>
      </c>
      <c r="N91" s="5">
        <v>0.94762021303176902</v>
      </c>
      <c r="O91" s="5">
        <f>EXP(M91)</f>
        <v>0.53148933316401015</v>
      </c>
      <c r="Q91" s="16" t="s">
        <v>159</v>
      </c>
      <c r="R91" s="16" t="s">
        <v>31</v>
      </c>
      <c r="S91" s="17">
        <v>3.5245528471200002E-11</v>
      </c>
      <c r="T91" s="16">
        <v>0.36956499999999998</v>
      </c>
      <c r="U91" s="16" t="s">
        <v>942</v>
      </c>
      <c r="V91" s="16">
        <v>1</v>
      </c>
      <c r="W91" s="16" t="s">
        <v>964</v>
      </c>
      <c r="X91" s="16">
        <v>154</v>
      </c>
      <c r="Y91" s="16">
        <v>1636</v>
      </c>
    </row>
    <row r="92" spans="2:25" x14ac:dyDescent="0.2">
      <c r="B92" s="21"/>
      <c r="C92" s="21"/>
      <c r="D92" s="22"/>
      <c r="E92" s="22"/>
      <c r="F92" s="22"/>
      <c r="G92" s="21"/>
      <c r="H92" s="22"/>
      <c r="J92" s="2" t="s">
        <v>31</v>
      </c>
      <c r="K92" s="2" t="s">
        <v>9</v>
      </c>
      <c r="L92" s="5">
        <v>0.80963802337646495</v>
      </c>
      <c r="M92" s="5">
        <v>-1.5105767250061</v>
      </c>
      <c r="N92" s="5">
        <v>0.84813094139099099</v>
      </c>
      <c r="O92" s="5">
        <f>EXP(M92)</f>
        <v>0.22078261038255562</v>
      </c>
      <c r="Q92" s="16" t="s">
        <v>9</v>
      </c>
      <c r="R92" s="16" t="s">
        <v>31</v>
      </c>
      <c r="S92" s="17">
        <v>2.1140863785999899E-15</v>
      </c>
      <c r="T92" s="16">
        <v>0.512903</v>
      </c>
      <c r="U92" s="16" t="s">
        <v>942</v>
      </c>
      <c r="V92" s="16">
        <v>1</v>
      </c>
      <c r="W92" s="16" t="s">
        <v>964</v>
      </c>
      <c r="X92" s="16">
        <v>154</v>
      </c>
      <c r="Y92" s="16">
        <v>1311</v>
      </c>
    </row>
    <row r="93" spans="2:25" x14ac:dyDescent="0.2">
      <c r="B93" s="21" t="s">
        <v>31</v>
      </c>
      <c r="C93" s="21" t="s">
        <v>141</v>
      </c>
      <c r="D93" s="22">
        <v>0.88436812162399303</v>
      </c>
      <c r="E93" s="22">
        <v>0.59065222740173295</v>
      </c>
      <c r="F93" s="22">
        <v>0.61565238237381004</v>
      </c>
      <c r="G93" s="21" t="s">
        <v>1113</v>
      </c>
      <c r="H93" s="22">
        <f>POWER(10,E93)</f>
        <v>3.8962985548228124</v>
      </c>
      <c r="J93" s="2" t="s">
        <v>31</v>
      </c>
      <c r="K93" s="2" t="s">
        <v>141</v>
      </c>
      <c r="L93" s="5">
        <v>0.82999354600906405</v>
      </c>
      <c r="M93" s="5">
        <v>0.81027114391326904</v>
      </c>
      <c r="N93" s="5">
        <v>0.62702053785324097</v>
      </c>
      <c r="O93" s="5">
        <f>EXP(M93)</f>
        <v>2.2485175758841147</v>
      </c>
      <c r="Q93" s="16" t="s">
        <v>141</v>
      </c>
      <c r="R93" s="16" t="s">
        <v>31</v>
      </c>
      <c r="S93" s="17">
        <v>1.9477818181399999E-16</v>
      </c>
      <c r="T93" s="16">
        <v>0.65248200000000001</v>
      </c>
      <c r="U93" s="16" t="s">
        <v>942</v>
      </c>
      <c r="V93" s="16">
        <v>0.203125</v>
      </c>
      <c r="W93" s="16" t="s">
        <v>966</v>
      </c>
      <c r="X93" s="16">
        <v>154</v>
      </c>
      <c r="Y93" s="16">
        <v>1261</v>
      </c>
    </row>
    <row r="94" spans="2:25" x14ac:dyDescent="0.2">
      <c r="B94" s="21" t="s">
        <v>31</v>
      </c>
      <c r="C94" s="21" t="s">
        <v>156</v>
      </c>
      <c r="D94" s="22">
        <v>0.85035365819930997</v>
      </c>
      <c r="E94" s="22">
        <v>-0.90615862607955899</v>
      </c>
      <c r="F94" s="22">
        <v>0.66340166330337502</v>
      </c>
      <c r="G94" s="21" t="s">
        <v>1113</v>
      </c>
      <c r="H94" s="22">
        <f>POWER(10,E94)</f>
        <v>0.12411988768425995</v>
      </c>
      <c r="J94" s="2" t="s">
        <v>31</v>
      </c>
      <c r="K94" s="2" t="s">
        <v>156</v>
      </c>
      <c r="L94" s="5">
        <v>0.81993544101715099</v>
      </c>
      <c r="M94" s="5">
        <v>-1.09502029418945</v>
      </c>
      <c r="N94" s="5">
        <v>0.68985718488693204</v>
      </c>
      <c r="O94" s="5">
        <f>EXP(M94)</f>
        <v>0.33453281780733596</v>
      </c>
      <c r="Q94" s="16" t="s">
        <v>156</v>
      </c>
      <c r="R94" s="16" t="s">
        <v>31</v>
      </c>
      <c r="S94" s="17">
        <v>1.31000893906E-23</v>
      </c>
      <c r="T94" s="16">
        <v>0.69199999999999995</v>
      </c>
      <c r="U94" s="16" t="s">
        <v>942</v>
      </c>
      <c r="V94" s="16">
        <v>0.203125</v>
      </c>
      <c r="W94" s="16" t="s">
        <v>966</v>
      </c>
      <c r="X94" s="16">
        <v>154</v>
      </c>
      <c r="Y94" s="16">
        <v>892</v>
      </c>
    </row>
    <row r="95" spans="2:25" x14ac:dyDescent="0.2">
      <c r="B95" s="21" t="s">
        <v>31</v>
      </c>
      <c r="C95" s="21" t="s">
        <v>152</v>
      </c>
      <c r="D95" s="22">
        <v>0.89167606830596902</v>
      </c>
      <c r="E95" s="22">
        <v>-0.48100721836090099</v>
      </c>
      <c r="F95" s="22">
        <v>0.55369913578033503</v>
      </c>
      <c r="G95" s="21" t="s">
        <v>1113</v>
      </c>
      <c r="H95" s="22">
        <f>POWER(10,E95)</f>
        <v>0.33036405004657832</v>
      </c>
      <c r="J95" s="2" t="s">
        <v>31</v>
      </c>
      <c r="K95" s="2" t="s">
        <v>152</v>
      </c>
      <c r="L95" s="5">
        <v>0.83064669370651301</v>
      </c>
      <c r="M95" s="5">
        <v>0.700020551681519</v>
      </c>
      <c r="N95" s="5">
        <v>0.41670709848403897</v>
      </c>
      <c r="O95" s="5">
        <f>EXP(M95)</f>
        <v>2.0137940939000574</v>
      </c>
      <c r="Q95" s="16" t="s">
        <v>152</v>
      </c>
      <c r="R95" s="16" t="s">
        <v>31</v>
      </c>
      <c r="S95" s="17">
        <v>7.2593920767699997E-20</v>
      </c>
      <c r="T95" s="16">
        <v>0.5</v>
      </c>
      <c r="U95" s="16" t="s">
        <v>942</v>
      </c>
      <c r="V95" s="16">
        <v>0.203125</v>
      </c>
      <c r="W95" s="16" t="s">
        <v>966</v>
      </c>
      <c r="X95" s="16">
        <v>154</v>
      </c>
      <c r="Y95" s="16">
        <v>1055</v>
      </c>
    </row>
    <row r="96" spans="2:25" x14ac:dyDescent="0.2">
      <c r="B96" s="21" t="s">
        <v>31</v>
      </c>
      <c r="C96" s="21" t="s">
        <v>139</v>
      </c>
      <c r="D96" s="22">
        <v>0.893071830272675</v>
      </c>
      <c r="E96" s="22">
        <v>1.02021265029907</v>
      </c>
      <c r="F96" s="22">
        <v>0.72442215681076105</v>
      </c>
      <c r="G96" s="21" t="s">
        <v>1113</v>
      </c>
      <c r="H96" s="22">
        <f>POWER(10,E96)</f>
        <v>10.476413952831292</v>
      </c>
      <c r="J96" s="2" t="s">
        <v>31</v>
      </c>
      <c r="K96" s="2" t="s">
        <v>139</v>
      </c>
      <c r="L96" s="5">
        <v>0.83358269929885898</v>
      </c>
      <c r="M96" s="5">
        <v>1.1968138217926001</v>
      </c>
      <c r="N96" s="5">
        <v>0.73388910293579102</v>
      </c>
      <c r="O96" s="5">
        <f>EXP(M96)</f>
        <v>3.3095552731351194</v>
      </c>
      <c r="Q96" s="16" t="s">
        <v>139</v>
      </c>
      <c r="R96" s="16" t="s">
        <v>31</v>
      </c>
      <c r="S96" s="17">
        <v>1.54264774287E-15</v>
      </c>
      <c r="T96" s="16">
        <v>0.64335699999999996</v>
      </c>
      <c r="U96" s="16" t="s">
        <v>942</v>
      </c>
      <c r="V96" s="16">
        <v>0.203125</v>
      </c>
      <c r="W96" s="16" t="s">
        <v>966</v>
      </c>
      <c r="X96" s="16">
        <v>154</v>
      </c>
      <c r="Y96" s="16">
        <v>1305</v>
      </c>
    </row>
    <row r="97" spans="2:25" x14ac:dyDescent="0.2">
      <c r="B97" s="21" t="s">
        <v>31</v>
      </c>
      <c r="C97" s="21" t="s">
        <v>138</v>
      </c>
      <c r="D97" s="22">
        <v>0.88272571563720703</v>
      </c>
      <c r="E97" s="22">
        <v>1.0476541519164999</v>
      </c>
      <c r="F97" s="22">
        <v>0.59742170572280895</v>
      </c>
      <c r="G97" s="21" t="s">
        <v>1113</v>
      </c>
      <c r="H97" s="22">
        <f>POWER(10,E97)</f>
        <v>11.159741937615804</v>
      </c>
      <c r="J97" s="2" t="s">
        <v>31</v>
      </c>
      <c r="K97" s="2" t="s">
        <v>138</v>
      </c>
      <c r="L97" s="5">
        <v>0.81191092729568504</v>
      </c>
      <c r="M97" s="5">
        <v>0.77386623620986905</v>
      </c>
      <c r="N97" s="5">
        <v>0.62262648344039895</v>
      </c>
      <c r="O97" s="5">
        <f>EXP(M97)</f>
        <v>2.1681325829610505</v>
      </c>
      <c r="Q97" s="16" t="s">
        <v>138</v>
      </c>
      <c r="R97" s="16" t="s">
        <v>31</v>
      </c>
      <c r="S97" s="17">
        <v>2.82208606768E-16</v>
      </c>
      <c r="T97" s="16">
        <v>0.66942100000000004</v>
      </c>
      <c r="U97" s="16" t="s">
        <v>942</v>
      </c>
      <c r="V97" s="16">
        <v>0.73828125</v>
      </c>
      <c r="W97" s="16" t="s">
        <v>966</v>
      </c>
      <c r="X97" s="16">
        <v>154</v>
      </c>
      <c r="Y97" s="16">
        <v>214</v>
      </c>
    </row>
    <row r="98" spans="2:25" x14ac:dyDescent="0.2">
      <c r="B98" s="21" t="s">
        <v>31</v>
      </c>
      <c r="C98" s="21" t="s">
        <v>147</v>
      </c>
      <c r="D98" s="22">
        <v>0.87076967954635598</v>
      </c>
      <c r="E98" s="22">
        <v>0.82033818960189797</v>
      </c>
      <c r="F98" s="22">
        <v>0.84924012422561701</v>
      </c>
      <c r="G98" s="21" t="s">
        <v>1113</v>
      </c>
      <c r="H98" s="22">
        <f>POWER(10,E98)</f>
        <v>6.6120813719533134</v>
      </c>
      <c r="J98" s="2" t="s">
        <v>31</v>
      </c>
      <c r="K98" s="2" t="s">
        <v>147</v>
      </c>
      <c r="L98" s="5">
        <v>0.82020825147628795</v>
      </c>
      <c r="M98" s="5">
        <v>0.94320011138916005</v>
      </c>
      <c r="N98" s="5">
        <v>0.84855556488037098</v>
      </c>
      <c r="O98" s="5">
        <f>EXP(M98)</f>
        <v>2.5681867660330417</v>
      </c>
      <c r="Q98" s="16" t="s">
        <v>147</v>
      </c>
      <c r="R98" s="16" t="s">
        <v>31</v>
      </c>
      <c r="S98" s="17">
        <v>1.86516115575E-6</v>
      </c>
      <c r="T98" s="16">
        <v>0.55294100000000002</v>
      </c>
      <c r="U98" s="16" t="s">
        <v>942</v>
      </c>
      <c r="V98" s="16">
        <v>0.73828125</v>
      </c>
      <c r="W98" s="16" t="s">
        <v>966</v>
      </c>
      <c r="X98" s="16">
        <v>154</v>
      </c>
      <c r="Y98" s="16">
        <v>444</v>
      </c>
    </row>
    <row r="99" spans="2:25" x14ac:dyDescent="0.2">
      <c r="B99" s="21"/>
      <c r="C99" s="21"/>
      <c r="D99" s="22"/>
      <c r="E99" s="22"/>
      <c r="F99" s="22"/>
      <c r="G99" s="21"/>
      <c r="H99" s="22"/>
      <c r="J99" s="2" t="s">
        <v>31</v>
      </c>
      <c r="K99" s="2" t="s">
        <v>143</v>
      </c>
      <c r="L99" s="5">
        <v>0.81248581409454401</v>
      </c>
      <c r="M99" s="5">
        <v>0.255519479513168</v>
      </c>
      <c r="N99" s="5">
        <v>0.706171214580536</v>
      </c>
      <c r="O99" s="5">
        <f>EXP(M99)</f>
        <v>1.2911321633989361</v>
      </c>
      <c r="Q99" s="16" t="s">
        <v>143</v>
      </c>
      <c r="R99" s="16" t="s">
        <v>31</v>
      </c>
      <c r="S99" s="17">
        <v>1.09307708794999E-31</v>
      </c>
      <c r="T99" s="16">
        <v>0.57843100000000003</v>
      </c>
      <c r="U99" s="16" t="s">
        <v>942</v>
      </c>
      <c r="V99" s="16">
        <v>1</v>
      </c>
      <c r="W99" s="16" t="s">
        <v>965</v>
      </c>
      <c r="X99" s="16">
        <v>154</v>
      </c>
      <c r="Y99" s="16">
        <v>681</v>
      </c>
    </row>
    <row r="100" spans="2:25" x14ac:dyDescent="0.2">
      <c r="B100" s="21" t="s">
        <v>31</v>
      </c>
      <c r="C100" s="21" t="s">
        <v>148</v>
      </c>
      <c r="D100" s="22">
        <v>0.89290392398834195</v>
      </c>
      <c r="E100" s="22">
        <v>1.3755086660385101</v>
      </c>
      <c r="F100" s="22">
        <v>0.692973792552948</v>
      </c>
      <c r="G100" s="21" t="s">
        <v>1113</v>
      </c>
      <c r="H100" s="22">
        <f>POWER(10,E100)</f>
        <v>23.741527967982975</v>
      </c>
      <c r="J100" s="2" t="s">
        <v>31</v>
      </c>
      <c r="K100" s="2" t="s">
        <v>148</v>
      </c>
      <c r="L100" s="5">
        <v>0.81035965681076105</v>
      </c>
      <c r="M100" s="5">
        <v>1.15284430980682</v>
      </c>
      <c r="N100" s="5">
        <v>0.62598234415054299</v>
      </c>
      <c r="O100" s="5">
        <f>EXP(M100)</f>
        <v>3.1671885759208163</v>
      </c>
      <c r="Q100" s="16" t="s">
        <v>148</v>
      </c>
      <c r="R100" s="16" t="s">
        <v>31</v>
      </c>
      <c r="S100" s="17">
        <v>3.81095137292E-6</v>
      </c>
      <c r="T100" s="16">
        <v>0.56488499999999997</v>
      </c>
      <c r="U100" s="16" t="s">
        <v>942</v>
      </c>
      <c r="V100" s="16">
        <v>0.73828125</v>
      </c>
      <c r="W100" s="16" t="s">
        <v>966</v>
      </c>
      <c r="X100" s="16">
        <v>154</v>
      </c>
      <c r="Y100" s="16">
        <v>413</v>
      </c>
    </row>
    <row r="101" spans="2:25" x14ac:dyDescent="0.2">
      <c r="B101" s="21"/>
      <c r="C101" s="21"/>
      <c r="D101" s="22"/>
      <c r="E101" s="22"/>
      <c r="F101" s="22"/>
      <c r="G101" s="21"/>
      <c r="H101" s="22"/>
      <c r="J101" s="2" t="s">
        <v>31</v>
      </c>
      <c r="K101" s="2" t="s">
        <v>92</v>
      </c>
      <c r="L101" s="5">
        <v>0.74078965187072798</v>
      </c>
      <c r="M101" s="5">
        <v>-0.86393481492996205</v>
      </c>
      <c r="N101" s="5">
        <v>0.48838838934898399</v>
      </c>
      <c r="O101" s="5">
        <f>EXP(M101)</f>
        <v>0.421500289406326</v>
      </c>
      <c r="Q101" s="16" t="s">
        <v>92</v>
      </c>
      <c r="R101" s="16" t="s">
        <v>31</v>
      </c>
      <c r="S101" s="17">
        <v>7.2248262927799997E-9</v>
      </c>
      <c r="T101" s="16">
        <v>0.55555600000000005</v>
      </c>
      <c r="U101" s="16" t="s">
        <v>942</v>
      </c>
      <c r="V101" s="16">
        <v>1</v>
      </c>
      <c r="W101" s="16" t="s">
        <v>967</v>
      </c>
      <c r="X101" s="16">
        <v>154</v>
      </c>
      <c r="Y101" s="16">
        <v>1826</v>
      </c>
    </row>
    <row r="102" spans="2:25" x14ac:dyDescent="0.2">
      <c r="J102" s="2" t="s">
        <v>31</v>
      </c>
      <c r="K102" s="2" t="s">
        <v>154</v>
      </c>
      <c r="L102" s="5">
        <v>0.73172122240066495</v>
      </c>
      <c r="M102" s="5">
        <v>0.15085642039775801</v>
      </c>
      <c r="N102" s="5">
        <v>0.57998323440551802</v>
      </c>
      <c r="O102" s="5">
        <f>EXP(M102)</f>
        <v>1.1628296874713178</v>
      </c>
      <c r="Q102" s="16" t="s">
        <v>154</v>
      </c>
      <c r="R102" s="16" t="s">
        <v>31</v>
      </c>
      <c r="S102" s="17">
        <v>3.4390173153700002E-8</v>
      </c>
      <c r="T102" s="16">
        <v>0.52879600000000004</v>
      </c>
      <c r="U102" s="16" t="s">
        <v>942</v>
      </c>
      <c r="V102" s="16">
        <v>1</v>
      </c>
      <c r="W102" s="16" t="s">
        <v>967</v>
      </c>
      <c r="X102" s="16">
        <v>154</v>
      </c>
      <c r="Y102" s="16">
        <v>1898</v>
      </c>
    </row>
    <row r="103" spans="2:25" x14ac:dyDescent="0.2">
      <c r="B103" s="21" t="s">
        <v>31</v>
      </c>
      <c r="C103" s="21" t="s">
        <v>28</v>
      </c>
      <c r="D103" s="22">
        <v>0.87734681367874201</v>
      </c>
      <c r="E103" s="22">
        <v>0.22476023435592701</v>
      </c>
      <c r="F103" s="22">
        <v>0.88758307695388805</v>
      </c>
      <c r="G103" s="21" t="s">
        <v>1113</v>
      </c>
      <c r="H103" s="22">
        <f>POWER(10,E103)</f>
        <v>1.6778774384577486</v>
      </c>
      <c r="J103" s="2" t="s">
        <v>31</v>
      </c>
      <c r="K103" s="2" t="s">
        <v>28</v>
      </c>
      <c r="L103" s="5">
        <v>0.79123902320861805</v>
      </c>
      <c r="M103" s="5">
        <v>1.9141055643558499E-2</v>
      </c>
      <c r="N103" s="5">
        <v>0.935968458652496</v>
      </c>
      <c r="O103" s="5">
        <f>EXP(M103)</f>
        <v>1.0193254200804065</v>
      </c>
      <c r="Q103" s="16" t="s">
        <v>28</v>
      </c>
      <c r="R103" s="16" t="s">
        <v>31</v>
      </c>
      <c r="S103" s="17">
        <v>2.15299823525E-8</v>
      </c>
      <c r="T103" s="16">
        <v>0.61111099999999996</v>
      </c>
      <c r="U103" s="16" t="s">
        <v>942</v>
      </c>
      <c r="V103" s="16">
        <v>0.73828125</v>
      </c>
      <c r="W103" s="16" t="s">
        <v>966</v>
      </c>
      <c r="X103" s="16">
        <v>154</v>
      </c>
      <c r="Y103" s="16">
        <v>1251</v>
      </c>
    </row>
    <row r="104" spans="2:25" x14ac:dyDescent="0.2">
      <c r="B104" s="21"/>
      <c r="C104" s="21"/>
      <c r="D104" s="22"/>
      <c r="E104" s="22"/>
      <c r="F104" s="22"/>
      <c r="G104" s="21"/>
      <c r="H104" s="22"/>
      <c r="J104" s="2" t="s">
        <v>160</v>
      </c>
      <c r="K104" s="2" t="s">
        <v>162</v>
      </c>
      <c r="L104" s="5">
        <v>0.76983255147934004</v>
      </c>
      <c r="M104" s="5">
        <v>-0.91478753089904796</v>
      </c>
      <c r="N104" s="5">
        <v>0.83356112241744995</v>
      </c>
      <c r="O104" s="5">
        <f>EXP(M104)</f>
        <v>0.40060173253920578</v>
      </c>
      <c r="Q104" s="16" t="s">
        <v>162</v>
      </c>
      <c r="R104" s="16" t="s">
        <v>160</v>
      </c>
      <c r="S104" s="17">
        <v>1.13877712027E-6</v>
      </c>
      <c r="T104" s="16">
        <v>1</v>
      </c>
      <c r="U104" s="16" t="s">
        <v>942</v>
      </c>
      <c r="V104" s="16">
        <v>0.97959183673469397</v>
      </c>
      <c r="W104" s="16" t="s">
        <v>968</v>
      </c>
      <c r="X104" s="16">
        <v>155</v>
      </c>
      <c r="Y104" s="16">
        <v>2053</v>
      </c>
    </row>
    <row r="105" spans="2:25" x14ac:dyDescent="0.2">
      <c r="B105" s="21" t="s">
        <v>160</v>
      </c>
      <c r="C105" s="21" t="s">
        <v>137</v>
      </c>
      <c r="D105" s="22">
        <v>0.92198365926742598</v>
      </c>
      <c r="E105" s="22">
        <v>3.6909565329551697E-2</v>
      </c>
      <c r="F105" s="22">
        <v>0.87249320745468095</v>
      </c>
      <c r="G105" s="21" t="s">
        <v>1113</v>
      </c>
      <c r="H105" s="22">
        <f>POWER(10,E105)</f>
        <v>1.0887033651896587</v>
      </c>
      <c r="J105" s="2" t="s">
        <v>160</v>
      </c>
      <c r="K105" s="2" t="s">
        <v>137</v>
      </c>
      <c r="L105" s="5">
        <v>0.81420278549194303</v>
      </c>
      <c r="M105" s="5">
        <v>-0.65782409906387296</v>
      </c>
      <c r="N105" s="5">
        <v>0.91601270437240601</v>
      </c>
      <c r="O105" s="5">
        <f>EXP(M105)</f>
        <v>0.5179771762100871</v>
      </c>
      <c r="Q105" s="16" t="s">
        <v>137</v>
      </c>
      <c r="R105" s="16" t="s">
        <v>160</v>
      </c>
      <c r="S105" s="17">
        <v>8.7881775062499994E-15</v>
      </c>
      <c r="T105" s="16">
        <v>0.64634100000000005</v>
      </c>
      <c r="U105" s="16" t="s">
        <v>942</v>
      </c>
      <c r="V105" s="16">
        <v>0.53578336557060002</v>
      </c>
      <c r="W105" s="16" t="s">
        <v>969</v>
      </c>
      <c r="X105" s="16">
        <v>155</v>
      </c>
      <c r="Y105" s="16">
        <v>1356</v>
      </c>
    </row>
    <row r="106" spans="2:25" x14ac:dyDescent="0.2">
      <c r="B106" s="21" t="s">
        <v>160</v>
      </c>
      <c r="C106" s="21" t="s">
        <v>145</v>
      </c>
      <c r="D106" s="22">
        <v>0.89802455902099598</v>
      </c>
      <c r="E106" s="22">
        <v>2.36834764480591</v>
      </c>
      <c r="F106" s="22">
        <v>0.41360166668891901</v>
      </c>
      <c r="G106" s="21" t="s">
        <v>1113</v>
      </c>
      <c r="H106" s="22">
        <f>POWER(10,E106)</f>
        <v>233.53267006746711</v>
      </c>
      <c r="J106" s="2" t="s">
        <v>160</v>
      </c>
      <c r="K106" s="2" t="s">
        <v>145</v>
      </c>
      <c r="L106" s="5">
        <v>0.79897123575210605</v>
      </c>
      <c r="M106" s="5">
        <v>2.0067918300628702</v>
      </c>
      <c r="N106" s="5">
        <v>0.71758347749710105</v>
      </c>
      <c r="O106" s="5">
        <f>EXP(M106)</f>
        <v>7.4394121234878998</v>
      </c>
      <c r="Q106" s="16" t="s">
        <v>145</v>
      </c>
      <c r="R106" s="16" t="s">
        <v>160</v>
      </c>
      <c r="S106" s="17">
        <v>4.1496512295199997E-6</v>
      </c>
      <c r="T106" s="16">
        <v>0.61594199999999999</v>
      </c>
      <c r="U106" s="16" t="s">
        <v>942</v>
      </c>
      <c r="V106" s="16">
        <v>0.43326885880077398</v>
      </c>
      <c r="W106" s="16" t="s">
        <v>969</v>
      </c>
      <c r="X106" s="16">
        <v>155</v>
      </c>
      <c r="Y106" s="16">
        <v>2135</v>
      </c>
    </row>
    <row r="107" spans="2:25" x14ac:dyDescent="0.2">
      <c r="B107" s="21" t="s">
        <v>160</v>
      </c>
      <c r="C107" s="21" t="s">
        <v>144</v>
      </c>
      <c r="D107" s="22">
        <v>0.91794633865356501</v>
      </c>
      <c r="E107" s="22">
        <v>0.462825328111649</v>
      </c>
      <c r="F107" s="22">
        <v>0.59523284435272195</v>
      </c>
      <c r="G107" s="21" t="s">
        <v>1113</v>
      </c>
      <c r="H107" s="22">
        <f>POWER(10,E107)</f>
        <v>2.9028549004443893</v>
      </c>
      <c r="J107" s="2" t="s">
        <v>160</v>
      </c>
      <c r="K107" s="2" t="s">
        <v>144</v>
      </c>
      <c r="L107" s="5">
        <v>0.79361432790756203</v>
      </c>
      <c r="M107" s="5">
        <v>0.81375283002853405</v>
      </c>
      <c r="N107" s="5">
        <v>0.58415424823760997</v>
      </c>
      <c r="O107" s="5">
        <f>EXP(M107)</f>
        <v>2.2563598525588096</v>
      </c>
      <c r="Q107" s="16" t="s">
        <v>144</v>
      </c>
      <c r="R107" s="16" t="s">
        <v>160</v>
      </c>
      <c r="S107" s="17">
        <v>6.0486245723199999E-7</v>
      </c>
      <c r="T107" s="16">
        <v>0.61111099999999996</v>
      </c>
      <c r="U107" s="16" t="s">
        <v>942</v>
      </c>
      <c r="V107" s="16">
        <v>0.53578336557060002</v>
      </c>
      <c r="W107" s="16" t="s">
        <v>969</v>
      </c>
      <c r="X107" s="16">
        <v>155</v>
      </c>
      <c r="Y107" s="16">
        <v>2019</v>
      </c>
    </row>
    <row r="108" spans="2:25" x14ac:dyDescent="0.2">
      <c r="B108" s="21" t="s">
        <v>160</v>
      </c>
      <c r="C108" s="21" t="s">
        <v>140</v>
      </c>
      <c r="D108" s="22">
        <v>0.90455019474029497</v>
      </c>
      <c r="E108" s="22">
        <v>-0.35186120867729198</v>
      </c>
      <c r="F108" s="22">
        <v>0.67807400226592995</v>
      </c>
      <c r="G108" s="21" t="s">
        <v>1113</v>
      </c>
      <c r="H108" s="22">
        <f>POWER(10,E108)</f>
        <v>0.4447733849173155</v>
      </c>
      <c r="J108" s="2" t="s">
        <v>160</v>
      </c>
      <c r="K108" s="2" t="s">
        <v>140</v>
      </c>
      <c r="L108" s="5">
        <v>0.77761739492416404</v>
      </c>
      <c r="M108" s="5">
        <v>-0.171070426702499</v>
      </c>
      <c r="N108" s="5">
        <v>0.75952744483947798</v>
      </c>
      <c r="O108" s="5">
        <f>EXP(M108)</f>
        <v>0.84276221841752019</v>
      </c>
      <c r="Q108" s="16" t="s">
        <v>140</v>
      </c>
      <c r="R108" s="16" t="s">
        <v>160</v>
      </c>
      <c r="S108" s="17">
        <v>7.3616886093400002E-48</v>
      </c>
      <c r="T108" s="16">
        <v>0.77227699999999999</v>
      </c>
      <c r="U108" s="16" t="s">
        <v>942</v>
      </c>
      <c r="V108" s="16">
        <v>0.43326885880077398</v>
      </c>
      <c r="W108" s="16" t="s">
        <v>969</v>
      </c>
      <c r="X108" s="16">
        <v>155</v>
      </c>
      <c r="Y108" s="16">
        <v>342</v>
      </c>
    </row>
    <row r="109" spans="2:25" x14ac:dyDescent="0.2">
      <c r="B109" s="21"/>
      <c r="C109" s="21"/>
      <c r="D109" s="22"/>
      <c r="E109" s="22"/>
      <c r="F109" s="22"/>
      <c r="G109" s="21"/>
      <c r="H109" s="22"/>
      <c r="J109" s="2" t="s">
        <v>160</v>
      </c>
      <c r="K109" s="2" t="s">
        <v>146</v>
      </c>
      <c r="L109" s="5">
        <v>0.78195124864578303</v>
      </c>
      <c r="M109" s="5">
        <v>-1.24112296104431</v>
      </c>
      <c r="N109" s="5">
        <v>0.77260893583297696</v>
      </c>
      <c r="O109" s="5">
        <f>EXP(M109)</f>
        <v>0.28905943312994176</v>
      </c>
      <c r="Q109" s="16" t="s">
        <v>146</v>
      </c>
      <c r="R109" s="16" t="s">
        <v>160</v>
      </c>
      <c r="S109" s="17">
        <v>1.46122111772E-5</v>
      </c>
      <c r="T109" s="16">
        <v>1</v>
      </c>
      <c r="U109" s="16" t="s">
        <v>942</v>
      </c>
      <c r="V109" s="16">
        <v>0.97959183673469397</v>
      </c>
      <c r="W109" s="16" t="s">
        <v>968</v>
      </c>
      <c r="X109" s="16">
        <v>155</v>
      </c>
      <c r="Y109" s="16">
        <v>2204</v>
      </c>
    </row>
    <row r="110" spans="2:25" x14ac:dyDescent="0.2">
      <c r="B110" s="21" t="s">
        <v>160</v>
      </c>
      <c r="C110" s="21" t="s">
        <v>141</v>
      </c>
      <c r="D110" s="22">
        <v>0.91950148344039895</v>
      </c>
      <c r="E110" s="22">
        <v>1.2116916179657</v>
      </c>
      <c r="F110" s="22">
        <v>0.39723700284957902</v>
      </c>
      <c r="G110" s="21" t="s">
        <v>1113</v>
      </c>
      <c r="H110" s="22">
        <f>POWER(10,E110)</f>
        <v>16.281395194881444</v>
      </c>
      <c r="J110" s="2" t="s">
        <v>160</v>
      </c>
      <c r="K110" s="2" t="s">
        <v>141</v>
      </c>
      <c r="L110" s="5">
        <v>0.80437082052230802</v>
      </c>
      <c r="M110" s="5">
        <v>0.85565602779388406</v>
      </c>
      <c r="N110" s="5">
        <v>0.655362188816071</v>
      </c>
      <c r="O110" s="5">
        <f>EXP(M110)</f>
        <v>2.3529174536164463</v>
      </c>
      <c r="Q110" s="16" t="s">
        <v>141</v>
      </c>
      <c r="R110" s="16" t="s">
        <v>160</v>
      </c>
      <c r="S110" s="17">
        <v>4.8146805341099998E-11</v>
      </c>
      <c r="T110" s="16">
        <v>0.68548399999999998</v>
      </c>
      <c r="U110" s="16" t="s">
        <v>942</v>
      </c>
      <c r="V110" s="16">
        <v>0.43326885880077398</v>
      </c>
      <c r="W110" s="16" t="s">
        <v>969</v>
      </c>
      <c r="X110" s="16">
        <v>155</v>
      </c>
      <c r="Y110" s="16">
        <v>1646</v>
      </c>
    </row>
    <row r="111" spans="2:25" x14ac:dyDescent="0.2">
      <c r="B111" s="21" t="s">
        <v>160</v>
      </c>
      <c r="C111" s="21" t="s">
        <v>138</v>
      </c>
      <c r="D111" s="22">
        <v>0.90037250518798795</v>
      </c>
      <c r="E111" s="22">
        <v>0.63610601425170898</v>
      </c>
      <c r="F111" s="22">
        <v>0.49362522363662698</v>
      </c>
      <c r="G111" s="21" t="s">
        <v>1113</v>
      </c>
      <c r="H111" s="22">
        <f>POWER(10,E111)</f>
        <v>4.3261942350506652</v>
      </c>
      <c r="J111" s="2" t="s">
        <v>160</v>
      </c>
      <c r="K111" s="2" t="s">
        <v>138</v>
      </c>
      <c r="L111" s="5">
        <v>0.79329937696456898</v>
      </c>
      <c r="M111" s="5">
        <v>0.62896531820297197</v>
      </c>
      <c r="N111" s="5">
        <v>0.43773901462554898</v>
      </c>
      <c r="O111" s="5">
        <f>EXP(M111)</f>
        <v>1.875668854482943</v>
      </c>
      <c r="Q111" s="16"/>
      <c r="R111" s="16"/>
      <c r="S111" s="17"/>
      <c r="T111" s="16"/>
      <c r="U111" s="16"/>
      <c r="V111" s="16"/>
      <c r="W111" s="16"/>
      <c r="X111" s="16"/>
      <c r="Y111" s="16"/>
    </row>
    <row r="112" spans="2:25" x14ac:dyDescent="0.2">
      <c r="B112" s="21" t="s">
        <v>160</v>
      </c>
      <c r="C112" s="21" t="s">
        <v>161</v>
      </c>
      <c r="D112" s="22">
        <v>0.90695142745971702</v>
      </c>
      <c r="E112" s="22">
        <v>0.67855882644653298</v>
      </c>
      <c r="F112" s="22">
        <v>0.50052112340927102</v>
      </c>
      <c r="G112" s="21" t="s">
        <v>1113</v>
      </c>
      <c r="H112" s="22">
        <f>POWER(10,E112)</f>
        <v>4.7704442679363028</v>
      </c>
      <c r="J112" s="2" t="s">
        <v>160</v>
      </c>
      <c r="K112" s="2" t="s">
        <v>161</v>
      </c>
      <c r="L112" s="5">
        <v>0.79328316450118996</v>
      </c>
      <c r="M112" s="5">
        <v>0.59123748540878296</v>
      </c>
      <c r="N112" s="5">
        <v>0.55218046903610196</v>
      </c>
      <c r="O112" s="5">
        <f>EXP(M112)</f>
        <v>1.806222206596469</v>
      </c>
      <c r="Q112" s="16" t="s">
        <v>161</v>
      </c>
      <c r="R112" s="16" t="s">
        <v>160</v>
      </c>
      <c r="S112" s="17">
        <v>4.6374337149499899E-14</v>
      </c>
      <c r="T112" s="16">
        <v>0.69523800000000002</v>
      </c>
      <c r="U112" s="16" t="s">
        <v>942</v>
      </c>
      <c r="V112" s="16">
        <v>0.53578336557060002</v>
      </c>
      <c r="W112" s="16" t="s">
        <v>969</v>
      </c>
      <c r="X112" s="16">
        <v>155</v>
      </c>
      <c r="Y112" s="16">
        <v>1397</v>
      </c>
    </row>
    <row r="113" spans="2:25" x14ac:dyDescent="0.2">
      <c r="J113" s="2" t="s">
        <v>163</v>
      </c>
      <c r="K113" s="2" t="s">
        <v>173</v>
      </c>
      <c r="L113" s="5">
        <v>0.88519984483718905</v>
      </c>
      <c r="M113" s="5">
        <v>-1.9773101806640601</v>
      </c>
      <c r="N113" s="5">
        <v>0.97537279129028298</v>
      </c>
      <c r="O113" s="5">
        <f>EXP(M113)</f>
        <v>0.13844111853754987</v>
      </c>
      <c r="Q113" s="16" t="s">
        <v>173</v>
      </c>
      <c r="R113" s="16" t="s">
        <v>973</v>
      </c>
      <c r="S113" s="17">
        <v>3.2834259732299999E-19</v>
      </c>
      <c r="T113" s="16">
        <v>0.38461499999999998</v>
      </c>
      <c r="U113" s="16" t="s">
        <v>942</v>
      </c>
      <c r="V113" s="16">
        <v>0.25773195876288701</v>
      </c>
      <c r="W113" s="16" t="s">
        <v>974</v>
      </c>
      <c r="X113" s="16">
        <v>367</v>
      </c>
      <c r="Y113" s="16">
        <v>1081</v>
      </c>
    </row>
    <row r="114" spans="2:25" x14ac:dyDescent="0.2">
      <c r="J114" s="2" t="s">
        <v>163</v>
      </c>
      <c r="K114" s="2" t="s">
        <v>169</v>
      </c>
      <c r="L114" s="5">
        <v>0.88907212018966697</v>
      </c>
      <c r="M114" s="5">
        <v>-2.5278372764587398</v>
      </c>
      <c r="N114" s="5">
        <v>0.99271917343139704</v>
      </c>
      <c r="O114" s="5">
        <f>EXP(M114)</f>
        <v>7.983148715619999E-2</v>
      </c>
      <c r="Q114" s="16" t="s">
        <v>169</v>
      </c>
      <c r="R114" s="16" t="s">
        <v>973</v>
      </c>
      <c r="S114" s="17">
        <v>2.9208630048599899E-127</v>
      </c>
      <c r="T114" s="16">
        <v>0.49275400000000003</v>
      </c>
      <c r="U114" s="16" t="s">
        <v>942</v>
      </c>
      <c r="V114" s="16">
        <v>0.58128469468675703</v>
      </c>
      <c r="W114" s="16" t="s">
        <v>974</v>
      </c>
      <c r="X114" s="16">
        <v>367</v>
      </c>
      <c r="Y114" s="16">
        <v>43</v>
      </c>
    </row>
    <row r="115" spans="2:25" x14ac:dyDescent="0.2">
      <c r="J115" s="2" t="s">
        <v>163</v>
      </c>
      <c r="K115" s="2" t="s">
        <v>170</v>
      </c>
      <c r="L115" s="5">
        <v>0.88430273532867398</v>
      </c>
      <c r="M115" s="5">
        <v>-2.8163146972656299</v>
      </c>
      <c r="N115" s="5">
        <v>0.95360970497131403</v>
      </c>
      <c r="O115" s="5">
        <f>EXP(M115)</f>
        <v>5.9826013918029726E-2</v>
      </c>
      <c r="Q115" s="16" t="s">
        <v>170</v>
      </c>
      <c r="R115" s="16" t="s">
        <v>973</v>
      </c>
      <c r="S115" s="17">
        <v>1.83943985369E-119</v>
      </c>
      <c r="T115" s="16">
        <v>1</v>
      </c>
      <c r="U115" s="16" t="s">
        <v>942</v>
      </c>
      <c r="V115" s="16">
        <v>0.58128469468675703</v>
      </c>
      <c r="W115" s="16" t="s">
        <v>974</v>
      </c>
      <c r="X115" s="16">
        <v>367</v>
      </c>
      <c r="Y115" s="16">
        <v>50</v>
      </c>
    </row>
    <row r="116" spans="2:25" x14ac:dyDescent="0.2">
      <c r="J116" s="2" t="s">
        <v>163</v>
      </c>
      <c r="K116" s="2" t="s">
        <v>116</v>
      </c>
      <c r="L116" s="5">
        <v>0.86606091260910001</v>
      </c>
      <c r="M116" s="5">
        <v>0.62749308347702004</v>
      </c>
      <c r="N116" s="5">
        <v>0.195116117596626</v>
      </c>
      <c r="O116" s="5">
        <f>EXP(M116)</f>
        <v>1.8729094613965585</v>
      </c>
      <c r="Q116" s="16" t="s">
        <v>116</v>
      </c>
      <c r="R116" s="16" t="s">
        <v>163</v>
      </c>
      <c r="S116" s="17">
        <v>1.89546921992E-20</v>
      </c>
      <c r="T116" s="16">
        <v>0.62619800000000003</v>
      </c>
      <c r="U116" s="16" t="s">
        <v>942</v>
      </c>
      <c r="V116" s="16">
        <v>0.105633802816901</v>
      </c>
      <c r="W116" s="16" t="s">
        <v>970</v>
      </c>
      <c r="X116" s="16">
        <v>185</v>
      </c>
      <c r="Y116" s="16">
        <v>1030</v>
      </c>
    </row>
    <row r="117" spans="2:25" x14ac:dyDescent="0.2">
      <c r="J117" s="2" t="s">
        <v>163</v>
      </c>
      <c r="K117" s="2" t="s">
        <v>171</v>
      </c>
      <c r="L117" s="5">
        <v>0.89354717731475797</v>
      </c>
      <c r="M117" s="5">
        <v>-2.92315626144409</v>
      </c>
      <c r="N117" s="5">
        <v>0.98186653852462802</v>
      </c>
      <c r="O117" s="5">
        <f>EXP(M117)</f>
        <v>5.3763726843506068E-2</v>
      </c>
      <c r="Q117" s="16" t="s">
        <v>171</v>
      </c>
      <c r="R117" s="16" t="s">
        <v>973</v>
      </c>
      <c r="S117" s="17">
        <v>2.05537653206E-105</v>
      </c>
      <c r="T117" s="16">
        <v>1</v>
      </c>
      <c r="U117" s="16" t="s">
        <v>942</v>
      </c>
      <c r="V117" s="16">
        <v>0.58128469468675703</v>
      </c>
      <c r="W117" s="16" t="s">
        <v>974</v>
      </c>
      <c r="X117" s="16">
        <v>367</v>
      </c>
      <c r="Y117" s="16">
        <v>66</v>
      </c>
    </row>
    <row r="118" spans="2:25" x14ac:dyDescent="0.2">
      <c r="J118" s="2" t="s">
        <v>163</v>
      </c>
      <c r="K118" s="2" t="s">
        <v>167</v>
      </c>
      <c r="L118" s="5">
        <v>0.87804239988327004</v>
      </c>
      <c r="M118" s="5">
        <v>-1.50506067276001</v>
      </c>
      <c r="N118" s="5">
        <v>0.88407075405120905</v>
      </c>
      <c r="O118" s="5">
        <f>EXP(M118)</f>
        <v>0.22200382383859765</v>
      </c>
      <c r="Q118" s="16" t="s">
        <v>167</v>
      </c>
      <c r="R118" s="16" t="s">
        <v>973</v>
      </c>
      <c r="S118" s="17">
        <v>7.4001447324699999E-205</v>
      </c>
      <c r="T118" s="16">
        <v>1</v>
      </c>
      <c r="U118" s="16" t="s">
        <v>942</v>
      </c>
      <c r="V118" s="16">
        <v>0.58128469468675703</v>
      </c>
      <c r="W118" s="16" t="s">
        <v>974</v>
      </c>
      <c r="X118" s="16">
        <v>367</v>
      </c>
      <c r="Y118" s="16">
        <v>14</v>
      </c>
    </row>
    <row r="119" spans="2:25" x14ac:dyDescent="0.2">
      <c r="J119" s="2" t="s">
        <v>163</v>
      </c>
      <c r="K119" s="2" t="s">
        <v>172</v>
      </c>
      <c r="L119" s="5">
        <v>0.88492357730865501</v>
      </c>
      <c r="M119" s="5">
        <v>-2.9402108192443799</v>
      </c>
      <c r="N119" s="5">
        <v>0.99141472578048695</v>
      </c>
      <c r="O119" s="5">
        <f>EXP(M119)</f>
        <v>5.2854584800083752E-2</v>
      </c>
      <c r="Q119" s="16" t="s">
        <v>172</v>
      </c>
      <c r="R119" s="16" t="s">
        <v>973</v>
      </c>
      <c r="S119" s="17">
        <v>1.5244366745100001E-105</v>
      </c>
      <c r="T119" s="16">
        <v>0.45555600000000002</v>
      </c>
      <c r="U119" s="16" t="s">
        <v>942</v>
      </c>
      <c r="V119" s="16">
        <v>0.25773195876288701</v>
      </c>
      <c r="W119" s="16" t="s">
        <v>974</v>
      </c>
      <c r="X119" s="16">
        <v>367</v>
      </c>
      <c r="Y119" s="16">
        <v>65</v>
      </c>
    </row>
    <row r="120" spans="2:25" x14ac:dyDescent="0.2">
      <c r="J120" s="2" t="s">
        <v>163</v>
      </c>
      <c r="K120" s="2" t="s">
        <v>168</v>
      </c>
      <c r="L120" s="5">
        <v>0.86584419012069702</v>
      </c>
      <c r="M120" s="5">
        <v>-2.9216337203979501</v>
      </c>
      <c r="N120" s="5">
        <v>0.97657018899917603</v>
      </c>
      <c r="O120" s="5">
        <f>EXP(M120)</f>
        <v>5.3845646671744178E-2</v>
      </c>
      <c r="Q120" s="16" t="s">
        <v>168</v>
      </c>
      <c r="R120" s="16" t="s">
        <v>973</v>
      </c>
      <c r="S120" s="17">
        <v>2.05706081565E-151</v>
      </c>
      <c r="T120" s="16">
        <v>1</v>
      </c>
      <c r="U120" s="16" t="s">
        <v>942</v>
      </c>
      <c r="V120" s="16">
        <v>0.25773195876288701</v>
      </c>
      <c r="W120" s="16" t="s">
        <v>974</v>
      </c>
      <c r="X120" s="16">
        <v>367</v>
      </c>
      <c r="Y120" s="16">
        <v>29</v>
      </c>
    </row>
    <row r="121" spans="2:25" x14ac:dyDescent="0.2">
      <c r="J121" s="2" t="s">
        <v>163</v>
      </c>
      <c r="K121" s="2" t="s">
        <v>165</v>
      </c>
      <c r="L121" s="5">
        <v>0.834578156471252</v>
      </c>
      <c r="M121" s="5">
        <v>1.05763506889343</v>
      </c>
      <c r="N121" s="5">
        <v>9.04960706830025E-2</v>
      </c>
      <c r="O121" s="5">
        <f>EXP(M121)</f>
        <v>2.8795529859620888</v>
      </c>
      <c r="Q121" s="16" t="s">
        <v>165</v>
      </c>
      <c r="R121" s="16" t="s">
        <v>971</v>
      </c>
      <c r="S121" s="17">
        <v>4.3882438930199998E-5</v>
      </c>
      <c r="T121" s="16">
        <v>0.38028200000000001</v>
      </c>
      <c r="U121" s="16" t="s">
        <v>942</v>
      </c>
      <c r="V121" s="16">
        <v>0.56739811912225702</v>
      </c>
      <c r="W121" s="16" t="s">
        <v>972</v>
      </c>
      <c r="X121" s="16">
        <v>185</v>
      </c>
      <c r="Y121" s="16">
        <v>2260</v>
      </c>
    </row>
    <row r="122" spans="2:25" x14ac:dyDescent="0.2">
      <c r="J122" s="2" t="s">
        <v>163</v>
      </c>
      <c r="K122" s="2" t="s">
        <v>166</v>
      </c>
      <c r="L122" s="5">
        <v>0.83458846807479903</v>
      </c>
      <c r="M122" s="5">
        <v>-1.90712583065033</v>
      </c>
      <c r="N122" s="5">
        <v>0.85947161912918102</v>
      </c>
      <c r="O122" s="5">
        <f>EXP(M122)</f>
        <v>0.14850660692519457</v>
      </c>
      <c r="Q122" s="16" t="s">
        <v>166</v>
      </c>
      <c r="R122" s="16" t="s">
        <v>973</v>
      </c>
      <c r="S122" s="17">
        <v>2.9355616807799999E-40</v>
      </c>
      <c r="T122" s="16">
        <v>0.730159</v>
      </c>
      <c r="U122" s="16" t="s">
        <v>942</v>
      </c>
      <c r="V122" s="16">
        <v>0.11181601903251399</v>
      </c>
      <c r="W122" s="16" t="s">
        <v>974</v>
      </c>
      <c r="X122" s="16">
        <v>367</v>
      </c>
      <c r="Y122" s="16">
        <v>469</v>
      </c>
    </row>
    <row r="123" spans="2:25" x14ac:dyDescent="0.2">
      <c r="J123" s="2" t="s">
        <v>163</v>
      </c>
      <c r="K123" s="2" t="s">
        <v>164</v>
      </c>
      <c r="L123" s="5">
        <v>0.87700682878494296</v>
      </c>
      <c r="M123" s="5">
        <v>1.06396985054016</v>
      </c>
      <c r="N123" s="5">
        <v>0.36523905396461498</v>
      </c>
      <c r="O123" s="5">
        <f>EXP(M123)</f>
        <v>2.8978522250153613</v>
      </c>
      <c r="Q123" s="16" t="s">
        <v>164</v>
      </c>
      <c r="R123" s="16" t="s">
        <v>971</v>
      </c>
      <c r="S123" s="17">
        <v>2.5426475668699999E-5</v>
      </c>
      <c r="T123" s="16">
        <v>0.34615400000000002</v>
      </c>
      <c r="U123" s="16" t="s">
        <v>942</v>
      </c>
      <c r="V123" s="16">
        <v>0.56739811912225702</v>
      </c>
      <c r="W123" s="16" t="s">
        <v>972</v>
      </c>
      <c r="X123" s="16">
        <v>185</v>
      </c>
      <c r="Y123" s="16">
        <v>2228</v>
      </c>
    </row>
    <row r="124" spans="2:25" x14ac:dyDescent="0.2">
      <c r="B124" s="21" t="s">
        <v>35</v>
      </c>
      <c r="C124" s="21" t="s">
        <v>177</v>
      </c>
      <c r="D124" s="22">
        <v>0.97635191679000899</v>
      </c>
      <c r="E124" s="22">
        <v>-1.28205347061157</v>
      </c>
      <c r="F124" s="22">
        <v>0.85262185335159302</v>
      </c>
      <c r="G124" s="21" t="s">
        <v>1113</v>
      </c>
      <c r="H124" s="22">
        <f>POWER(10,E124)</f>
        <v>5.2233187520885203E-2</v>
      </c>
      <c r="J124" s="2" t="s">
        <v>35</v>
      </c>
      <c r="K124" s="2" t="s">
        <v>177</v>
      </c>
      <c r="L124" s="5">
        <v>0.58045595884323098</v>
      </c>
      <c r="M124" s="5">
        <v>-1.0841710567474401</v>
      </c>
      <c r="N124" s="5">
        <v>0.84207552671432495</v>
      </c>
      <c r="O124" s="5">
        <f>EXP(M124)</f>
        <v>0.33818200342632854</v>
      </c>
      <c r="Q124" s="16" t="s">
        <v>177</v>
      </c>
      <c r="R124" s="16" t="s">
        <v>975</v>
      </c>
      <c r="S124" s="17">
        <v>2.91556947713E-22</v>
      </c>
      <c r="T124" s="16">
        <v>0.78977299999999995</v>
      </c>
      <c r="U124" s="16" t="s">
        <v>942</v>
      </c>
      <c r="V124" s="16">
        <v>0.86676875957121002</v>
      </c>
      <c r="W124" s="16" t="s">
        <v>976</v>
      </c>
      <c r="X124" s="16">
        <v>367</v>
      </c>
      <c r="Y124" s="16">
        <v>451</v>
      </c>
    </row>
    <row r="125" spans="2:25" x14ac:dyDescent="0.2">
      <c r="J125" s="2" t="s">
        <v>35</v>
      </c>
      <c r="K125" s="2" t="s">
        <v>178</v>
      </c>
      <c r="L125" s="5">
        <v>0.58561062812805198</v>
      </c>
      <c r="M125" s="5">
        <v>-1.2164160013198899</v>
      </c>
      <c r="N125" s="5">
        <v>0.83864700794220004</v>
      </c>
      <c r="O125" s="5">
        <f>EXP(M125)</f>
        <v>0.29629016984248024</v>
      </c>
      <c r="Q125" s="16" t="s">
        <v>178</v>
      </c>
      <c r="R125" s="16" t="s">
        <v>975</v>
      </c>
      <c r="S125" s="17">
        <v>1.9387873058499998E-21</v>
      </c>
      <c r="T125" s="16">
        <v>0.57009299999999996</v>
      </c>
      <c r="U125" s="16" t="s">
        <v>942</v>
      </c>
      <c r="V125" s="16">
        <v>0.8</v>
      </c>
      <c r="W125" s="16" t="s">
        <v>977</v>
      </c>
      <c r="X125" s="16">
        <v>367</v>
      </c>
      <c r="Y125" s="16">
        <v>981</v>
      </c>
    </row>
    <row r="126" spans="2:25" x14ac:dyDescent="0.2">
      <c r="B126" s="21" t="s">
        <v>35</v>
      </c>
      <c r="C126" s="21" t="s">
        <v>175</v>
      </c>
      <c r="D126" s="22">
        <v>0.89288657903671298</v>
      </c>
      <c r="E126" s="22">
        <v>2.1396470069885298</v>
      </c>
      <c r="F126" s="22">
        <v>0.31623601913452198</v>
      </c>
      <c r="G126" s="21" t="s">
        <v>1113</v>
      </c>
      <c r="H126" s="22">
        <f>POWER(10,E126)</f>
        <v>137.92627490219877</v>
      </c>
      <c r="J126" s="2" t="s">
        <v>35</v>
      </c>
      <c r="K126" s="2" t="s">
        <v>175</v>
      </c>
      <c r="L126" s="5">
        <v>0.46821218729019198</v>
      </c>
      <c r="M126" s="5">
        <v>2.2413768768310498</v>
      </c>
      <c r="N126" s="5">
        <v>0.17432476580143</v>
      </c>
      <c r="O126" s="5">
        <f>EXP(M126)</f>
        <v>9.406273655637623</v>
      </c>
      <c r="Q126" s="16" t="s">
        <v>175</v>
      </c>
      <c r="R126" s="16" t="s">
        <v>975</v>
      </c>
      <c r="S126" s="17">
        <v>2.9527896299499999E-16</v>
      </c>
      <c r="T126" s="16">
        <v>0.75294099999999997</v>
      </c>
      <c r="U126" s="16" t="s">
        <v>942</v>
      </c>
      <c r="V126" s="16">
        <v>0.86676875957121002</v>
      </c>
      <c r="W126" s="16" t="s">
        <v>976</v>
      </c>
      <c r="X126" s="16">
        <v>367</v>
      </c>
      <c r="Y126" s="16">
        <v>1268</v>
      </c>
    </row>
    <row r="127" spans="2:25" x14ac:dyDescent="0.2">
      <c r="J127" s="2" t="s">
        <v>35</v>
      </c>
      <c r="K127" s="2" t="s">
        <v>179</v>
      </c>
      <c r="L127" s="5">
        <v>0.57373631000518799</v>
      </c>
      <c r="M127" s="5">
        <v>1.0046906471252399</v>
      </c>
      <c r="N127" s="5">
        <v>0.25589862465858498</v>
      </c>
      <c r="O127" s="5">
        <f>EXP(M127)</f>
        <v>2.7310622801646938</v>
      </c>
      <c r="Q127" s="16" t="s">
        <v>179</v>
      </c>
      <c r="R127" s="16" t="s">
        <v>975</v>
      </c>
      <c r="S127" s="17">
        <v>1.6515990648000001E-21</v>
      </c>
      <c r="T127" s="16">
        <v>0.56830599999999998</v>
      </c>
      <c r="U127" s="16" t="s">
        <v>942</v>
      </c>
      <c r="V127" s="16">
        <v>0.8</v>
      </c>
      <c r="W127" s="16" t="s">
        <v>977</v>
      </c>
      <c r="X127" s="16">
        <v>367</v>
      </c>
      <c r="Y127" s="16">
        <v>976</v>
      </c>
    </row>
    <row r="128" spans="2:25" x14ac:dyDescent="0.2">
      <c r="B128" s="21" t="s">
        <v>35</v>
      </c>
      <c r="C128" s="21" t="s">
        <v>99</v>
      </c>
      <c r="D128" s="22">
        <v>0.98144686222076405</v>
      </c>
      <c r="E128" s="22">
        <v>-1.02718341350555</v>
      </c>
      <c r="F128" s="22">
        <v>0.818320453166962</v>
      </c>
      <c r="G128" s="21" t="s">
        <v>1113</v>
      </c>
      <c r="H128" s="22">
        <f>POWER(10,E128)</f>
        <v>9.3932652551811102E-2</v>
      </c>
      <c r="J128" s="2" t="s">
        <v>35</v>
      </c>
      <c r="K128" s="2" t="s">
        <v>99</v>
      </c>
      <c r="L128" s="5">
        <v>0.58508473634719904</v>
      </c>
      <c r="M128" s="5">
        <v>-0.89871859550476096</v>
      </c>
      <c r="N128" s="5">
        <v>0.83551949262618996</v>
      </c>
      <c r="O128" s="5">
        <f>EXP(M128)</f>
        <v>0.40709097386601734</v>
      </c>
      <c r="Q128" s="16" t="s">
        <v>99</v>
      </c>
      <c r="R128" s="16" t="s">
        <v>975</v>
      </c>
      <c r="S128" s="17">
        <v>1.81643252062999E-25</v>
      </c>
      <c r="T128" s="16">
        <v>0.65333300000000005</v>
      </c>
      <c r="U128" s="16" t="s">
        <v>942</v>
      </c>
      <c r="V128" s="16">
        <v>0.86676875957121002</v>
      </c>
      <c r="W128" s="16" t="s">
        <v>976</v>
      </c>
      <c r="X128" s="16">
        <v>367</v>
      </c>
      <c r="Y128" s="16">
        <v>737</v>
      </c>
    </row>
    <row r="129" spans="2:25" x14ac:dyDescent="0.2">
      <c r="B129" s="21" t="s">
        <v>35</v>
      </c>
      <c r="C129" s="21" t="s">
        <v>100</v>
      </c>
      <c r="D129" s="22">
        <v>0.98193800449371305</v>
      </c>
      <c r="E129" s="22">
        <v>-0.93099379539489802</v>
      </c>
      <c r="F129" s="22">
        <v>0.80243229866027799</v>
      </c>
      <c r="G129" s="21" t="s">
        <v>1113</v>
      </c>
      <c r="H129" s="22">
        <f>POWER(10,E129)</f>
        <v>0.11722121123906584</v>
      </c>
      <c r="J129" s="2" t="s">
        <v>35</v>
      </c>
      <c r="K129" s="2" t="s">
        <v>100</v>
      </c>
      <c r="L129" s="5">
        <v>0.58158516883850098</v>
      </c>
      <c r="M129" s="5">
        <v>-1.04016149044037</v>
      </c>
      <c r="N129" s="5">
        <v>0.79751044511795</v>
      </c>
      <c r="O129" s="5">
        <f>EXP(M129)</f>
        <v>0.35339760701519274</v>
      </c>
      <c r="Q129" s="16" t="s">
        <v>100</v>
      </c>
      <c r="R129" s="16" t="s">
        <v>975</v>
      </c>
      <c r="S129" s="17">
        <v>1.1309187632499999E-22</v>
      </c>
      <c r="T129" s="16">
        <v>0.65333300000000005</v>
      </c>
      <c r="U129" s="16" t="s">
        <v>942</v>
      </c>
      <c r="V129" s="16">
        <v>0.86676875957121002</v>
      </c>
      <c r="W129" s="16" t="s">
        <v>976</v>
      </c>
      <c r="X129" s="16">
        <v>367</v>
      </c>
      <c r="Y129" s="16">
        <v>738</v>
      </c>
    </row>
    <row r="130" spans="2:25" x14ac:dyDescent="0.2">
      <c r="B130" s="21" t="s">
        <v>35</v>
      </c>
      <c r="C130" s="21" t="s">
        <v>101</v>
      </c>
      <c r="D130" s="22">
        <v>0.97958177328109697</v>
      </c>
      <c r="E130" s="22">
        <v>-0.32110643386840798</v>
      </c>
      <c r="F130" s="22">
        <v>0.61915802955627397</v>
      </c>
      <c r="G130" s="21" t="s">
        <v>1113</v>
      </c>
      <c r="H130" s="22">
        <f>POWER(10,E130)</f>
        <v>0.4774122584467087</v>
      </c>
      <c r="J130" s="2" t="s">
        <v>35</v>
      </c>
      <c r="K130" s="2" t="s">
        <v>101</v>
      </c>
      <c r="L130" s="5">
        <v>0.58734989166259799</v>
      </c>
      <c r="M130" s="5">
        <v>-0.85476988554000899</v>
      </c>
      <c r="N130" s="5">
        <v>0.75514781475067105</v>
      </c>
      <c r="O130" s="5">
        <f>EXP(M130)</f>
        <v>0.42538106615493615</v>
      </c>
      <c r="Q130" s="16" t="s">
        <v>101</v>
      </c>
      <c r="R130" s="16" t="s">
        <v>975</v>
      </c>
      <c r="S130" s="17">
        <v>3.1500751182099999E-23</v>
      </c>
      <c r="T130" s="16">
        <v>0.65753399999999995</v>
      </c>
      <c r="U130" s="16" t="s">
        <v>942</v>
      </c>
      <c r="V130" s="16">
        <v>0.86676875957121002</v>
      </c>
      <c r="W130" s="16" t="s">
        <v>976</v>
      </c>
      <c r="X130" s="16">
        <v>367</v>
      </c>
      <c r="Y130" s="16">
        <v>740</v>
      </c>
    </row>
    <row r="131" spans="2:25" x14ac:dyDescent="0.2">
      <c r="J131" s="2" t="s">
        <v>35</v>
      </c>
      <c r="K131" s="2" t="s">
        <v>176</v>
      </c>
      <c r="L131" s="5">
        <v>0.58524727821350098</v>
      </c>
      <c r="M131" s="5">
        <v>-1.0942929983139</v>
      </c>
      <c r="N131" s="5">
        <v>0.80080580711364802</v>
      </c>
      <c r="O131" s="5">
        <f>EXP(M131)</f>
        <v>0.33477621064453794</v>
      </c>
      <c r="Q131" s="16" t="s">
        <v>176</v>
      </c>
      <c r="R131" s="16" t="s">
        <v>975</v>
      </c>
      <c r="S131" s="17">
        <v>4.2573652723800001E-21</v>
      </c>
      <c r="T131" s="16">
        <v>0.57065200000000005</v>
      </c>
      <c r="U131" s="16" t="s">
        <v>942</v>
      </c>
      <c r="V131" s="16">
        <v>0.8</v>
      </c>
      <c r="W131" s="16" t="s">
        <v>977</v>
      </c>
      <c r="X131" s="16">
        <v>367</v>
      </c>
      <c r="Y131" s="16">
        <v>1000</v>
      </c>
    </row>
    <row r="132" spans="2:25" x14ac:dyDescent="0.2">
      <c r="B132" s="21" t="s">
        <v>35</v>
      </c>
      <c r="C132" s="21" t="s">
        <v>174</v>
      </c>
      <c r="D132" s="22">
        <v>0.89969682693481501</v>
      </c>
      <c r="E132" s="22">
        <v>2.4893565177917498</v>
      </c>
      <c r="F132" s="22">
        <v>0.189014136791229</v>
      </c>
      <c r="G132" s="21" t="s">
        <v>1113</v>
      </c>
      <c r="H132" s="22">
        <f>POWER(10,E132)</f>
        <v>308.57200171004934</v>
      </c>
      <c r="J132" s="2" t="s">
        <v>35</v>
      </c>
      <c r="K132" s="2" t="s">
        <v>174</v>
      </c>
      <c r="L132" s="5">
        <v>0.52452141046524103</v>
      </c>
      <c r="M132" s="5">
        <v>3.50882196426392</v>
      </c>
      <c r="N132" s="5">
        <v>0.114970520138741</v>
      </c>
      <c r="O132" s="5">
        <f>EXP(M132)</f>
        <v>33.408887729295486</v>
      </c>
      <c r="Q132" s="16" t="s">
        <v>174</v>
      </c>
      <c r="R132" s="16" t="s">
        <v>975</v>
      </c>
      <c r="S132" s="17">
        <v>2.2179650037699999E-15</v>
      </c>
      <c r="T132" s="16">
        <v>0.72413799999999995</v>
      </c>
      <c r="U132" s="16" t="s">
        <v>942</v>
      </c>
      <c r="V132" s="16">
        <v>0.86676875957121002</v>
      </c>
      <c r="W132" s="16" t="s">
        <v>976</v>
      </c>
      <c r="X132" s="16">
        <v>367</v>
      </c>
      <c r="Y132" s="16">
        <v>1312</v>
      </c>
    </row>
    <row r="133" spans="2:25" x14ac:dyDescent="0.2">
      <c r="J133" s="2" t="s">
        <v>180</v>
      </c>
      <c r="K133" s="2" t="s">
        <v>183</v>
      </c>
      <c r="L133" s="5">
        <v>0.77778273820877097</v>
      </c>
      <c r="M133" s="5">
        <v>1.07142245769501</v>
      </c>
      <c r="N133" s="5">
        <v>0.103738158941269</v>
      </c>
      <c r="O133" s="5">
        <f>EXP(M133)</f>
        <v>2.9195294548484871</v>
      </c>
      <c r="Q133" s="16" t="s">
        <v>183</v>
      </c>
      <c r="R133" s="16" t="s">
        <v>1092</v>
      </c>
      <c r="S133" s="17">
        <v>1.89246705187E-29</v>
      </c>
      <c r="T133" s="16">
        <v>0.62322900000000003</v>
      </c>
      <c r="U133" s="16" t="s">
        <v>942</v>
      </c>
      <c r="V133" s="16">
        <v>0.40425531914893598</v>
      </c>
      <c r="W133" s="16" t="s">
        <v>1093</v>
      </c>
      <c r="X133" s="16">
        <v>552</v>
      </c>
      <c r="Y133" s="16">
        <v>735</v>
      </c>
    </row>
    <row r="134" spans="2:25" x14ac:dyDescent="0.2">
      <c r="J134" s="2" t="s">
        <v>180</v>
      </c>
      <c r="K134" s="2" t="s">
        <v>181</v>
      </c>
      <c r="L134" s="5">
        <v>0.74283808469772294</v>
      </c>
      <c r="M134" s="5">
        <v>0.64056628942489602</v>
      </c>
      <c r="N134" s="5">
        <v>0.124148219823837</v>
      </c>
      <c r="O134" s="5">
        <f>EXP(M134)</f>
        <v>1.8975551405140922</v>
      </c>
      <c r="Q134" s="16" t="s">
        <v>181</v>
      </c>
      <c r="R134" s="16" t="s">
        <v>1092</v>
      </c>
      <c r="S134" s="17">
        <v>3.0329394629399998E-15</v>
      </c>
      <c r="T134" s="16">
        <v>0.4375</v>
      </c>
      <c r="U134" s="16" t="s">
        <v>942</v>
      </c>
      <c r="V134" s="16">
        <v>0.40425531914893598</v>
      </c>
      <c r="W134" s="16" t="s">
        <v>1093</v>
      </c>
      <c r="X134" s="16">
        <v>552</v>
      </c>
      <c r="Y134" s="16">
        <v>1325</v>
      </c>
    </row>
    <row r="135" spans="2:25" x14ac:dyDescent="0.2">
      <c r="J135" s="2" t="s">
        <v>180</v>
      </c>
      <c r="K135" s="2" t="s">
        <v>90</v>
      </c>
      <c r="L135" s="5">
        <v>0.75409305095672596</v>
      </c>
      <c r="M135" s="5">
        <v>1.17088234424591</v>
      </c>
      <c r="N135" s="5">
        <v>0.304892808198929</v>
      </c>
      <c r="O135" s="5">
        <f>EXP(M135)</f>
        <v>3.2248367997736018</v>
      </c>
      <c r="Q135" s="16" t="s">
        <v>90</v>
      </c>
      <c r="R135" s="16" t="s">
        <v>1092</v>
      </c>
      <c r="S135" s="17">
        <v>3.5608215722499898E-21</v>
      </c>
      <c r="T135" s="16">
        <v>0.53571400000000002</v>
      </c>
      <c r="U135" s="16" t="s">
        <v>942</v>
      </c>
      <c r="V135" s="16">
        <v>0.40425531914893598</v>
      </c>
      <c r="W135" s="16" t="s">
        <v>1093</v>
      </c>
      <c r="X135" s="16">
        <v>552</v>
      </c>
      <c r="Y135" s="16">
        <v>996</v>
      </c>
    </row>
    <row r="136" spans="2:25" x14ac:dyDescent="0.2">
      <c r="J136" s="2" t="s">
        <v>180</v>
      </c>
      <c r="K136" s="2" t="s">
        <v>182</v>
      </c>
      <c r="L136" s="5">
        <v>0.77215641736984297</v>
      </c>
      <c r="M136" s="5">
        <v>-0.51777637004852295</v>
      </c>
      <c r="N136" s="5">
        <v>0.17818702757358601</v>
      </c>
      <c r="O136" s="5">
        <f>EXP(M136)</f>
        <v>0.5958440125698653</v>
      </c>
      <c r="Q136" s="16" t="s">
        <v>182</v>
      </c>
      <c r="R136" s="16" t="s">
        <v>1092</v>
      </c>
      <c r="S136" s="17">
        <v>7.9660356718099998E-5</v>
      </c>
      <c r="T136" s="16">
        <v>0.32467499999999999</v>
      </c>
      <c r="U136" s="16" t="s">
        <v>942</v>
      </c>
      <c r="V136" s="16">
        <v>0.55851063829787195</v>
      </c>
      <c r="W136" s="16" t="s">
        <v>1093</v>
      </c>
      <c r="X136" s="16">
        <v>552</v>
      </c>
      <c r="Y136" s="16">
        <v>2302</v>
      </c>
    </row>
    <row r="137" spans="2:25" x14ac:dyDescent="0.2">
      <c r="J137" s="2" t="s">
        <v>184</v>
      </c>
      <c r="K137" s="2" t="s">
        <v>186</v>
      </c>
      <c r="L137" s="5">
        <v>0.742534399032593</v>
      </c>
      <c r="M137" s="5">
        <v>0.88017171621322599</v>
      </c>
      <c r="N137" s="5">
        <v>0.21696996688842801</v>
      </c>
      <c r="O137" s="5">
        <f>EXP(M137)</f>
        <v>2.4113137325317444</v>
      </c>
      <c r="Q137" s="16" t="s">
        <v>186</v>
      </c>
      <c r="R137" s="16" t="s">
        <v>1094</v>
      </c>
      <c r="S137" s="17">
        <v>4.3348957756699997E-10</v>
      </c>
      <c r="T137" s="16">
        <v>0.53886000000000001</v>
      </c>
      <c r="U137" s="16" t="s">
        <v>942</v>
      </c>
      <c r="V137" s="16">
        <v>0.59609120521172598</v>
      </c>
      <c r="W137" s="16" t="s">
        <v>1095</v>
      </c>
      <c r="X137" s="16">
        <v>554</v>
      </c>
      <c r="Y137" s="16">
        <v>1348</v>
      </c>
    </row>
    <row r="138" spans="2:25" x14ac:dyDescent="0.2">
      <c r="J138" s="2" t="s">
        <v>184</v>
      </c>
      <c r="K138" s="2" t="s">
        <v>185</v>
      </c>
      <c r="L138" s="5">
        <v>0.75557947158813499</v>
      </c>
      <c r="M138" s="5">
        <v>2.0312223434448198</v>
      </c>
      <c r="N138" s="5">
        <v>0.16936121881008101</v>
      </c>
      <c r="O138" s="5">
        <f>EXP(M138)</f>
        <v>7.6233990778399399</v>
      </c>
      <c r="Q138" s="16" t="s">
        <v>185</v>
      </c>
      <c r="R138" s="16" t="s">
        <v>1094</v>
      </c>
      <c r="S138" s="17">
        <v>1.69494424829E-6</v>
      </c>
      <c r="T138" s="16">
        <v>0.61371799999999999</v>
      </c>
      <c r="U138" s="16" t="s">
        <v>942</v>
      </c>
      <c r="V138" s="16">
        <v>0.60526315789473695</v>
      </c>
      <c r="W138" s="16" t="s">
        <v>1096</v>
      </c>
      <c r="X138" s="16">
        <v>554</v>
      </c>
      <c r="Y138" s="16">
        <v>2082</v>
      </c>
    </row>
    <row r="139" spans="2:25" x14ac:dyDescent="0.2">
      <c r="J139" s="2" t="s">
        <v>187</v>
      </c>
      <c r="K139" s="2" t="s">
        <v>186</v>
      </c>
      <c r="L139" s="5">
        <v>0.58884853124618497</v>
      </c>
      <c r="M139" s="5">
        <v>1.05220794677734</v>
      </c>
      <c r="N139" s="5">
        <v>0.19324445724487299</v>
      </c>
      <c r="O139" s="5">
        <f>EXP(M139)</f>
        <v>2.8639676303354129</v>
      </c>
    </row>
    <row r="140" spans="2:25" x14ac:dyDescent="0.2">
      <c r="J140" s="2" t="s">
        <v>188</v>
      </c>
      <c r="K140" s="2" t="s">
        <v>182</v>
      </c>
      <c r="L140" s="5">
        <v>0.81797552108764704</v>
      </c>
      <c r="M140" s="5">
        <v>0.61340093612670898</v>
      </c>
      <c r="N140" s="5">
        <v>0.38482686877250699</v>
      </c>
      <c r="O140" s="5">
        <f>EXP(M140)</f>
        <v>1.8467012440428361</v>
      </c>
    </row>
    <row r="141" spans="2:25" x14ac:dyDescent="0.2">
      <c r="B141" s="21" t="s">
        <v>189</v>
      </c>
      <c r="C141" s="21" t="s">
        <v>17</v>
      </c>
      <c r="D141" s="22">
        <v>0.83231395483017001</v>
      </c>
      <c r="E141" s="22">
        <v>1.2717148065567001</v>
      </c>
      <c r="F141" s="22">
        <v>0.289344042539597</v>
      </c>
      <c r="G141" s="21" t="s">
        <v>1113</v>
      </c>
      <c r="H141" s="22">
        <f>POWER(10,E141)</f>
        <v>18.69454100016544</v>
      </c>
      <c r="J141" s="2" t="s">
        <v>189</v>
      </c>
      <c r="K141" s="2" t="s">
        <v>17</v>
      </c>
      <c r="L141" s="5">
        <v>0.83721840381622303</v>
      </c>
      <c r="M141" s="5">
        <v>7.4322551488876301E-2</v>
      </c>
      <c r="N141" s="5">
        <v>0.35125613212585499</v>
      </c>
      <c r="O141" s="5">
        <f>EXP(M141)</f>
        <v>1.0771541871557888</v>
      </c>
      <c r="Q141" s="16" t="s">
        <v>17</v>
      </c>
      <c r="R141" s="16" t="s">
        <v>978</v>
      </c>
      <c r="S141" s="17">
        <v>3.01997739038E-8</v>
      </c>
      <c r="T141" s="16">
        <v>0.54807700000000004</v>
      </c>
      <c r="U141" s="16" t="s">
        <v>942</v>
      </c>
      <c r="V141" s="16">
        <v>0.4</v>
      </c>
      <c r="W141" s="16" t="s">
        <v>979</v>
      </c>
      <c r="X141" s="16">
        <v>774</v>
      </c>
      <c r="Y141" s="16">
        <v>1893</v>
      </c>
    </row>
    <row r="142" spans="2:25" x14ac:dyDescent="0.2">
      <c r="B142" s="21" t="s">
        <v>189</v>
      </c>
      <c r="C142" s="21" t="s">
        <v>181</v>
      </c>
      <c r="D142" s="22">
        <v>0.88908272981643699</v>
      </c>
      <c r="E142" s="22">
        <v>0.93638992309570301</v>
      </c>
      <c r="F142" s="22">
        <v>0.304704129695892</v>
      </c>
      <c r="G142" s="21" t="s">
        <v>1113</v>
      </c>
      <c r="H142" s="22">
        <f>POWER(10,E142)</f>
        <v>8.6375370468025352</v>
      </c>
      <c r="J142" s="2" t="s">
        <v>189</v>
      </c>
      <c r="K142" s="2" t="s">
        <v>181</v>
      </c>
      <c r="L142" s="5">
        <v>0.82495653629303001</v>
      </c>
      <c r="M142" s="5">
        <v>1.3556836843490601</v>
      </c>
      <c r="N142" s="5">
        <v>0.57738113403320301</v>
      </c>
      <c r="O142" s="5">
        <f>EXP(M142)</f>
        <v>3.8794123436769121</v>
      </c>
      <c r="Q142" s="16" t="s">
        <v>181</v>
      </c>
      <c r="R142" s="16" t="s">
        <v>978</v>
      </c>
      <c r="S142" s="17">
        <v>2.99275526377E-26</v>
      </c>
      <c r="T142" s="16">
        <v>0.57613199999999998</v>
      </c>
      <c r="U142" s="16" t="s">
        <v>942</v>
      </c>
      <c r="V142" s="16">
        <v>0.4</v>
      </c>
      <c r="W142" s="16" t="s">
        <v>979</v>
      </c>
      <c r="X142" s="16">
        <v>774</v>
      </c>
      <c r="Y142" s="16">
        <v>821</v>
      </c>
    </row>
    <row r="143" spans="2:25" x14ac:dyDescent="0.2">
      <c r="B143" s="21" t="s">
        <v>190</v>
      </c>
      <c r="C143" s="21" t="s">
        <v>26</v>
      </c>
      <c r="D143" s="22">
        <v>0.84248250722885099</v>
      </c>
      <c r="E143" s="22">
        <v>1.1070969104766799</v>
      </c>
      <c r="F143" s="22">
        <v>0.13489355146884899</v>
      </c>
      <c r="G143" s="21" t="s">
        <v>1113</v>
      </c>
      <c r="H143" s="22">
        <f>POWER(10,E143)</f>
        <v>12.796668230659627</v>
      </c>
      <c r="J143" s="2" t="s">
        <v>190</v>
      </c>
      <c r="K143" s="2" t="s">
        <v>26</v>
      </c>
      <c r="L143" s="5">
        <v>0.57373744249343905</v>
      </c>
      <c r="M143" s="5">
        <v>0.76410716772079501</v>
      </c>
      <c r="N143" s="5">
        <v>0.26801028847694403</v>
      </c>
      <c r="O143" s="5">
        <f>EXP(M143)</f>
        <v>2.147076539389714</v>
      </c>
      <c r="Q143" s="16" t="s">
        <v>26</v>
      </c>
      <c r="R143" s="16" t="s">
        <v>980</v>
      </c>
      <c r="S143" s="17">
        <v>1.30079970322E-12</v>
      </c>
      <c r="T143" s="16">
        <v>0.59278399999999998</v>
      </c>
      <c r="U143" s="16" t="s">
        <v>942</v>
      </c>
      <c r="V143" s="16">
        <v>0.32530120481927699</v>
      </c>
      <c r="W143" s="16" t="s">
        <v>981</v>
      </c>
      <c r="X143" s="16">
        <v>775</v>
      </c>
      <c r="Y143" s="16">
        <v>1507</v>
      </c>
    </row>
    <row r="144" spans="2:25" x14ac:dyDescent="0.2">
      <c r="B144" s="21" t="s">
        <v>190</v>
      </c>
      <c r="C144" s="21" t="s">
        <v>18</v>
      </c>
      <c r="D144" s="22">
        <v>0.85003072023391701</v>
      </c>
      <c r="E144" s="22">
        <v>0.57839393615722701</v>
      </c>
      <c r="F144" s="22">
        <v>0.210150927305222</v>
      </c>
      <c r="G144" s="21" t="s">
        <v>1113</v>
      </c>
      <c r="H144" s="22">
        <f>POWER(10,E144)</f>
        <v>3.7878601494320678</v>
      </c>
      <c r="J144" s="2" t="s">
        <v>190</v>
      </c>
      <c r="K144" s="2" t="s">
        <v>18</v>
      </c>
      <c r="L144" s="5">
        <v>0.53352278470992998</v>
      </c>
      <c r="M144" s="5">
        <v>1.36165606975555</v>
      </c>
      <c r="N144" s="5">
        <v>0.38931810855865501</v>
      </c>
      <c r="O144" s="5">
        <f>EXP(M144)</f>
        <v>3.9026510154203136</v>
      </c>
      <c r="Q144" s="18" t="s">
        <v>18</v>
      </c>
      <c r="R144" s="18" t="s">
        <v>980</v>
      </c>
      <c r="S144" s="19">
        <v>7.9500000000000004E-8</v>
      </c>
      <c r="T144" s="18">
        <v>0.50320500000000001</v>
      </c>
      <c r="U144" s="18" t="s">
        <v>942</v>
      </c>
      <c r="V144" s="18">
        <v>0.32530120499999998</v>
      </c>
      <c r="W144" s="18" t="s">
        <v>981</v>
      </c>
      <c r="X144" s="18">
        <v>775</v>
      </c>
      <c r="Y144" s="18">
        <v>1935</v>
      </c>
    </row>
    <row r="145" spans="2:25" x14ac:dyDescent="0.2">
      <c r="B145" s="21" t="s">
        <v>190</v>
      </c>
      <c r="C145" s="21" t="s">
        <v>191</v>
      </c>
      <c r="D145" s="22">
        <v>0.77921378612518299</v>
      </c>
      <c r="E145" s="22">
        <v>0.21985086798667899</v>
      </c>
      <c r="F145" s="22">
        <v>0.36694982647895802</v>
      </c>
      <c r="G145" s="21" t="s">
        <v>1113</v>
      </c>
      <c r="H145" s="22">
        <f>POWER(10,E145)</f>
        <v>1.6590171211336178</v>
      </c>
      <c r="J145" s="2" t="s">
        <v>190</v>
      </c>
      <c r="K145" s="2" t="s">
        <v>191</v>
      </c>
      <c r="L145" s="5">
        <v>0.51993864774704002</v>
      </c>
      <c r="M145" s="5">
        <v>0.62434685230255105</v>
      </c>
      <c r="N145" s="5">
        <v>0.36933392286300698</v>
      </c>
      <c r="O145" s="5">
        <f>EXP(M145)</f>
        <v>1.8670261152987633</v>
      </c>
      <c r="Q145" s="16" t="s">
        <v>191</v>
      </c>
      <c r="R145" s="16" t="s">
        <v>980</v>
      </c>
      <c r="S145" s="17">
        <v>3.5410295638799999E-13</v>
      </c>
      <c r="T145" s="16">
        <v>0.62427699999999997</v>
      </c>
      <c r="U145" s="16" t="s">
        <v>942</v>
      </c>
      <c r="V145" s="16">
        <v>0.32530120481927699</v>
      </c>
      <c r="W145" s="16" t="s">
        <v>981</v>
      </c>
      <c r="X145" s="16">
        <v>775</v>
      </c>
      <c r="Y145" s="16">
        <v>1466</v>
      </c>
    </row>
    <row r="146" spans="2:25" x14ac:dyDescent="0.2">
      <c r="B146" s="21" t="s">
        <v>190</v>
      </c>
      <c r="C146" s="21" t="s">
        <v>193</v>
      </c>
      <c r="D146" s="22">
        <v>0.85046559572219904</v>
      </c>
      <c r="E146" s="22">
        <v>1.03050637245178</v>
      </c>
      <c r="F146" s="22">
        <v>0.40617772936821001</v>
      </c>
      <c r="G146" s="21" t="s">
        <v>1113</v>
      </c>
      <c r="H146" s="22">
        <f>POWER(10,E146)</f>
        <v>10.727693885859447</v>
      </c>
      <c r="J146" s="2" t="s">
        <v>190</v>
      </c>
      <c r="K146" s="2" t="s">
        <v>193</v>
      </c>
      <c r="L146" s="5">
        <v>0.55494052171707198</v>
      </c>
      <c r="M146" s="5">
        <v>0.80602449178695701</v>
      </c>
      <c r="N146" s="5">
        <v>0.191941037774086</v>
      </c>
      <c r="O146" s="5">
        <f>EXP(M146)</f>
        <v>2.2389891502136776</v>
      </c>
      <c r="Q146" s="16" t="s">
        <v>193</v>
      </c>
      <c r="R146" s="16" t="s">
        <v>980</v>
      </c>
      <c r="S146" s="17">
        <v>1.6875893751199998E-5</v>
      </c>
      <c r="T146" s="16">
        <v>0.53370799999999996</v>
      </c>
      <c r="U146" s="16" t="s">
        <v>942</v>
      </c>
      <c r="V146" s="16">
        <v>0.71428571428571397</v>
      </c>
      <c r="W146" s="16" t="s">
        <v>982</v>
      </c>
      <c r="X146" s="16">
        <v>775</v>
      </c>
      <c r="Y146" s="16">
        <v>2212</v>
      </c>
    </row>
    <row r="147" spans="2:25" x14ac:dyDescent="0.2">
      <c r="B147" s="21" t="s">
        <v>190</v>
      </c>
      <c r="C147" s="21" t="s">
        <v>154</v>
      </c>
      <c r="D147" s="22">
        <v>0.84179508686065696</v>
      </c>
      <c r="E147" s="22">
        <v>1.45344078540802</v>
      </c>
      <c r="F147" s="22">
        <v>0.37358263134956399</v>
      </c>
      <c r="G147" s="21" t="s">
        <v>1113</v>
      </c>
      <c r="H147" s="22">
        <f>POWER(10,E147)</f>
        <v>28.408008249379815</v>
      </c>
      <c r="J147" s="2" t="s">
        <v>190</v>
      </c>
      <c r="K147" s="2" t="s">
        <v>154</v>
      </c>
      <c r="L147" s="5">
        <v>0.56739228963851895</v>
      </c>
      <c r="M147" s="5">
        <v>1.3264423608779901</v>
      </c>
      <c r="N147" s="5">
        <v>0.46062502264976501</v>
      </c>
      <c r="O147" s="5">
        <f>EXP(M147)</f>
        <v>3.7676156992883443</v>
      </c>
      <c r="Q147" s="16" t="s">
        <v>154</v>
      </c>
      <c r="R147" s="16" t="s">
        <v>980</v>
      </c>
      <c r="S147" s="17">
        <v>3.6484445758099998E-13</v>
      </c>
      <c r="T147" s="16">
        <v>0.57333299999999998</v>
      </c>
      <c r="U147" s="16" t="s">
        <v>942</v>
      </c>
      <c r="V147" s="16">
        <v>0.32530120481927699</v>
      </c>
      <c r="W147" s="16" t="s">
        <v>981</v>
      </c>
      <c r="X147" s="16">
        <v>775</v>
      </c>
      <c r="Y147" s="16">
        <v>1468</v>
      </c>
    </row>
    <row r="148" spans="2:25" x14ac:dyDescent="0.2">
      <c r="B148" s="21" t="s">
        <v>190</v>
      </c>
      <c r="C148" s="21" t="s">
        <v>192</v>
      </c>
      <c r="D148" s="22">
        <v>0.88392698764801003</v>
      </c>
      <c r="E148" s="22">
        <v>0.96473073959350597</v>
      </c>
      <c r="F148" s="22">
        <v>0.53216302394866899</v>
      </c>
      <c r="G148" s="21" t="s">
        <v>1113</v>
      </c>
      <c r="H148" s="22">
        <f>POWER(10,E148)</f>
        <v>9.2199961476324095</v>
      </c>
      <c r="J148" s="2" t="s">
        <v>190</v>
      </c>
      <c r="K148" s="2" t="s">
        <v>192</v>
      </c>
      <c r="L148" s="5">
        <v>0.53713124990463301</v>
      </c>
      <c r="M148" s="5">
        <v>1.1245864629745499</v>
      </c>
      <c r="N148" s="5">
        <v>0.40214034914970398</v>
      </c>
      <c r="O148" s="5">
        <f>EXP(M148)</f>
        <v>3.0789433285466505</v>
      </c>
      <c r="Q148" s="16" t="s">
        <v>192</v>
      </c>
      <c r="R148" s="16" t="s">
        <v>980</v>
      </c>
      <c r="S148" s="17">
        <v>6.0992178682399998E-16</v>
      </c>
      <c r="T148" s="16">
        <v>0.66341499999999998</v>
      </c>
      <c r="U148" s="16" t="s">
        <v>942</v>
      </c>
      <c r="V148" s="16">
        <v>0.32530120481927699</v>
      </c>
      <c r="W148" s="16" t="s">
        <v>981</v>
      </c>
      <c r="X148" s="16">
        <v>775</v>
      </c>
      <c r="Y148" s="16">
        <v>1289</v>
      </c>
    </row>
    <row r="149" spans="2:25" x14ac:dyDescent="0.2">
      <c r="B149" s="21" t="s">
        <v>194</v>
      </c>
      <c r="C149" s="21" t="s">
        <v>186</v>
      </c>
      <c r="D149" s="22">
        <v>0.80185157060623202</v>
      </c>
      <c r="E149" s="22">
        <v>-9.8682008683681502E-2</v>
      </c>
      <c r="F149" s="22">
        <v>0.64874184131622303</v>
      </c>
      <c r="G149" s="21" t="s">
        <v>1113</v>
      </c>
      <c r="H149" s="22">
        <f>POWER(10,E149)</f>
        <v>0.79674251340800906</v>
      </c>
      <c r="J149" s="2" t="s">
        <v>194</v>
      </c>
      <c r="K149" s="2" t="s">
        <v>186</v>
      </c>
      <c r="L149" s="5">
        <v>0.80440789461135898</v>
      </c>
      <c r="M149" s="5">
        <v>-0.207069486379623</v>
      </c>
      <c r="N149" s="5">
        <v>0.46543657779693598</v>
      </c>
      <c r="O149" s="5">
        <f>EXP(M149)</f>
        <v>0.81296315815826004</v>
      </c>
      <c r="Q149" s="16" t="s">
        <v>186</v>
      </c>
      <c r="R149" s="16" t="s">
        <v>194</v>
      </c>
      <c r="S149" s="17">
        <v>8.3341144152200006E-28</v>
      </c>
      <c r="T149" s="16">
        <v>0.72237200000000001</v>
      </c>
      <c r="U149" s="16" t="s">
        <v>942</v>
      </c>
      <c r="V149" s="16">
        <v>0.63849765258215996</v>
      </c>
      <c r="W149" s="16" t="s">
        <v>983</v>
      </c>
      <c r="X149" s="16">
        <v>886</v>
      </c>
      <c r="Y149" s="16">
        <v>765</v>
      </c>
    </row>
    <row r="150" spans="2:25" x14ac:dyDescent="0.2">
      <c r="B150" s="21" t="s">
        <v>194</v>
      </c>
      <c r="C150" s="21" t="s">
        <v>202</v>
      </c>
      <c r="D150" s="22">
        <v>0.80306476354598999</v>
      </c>
      <c r="E150" s="22">
        <v>0.49220165610313399</v>
      </c>
      <c r="F150" s="22">
        <v>0.28563600778579701</v>
      </c>
      <c r="G150" s="21" t="s">
        <v>1113</v>
      </c>
      <c r="H150" s="22">
        <f>POWER(10,E150)</f>
        <v>3.1060014640555709</v>
      </c>
      <c r="J150" s="2" t="s">
        <v>194</v>
      </c>
      <c r="K150" s="2" t="s">
        <v>202</v>
      </c>
      <c r="L150" s="5">
        <v>0.74658876657485995</v>
      </c>
      <c r="M150" s="5">
        <v>0.82008916139602706</v>
      </c>
      <c r="N150" s="5">
        <v>0.259941726922989</v>
      </c>
      <c r="O150" s="5">
        <f>EXP(M150)</f>
        <v>2.270702287492826</v>
      </c>
      <c r="Q150" s="16" t="s">
        <v>202</v>
      </c>
      <c r="R150" s="16" t="s">
        <v>194</v>
      </c>
      <c r="S150" s="17">
        <v>6.2986035620500005E-7</v>
      </c>
      <c r="T150" s="16">
        <v>0.550562</v>
      </c>
      <c r="U150" s="16" t="s">
        <v>942</v>
      </c>
      <c r="V150" s="16">
        <v>0.63849765258215996</v>
      </c>
      <c r="W150" s="16" t="s">
        <v>983</v>
      </c>
      <c r="X150" s="16">
        <v>886</v>
      </c>
      <c r="Y150" s="16">
        <v>107</v>
      </c>
    </row>
    <row r="151" spans="2:25" x14ac:dyDescent="0.2">
      <c r="B151" s="21" t="s">
        <v>194</v>
      </c>
      <c r="C151" s="21" t="s">
        <v>197</v>
      </c>
      <c r="D151" s="22">
        <v>0.75155192613601696</v>
      </c>
      <c r="E151" s="22">
        <v>-0.26289698481559798</v>
      </c>
      <c r="F151" s="22">
        <v>0.37630426883697499</v>
      </c>
      <c r="G151" s="21" t="s">
        <v>1113</v>
      </c>
      <c r="H151" s="22">
        <f>POWER(10,E151)</f>
        <v>0.54588733088067798</v>
      </c>
      <c r="J151" s="2" t="s">
        <v>194</v>
      </c>
      <c r="K151" s="2" t="s">
        <v>197</v>
      </c>
      <c r="L151" s="5">
        <v>0.72385084629058805</v>
      </c>
      <c r="M151" s="5">
        <v>0.302739977836609</v>
      </c>
      <c r="N151" s="5">
        <v>0.31649717688560502</v>
      </c>
      <c r="O151" s="5">
        <f>EXP(M151)</f>
        <v>1.353562462440342</v>
      </c>
      <c r="Q151" s="16" t="s">
        <v>197</v>
      </c>
      <c r="R151" s="16" t="s">
        <v>194</v>
      </c>
      <c r="S151" s="17">
        <v>6.8491353255599998E-8</v>
      </c>
      <c r="T151" s="16">
        <v>0.41428599999999999</v>
      </c>
      <c r="U151" s="16" t="s">
        <v>942</v>
      </c>
      <c r="V151" s="16">
        <v>0.63849765258215996</v>
      </c>
      <c r="W151" s="16" t="s">
        <v>983</v>
      </c>
      <c r="X151" s="16">
        <v>886</v>
      </c>
      <c r="Y151" s="16">
        <v>126</v>
      </c>
    </row>
    <row r="152" spans="2:25" x14ac:dyDescent="0.2">
      <c r="B152" s="21"/>
      <c r="C152" s="21"/>
      <c r="D152" s="22"/>
      <c r="E152" s="22"/>
      <c r="F152" s="22"/>
      <c r="G152" s="21"/>
      <c r="H152" s="22"/>
      <c r="J152" s="2" t="s">
        <v>194</v>
      </c>
      <c r="K152" s="2" t="s">
        <v>205</v>
      </c>
      <c r="L152" s="5">
        <v>0.73043519258499201</v>
      </c>
      <c r="M152" s="5">
        <v>0.10079866647720299</v>
      </c>
      <c r="N152" s="5">
        <v>9.4293408095836598E-2</v>
      </c>
      <c r="O152" s="5">
        <f>EXP(M152)</f>
        <v>1.1060539336100101</v>
      </c>
      <c r="Q152" s="16" t="s">
        <v>205</v>
      </c>
      <c r="R152" s="16" t="s">
        <v>194</v>
      </c>
      <c r="S152" s="17">
        <v>6.2650666031399995E-17</v>
      </c>
      <c r="T152" s="16">
        <v>0.31914900000000002</v>
      </c>
      <c r="U152" s="16" t="s">
        <v>942</v>
      </c>
      <c r="V152" s="16">
        <v>0.21212121212121199</v>
      </c>
      <c r="W152" s="16" t="s">
        <v>984</v>
      </c>
      <c r="X152" s="16">
        <v>886</v>
      </c>
      <c r="Y152" s="16">
        <v>1227</v>
      </c>
    </row>
    <row r="153" spans="2:25" x14ac:dyDescent="0.2">
      <c r="B153" s="21"/>
      <c r="C153" s="21"/>
      <c r="D153" s="22"/>
      <c r="E153" s="22"/>
      <c r="F153" s="22"/>
      <c r="G153" s="21"/>
      <c r="H153" s="22"/>
      <c r="J153" s="2" t="s">
        <v>194</v>
      </c>
      <c r="K153" s="2" t="s">
        <v>204</v>
      </c>
      <c r="L153" s="5">
        <v>0.76995074748992898</v>
      </c>
      <c r="M153" s="5">
        <v>-0.481162428855896</v>
      </c>
      <c r="N153" s="5">
        <v>0.61799919605255105</v>
      </c>
      <c r="O153" s="5">
        <f>EXP(M153)</f>
        <v>0.61806451803671048</v>
      </c>
      <c r="Q153" s="16" t="s">
        <v>204</v>
      </c>
      <c r="R153" s="16" t="s">
        <v>194</v>
      </c>
      <c r="S153" s="17">
        <v>7.6773894117600005E-6</v>
      </c>
      <c r="T153" s="16">
        <v>0.542601</v>
      </c>
      <c r="U153" s="16" t="s">
        <v>942</v>
      </c>
      <c r="V153" s="16">
        <v>0.48484848484848497</v>
      </c>
      <c r="W153" s="16" t="s">
        <v>984</v>
      </c>
      <c r="X153" s="16">
        <v>886</v>
      </c>
      <c r="Y153" s="16">
        <v>2172</v>
      </c>
    </row>
    <row r="154" spans="2:25" x14ac:dyDescent="0.2">
      <c r="B154" s="21"/>
      <c r="C154" s="21"/>
      <c r="D154" s="22"/>
      <c r="E154" s="22"/>
      <c r="F154" s="22"/>
      <c r="G154" s="21"/>
      <c r="H154" s="22"/>
      <c r="J154" s="2" t="s">
        <v>194</v>
      </c>
      <c r="K154" s="2" t="s">
        <v>201</v>
      </c>
      <c r="L154" s="5">
        <v>0.73825109004974399</v>
      </c>
      <c r="M154" s="5">
        <v>0.18368715047836301</v>
      </c>
      <c r="N154" s="5">
        <v>0.36374220252037098</v>
      </c>
      <c r="O154" s="5">
        <f>EXP(M154)</f>
        <v>1.2016398318384549</v>
      </c>
      <c r="Q154" s="16"/>
      <c r="R154" s="16"/>
      <c r="S154" s="17"/>
      <c r="T154" s="16"/>
      <c r="U154" s="16"/>
      <c r="V154" s="16"/>
      <c r="W154" s="16"/>
      <c r="X154" s="16"/>
      <c r="Y154" s="16"/>
    </row>
    <row r="155" spans="2:25" x14ac:dyDescent="0.2">
      <c r="B155" s="21" t="s">
        <v>194</v>
      </c>
      <c r="C155" s="21" t="s">
        <v>156</v>
      </c>
      <c r="D155" s="22">
        <v>0.79125607013702404</v>
      </c>
      <c r="E155" s="22">
        <v>0.27043643593788103</v>
      </c>
      <c r="F155" s="22">
        <v>6.8611271679401398E-2</v>
      </c>
      <c r="G155" s="21" t="s">
        <v>1113</v>
      </c>
      <c r="H155" s="22">
        <f>POWER(10,E155)</f>
        <v>1.8639593460993211</v>
      </c>
      <c r="J155" s="2" t="s">
        <v>194</v>
      </c>
      <c r="K155" s="2" t="s">
        <v>156</v>
      </c>
      <c r="L155" s="5">
        <v>0.79535275697708097</v>
      </c>
      <c r="M155" s="5">
        <v>0.53874731063842796</v>
      </c>
      <c r="N155" s="5">
        <v>7.3766298592090607E-2</v>
      </c>
      <c r="O155" s="5">
        <f>EXP(M155)</f>
        <v>1.7138585844874521</v>
      </c>
      <c r="Q155" s="16" t="s">
        <v>156</v>
      </c>
      <c r="R155" s="16" t="s">
        <v>194</v>
      </c>
      <c r="S155" s="17">
        <v>4.4390404114699997E-20</v>
      </c>
      <c r="T155" s="16">
        <v>0.56603800000000004</v>
      </c>
      <c r="U155" s="16" t="s">
        <v>942</v>
      </c>
      <c r="V155" s="16">
        <v>0.63849765258215996</v>
      </c>
      <c r="W155" s="16" t="s">
        <v>983</v>
      </c>
      <c r="X155" s="16">
        <v>886</v>
      </c>
      <c r="Y155" s="16">
        <v>1044</v>
      </c>
    </row>
    <row r="156" spans="2:25" x14ac:dyDescent="0.2">
      <c r="B156" s="21" t="s">
        <v>194</v>
      </c>
      <c r="C156" s="21" t="s">
        <v>200</v>
      </c>
      <c r="D156" s="22">
        <v>0.76814240217208896</v>
      </c>
      <c r="E156" s="22">
        <v>0.64131009578704801</v>
      </c>
      <c r="F156" s="22">
        <v>0.40029013156890902</v>
      </c>
      <c r="G156" s="21" t="s">
        <v>1113</v>
      </c>
      <c r="H156" s="22">
        <f>POWER(10,E156)</f>
        <v>4.3783461709601976</v>
      </c>
      <c r="J156" s="2" t="s">
        <v>194</v>
      </c>
      <c r="K156" s="2" t="s">
        <v>200</v>
      </c>
      <c r="L156" s="5">
        <v>0.767142653465271</v>
      </c>
      <c r="M156" s="5">
        <v>0.4996337890625</v>
      </c>
      <c r="N156" s="5">
        <v>0.40037631988525402</v>
      </c>
      <c r="O156" s="5">
        <f>EXP(M156)</f>
        <v>1.6481176014797909</v>
      </c>
      <c r="Q156" s="16" t="s">
        <v>200</v>
      </c>
      <c r="R156" s="16" t="s">
        <v>194</v>
      </c>
      <c r="S156" s="17">
        <v>6.3578471376499997E-9</v>
      </c>
      <c r="T156" s="16">
        <v>0.63363400000000003</v>
      </c>
      <c r="U156" s="16" t="s">
        <v>942</v>
      </c>
      <c r="V156" s="16">
        <v>0.63849765258215996</v>
      </c>
      <c r="W156" s="16" t="s">
        <v>983</v>
      </c>
      <c r="X156" s="16">
        <v>886</v>
      </c>
      <c r="Y156" s="16">
        <v>61</v>
      </c>
    </row>
    <row r="157" spans="2:25" x14ac:dyDescent="0.2">
      <c r="B157" s="21" t="s">
        <v>194</v>
      </c>
      <c r="C157" s="21" t="s">
        <v>198</v>
      </c>
      <c r="D157" s="22">
        <v>0.78148543834686302</v>
      </c>
      <c r="E157" s="22">
        <v>0.71101969480514504</v>
      </c>
      <c r="F157" s="22">
        <v>0.18666407465934801</v>
      </c>
      <c r="G157" s="21" t="s">
        <v>1113</v>
      </c>
      <c r="H157" s="22">
        <f>POWER(10,E157)</f>
        <v>5.1406696345843548</v>
      </c>
      <c r="J157" s="2" t="s">
        <v>194</v>
      </c>
      <c r="K157" s="2" t="s">
        <v>198</v>
      </c>
      <c r="L157" s="5">
        <v>0.77151978015899703</v>
      </c>
      <c r="M157" s="5">
        <v>0.95698797702789296</v>
      </c>
      <c r="N157" s="5">
        <v>0.200806304812431</v>
      </c>
      <c r="O157" s="5">
        <f>EXP(M157)</f>
        <v>2.6038418187873997</v>
      </c>
      <c r="Q157" s="16" t="s">
        <v>198</v>
      </c>
      <c r="R157" s="16" t="s">
        <v>194</v>
      </c>
      <c r="S157" s="17">
        <v>3.4573947011299998E-11</v>
      </c>
      <c r="T157" s="16">
        <v>0.66987200000000002</v>
      </c>
      <c r="U157" s="16" t="s">
        <v>942</v>
      </c>
      <c r="V157" s="16">
        <v>0.63849765258215996</v>
      </c>
      <c r="W157" s="16" t="s">
        <v>983</v>
      </c>
      <c r="X157" s="16">
        <v>886</v>
      </c>
      <c r="Y157" s="16">
        <v>42</v>
      </c>
    </row>
    <row r="158" spans="2:25" x14ac:dyDescent="0.2">
      <c r="B158" s="21" t="s">
        <v>194</v>
      </c>
      <c r="C158" s="21" t="s">
        <v>196</v>
      </c>
      <c r="D158" s="22">
        <v>0.76958292722702004</v>
      </c>
      <c r="E158" s="22">
        <v>0.27113845944404602</v>
      </c>
      <c r="F158" s="22">
        <v>0.30925729870796198</v>
      </c>
      <c r="G158" s="21" t="s">
        <v>1113</v>
      </c>
      <c r="H158" s="22">
        <f>POWER(10,E158)</f>
        <v>1.8669748148881065</v>
      </c>
      <c r="J158" s="2" t="s">
        <v>194</v>
      </c>
      <c r="K158" s="2" t="s">
        <v>196</v>
      </c>
      <c r="L158" s="5">
        <v>0.77839875221252397</v>
      </c>
      <c r="M158" s="5">
        <v>0.25381511449813798</v>
      </c>
      <c r="N158" s="5">
        <v>0.25952160358428999</v>
      </c>
      <c r="O158" s="5">
        <f>EXP(M158)</f>
        <v>1.2889334771240815</v>
      </c>
      <c r="Q158" s="16" t="s">
        <v>196</v>
      </c>
      <c r="R158" s="16" t="s">
        <v>194</v>
      </c>
      <c r="S158" s="17">
        <v>8.3807984996299998E-9</v>
      </c>
      <c r="T158" s="16">
        <v>0.62017800000000001</v>
      </c>
      <c r="U158" s="16" t="s">
        <v>942</v>
      </c>
      <c r="V158" s="16">
        <v>0.63849765258215996</v>
      </c>
      <c r="W158" s="16" t="s">
        <v>983</v>
      </c>
      <c r="X158" s="16">
        <v>886</v>
      </c>
      <c r="Y158" s="16">
        <v>59</v>
      </c>
    </row>
    <row r="159" spans="2:25" x14ac:dyDescent="0.2">
      <c r="B159" s="21" t="s">
        <v>194</v>
      </c>
      <c r="C159" s="21" t="s">
        <v>203</v>
      </c>
      <c r="D159" s="22">
        <v>0.80201005935669001</v>
      </c>
      <c r="E159" s="22">
        <v>0.392332673072815</v>
      </c>
      <c r="F159" s="22">
        <v>0.211681723594666</v>
      </c>
      <c r="G159" s="21" t="s">
        <v>1113</v>
      </c>
      <c r="H159" s="22">
        <f>POWER(10,E159)</f>
        <v>2.4679290669204375</v>
      </c>
      <c r="J159" s="2" t="s">
        <v>194</v>
      </c>
      <c r="K159" s="2" t="s">
        <v>203</v>
      </c>
      <c r="L159" s="5">
        <v>0.79047876596450795</v>
      </c>
      <c r="M159" s="5">
        <v>0.19259610772132901</v>
      </c>
      <c r="N159" s="5">
        <v>0.33352395892143299</v>
      </c>
      <c r="O159" s="5">
        <f>EXP(M159)</f>
        <v>1.2123930184387288</v>
      </c>
      <c r="Q159" s="16" t="s">
        <v>203</v>
      </c>
      <c r="R159" s="16" t="s">
        <v>194</v>
      </c>
      <c r="S159" s="17">
        <v>5.3463714566599997E-9</v>
      </c>
      <c r="T159" s="16">
        <v>0.58387100000000003</v>
      </c>
      <c r="U159" s="16" t="s">
        <v>942</v>
      </c>
      <c r="V159" s="16">
        <v>0.63690476190476197</v>
      </c>
      <c r="W159" s="16" t="s">
        <v>985</v>
      </c>
      <c r="X159" s="16">
        <v>886</v>
      </c>
      <c r="Y159" s="16">
        <v>1812</v>
      </c>
    </row>
    <row r="160" spans="2:25" x14ac:dyDescent="0.2">
      <c r="B160" s="21" t="s">
        <v>194</v>
      </c>
      <c r="C160" s="21" t="s">
        <v>199</v>
      </c>
      <c r="D160" s="22">
        <v>0.78594440221786499</v>
      </c>
      <c r="E160" s="22">
        <v>1.0571097135543801</v>
      </c>
      <c r="F160" s="22">
        <v>0.25658783316612199</v>
      </c>
      <c r="G160" s="21" t="s">
        <v>1113</v>
      </c>
      <c r="H160" s="22">
        <f>POWER(10,E160)</f>
        <v>11.405378793178178</v>
      </c>
      <c r="J160" s="2" t="s">
        <v>194</v>
      </c>
      <c r="K160" s="2" t="s">
        <v>199</v>
      </c>
      <c r="L160" s="5">
        <v>0.77840673923492398</v>
      </c>
      <c r="M160" s="5">
        <v>1.1997528076171899</v>
      </c>
      <c r="N160" s="5">
        <v>0.23764494061470001</v>
      </c>
      <c r="O160" s="5">
        <f>EXP(M160)</f>
        <v>3.3192963165511857</v>
      </c>
      <c r="Q160" s="16" t="s">
        <v>199</v>
      </c>
      <c r="R160" s="16" t="s">
        <v>194</v>
      </c>
      <c r="S160" s="17">
        <v>5.7498547376100002E-11</v>
      </c>
      <c r="T160" s="16">
        <v>0.64792899999999998</v>
      </c>
      <c r="U160" s="16" t="s">
        <v>942</v>
      </c>
      <c r="V160" s="16">
        <v>0.63849765258215996</v>
      </c>
      <c r="W160" s="16" t="s">
        <v>983</v>
      </c>
      <c r="X160" s="16">
        <v>886</v>
      </c>
      <c r="Y160" s="16">
        <v>47</v>
      </c>
    </row>
    <row r="161" spans="2:25" x14ac:dyDescent="0.2">
      <c r="B161" s="21" t="s">
        <v>194</v>
      </c>
      <c r="C161" s="21" t="s">
        <v>195</v>
      </c>
      <c r="D161" s="22">
        <v>0.79678314924240101</v>
      </c>
      <c r="E161" s="22">
        <v>1.11513960361481</v>
      </c>
      <c r="F161" s="22">
        <v>0.24886636435985601</v>
      </c>
      <c r="G161" s="21" t="s">
        <v>1113</v>
      </c>
      <c r="H161" s="22">
        <f>POWER(10,E161)</f>
        <v>13.035857477088729</v>
      </c>
      <c r="J161" s="2" t="s">
        <v>194</v>
      </c>
      <c r="K161" s="2" t="s">
        <v>195</v>
      </c>
      <c r="L161" s="5">
        <v>0.78596800565719604</v>
      </c>
      <c r="M161" s="5">
        <v>0.17567813396453899</v>
      </c>
      <c r="N161" s="5">
        <v>0.38634034991264299</v>
      </c>
      <c r="O161" s="5">
        <f>EXP(M161)</f>
        <v>1.1920543151005192</v>
      </c>
      <c r="Q161" s="16" t="s">
        <v>195</v>
      </c>
      <c r="R161" s="16" t="s">
        <v>194</v>
      </c>
      <c r="S161" s="17">
        <v>2.5292868178900001E-54</v>
      </c>
      <c r="T161" s="16">
        <v>0.73943700000000001</v>
      </c>
      <c r="U161" s="16" t="s">
        <v>942</v>
      </c>
      <c r="V161" s="16">
        <v>0.323943661971831</v>
      </c>
      <c r="W161" s="16" t="s">
        <v>983</v>
      </c>
      <c r="X161" s="16">
        <v>886</v>
      </c>
      <c r="Y161" s="16">
        <v>196</v>
      </c>
    </row>
    <row r="162" spans="2:25" x14ac:dyDescent="0.2">
      <c r="B162" s="21" t="s">
        <v>206</v>
      </c>
      <c r="C162" s="21" t="s">
        <v>186</v>
      </c>
      <c r="D162" s="22">
        <v>0.78385668992996205</v>
      </c>
      <c r="E162" s="22">
        <v>0.605379939079285</v>
      </c>
      <c r="F162" s="22">
        <v>0.29361209273338301</v>
      </c>
      <c r="G162" s="21" t="s">
        <v>1113</v>
      </c>
      <c r="H162" s="22">
        <f>POWER(10,E162)</f>
        <v>4.0306950227986471</v>
      </c>
      <c r="J162" s="2" t="s">
        <v>206</v>
      </c>
      <c r="K162" s="2" t="s">
        <v>186</v>
      </c>
      <c r="L162" s="5">
        <v>0.784518241882324</v>
      </c>
      <c r="M162" s="5">
        <v>0.58327651023864802</v>
      </c>
      <c r="N162" s="5">
        <v>0.28132170438766502</v>
      </c>
      <c r="O162" s="5">
        <f>EXP(M162)</f>
        <v>1.7919000014593505</v>
      </c>
      <c r="Q162" s="16" t="s">
        <v>186</v>
      </c>
      <c r="R162" s="16" t="s">
        <v>1004</v>
      </c>
      <c r="S162" s="17">
        <v>3.4290561114400001E-32</v>
      </c>
      <c r="T162" s="16">
        <v>0.78070200000000001</v>
      </c>
      <c r="U162" s="16" t="s">
        <v>942</v>
      </c>
      <c r="V162" s="16">
        <v>0.41980198019802001</v>
      </c>
      <c r="W162" s="16" t="s">
        <v>1005</v>
      </c>
      <c r="X162" s="16">
        <v>887</v>
      </c>
      <c r="Y162" s="16">
        <v>671</v>
      </c>
    </row>
    <row r="163" spans="2:25" x14ac:dyDescent="0.2">
      <c r="B163" s="21" t="s">
        <v>206</v>
      </c>
      <c r="C163" s="21" t="s">
        <v>197</v>
      </c>
      <c r="D163" s="22">
        <v>0.77252101898193404</v>
      </c>
      <c r="E163" s="22">
        <v>-6.4319401979446397E-2</v>
      </c>
      <c r="F163" s="22">
        <v>0.24330750107765201</v>
      </c>
      <c r="G163" s="21" t="s">
        <v>1113</v>
      </c>
      <c r="H163" s="22">
        <f>POWER(10,E163)</f>
        <v>0.86234410331963729</v>
      </c>
      <c r="J163" s="2" t="s">
        <v>206</v>
      </c>
      <c r="K163" s="2" t="s">
        <v>197</v>
      </c>
      <c r="L163" s="5">
        <v>0.75847613811492898</v>
      </c>
      <c r="M163" s="5">
        <v>-0.203880220651627</v>
      </c>
      <c r="N163" s="5">
        <v>0.472787916660309</v>
      </c>
      <c r="O163" s="5">
        <f>EXP(M163)</f>
        <v>0.81556005258872666</v>
      </c>
      <c r="Q163" s="16" t="s">
        <v>197</v>
      </c>
      <c r="R163" s="16" t="s">
        <v>1004</v>
      </c>
      <c r="S163" s="17">
        <v>2.32983837691E-101</v>
      </c>
      <c r="T163" s="16">
        <v>0.492537</v>
      </c>
      <c r="U163" s="16" t="s">
        <v>942</v>
      </c>
      <c r="V163" s="16">
        <v>0.41980198019802001</v>
      </c>
      <c r="W163" s="16" t="s">
        <v>1005</v>
      </c>
      <c r="X163" s="16">
        <v>887</v>
      </c>
      <c r="Y163" s="16">
        <v>80</v>
      </c>
    </row>
    <row r="164" spans="2:25" x14ac:dyDescent="0.2">
      <c r="B164" s="21" t="s">
        <v>206</v>
      </c>
      <c r="C164" s="21" t="s">
        <v>204</v>
      </c>
      <c r="D164" s="22">
        <v>0.78349918127059903</v>
      </c>
      <c r="E164" s="22">
        <v>0.37916952371597301</v>
      </c>
      <c r="F164" s="22">
        <v>0.54847824573516901</v>
      </c>
      <c r="G164" s="21" t="s">
        <v>1113</v>
      </c>
      <c r="H164" s="22">
        <f>POWER(10,E164)</f>
        <v>2.3942501522897719</v>
      </c>
      <c r="J164" s="2" t="s">
        <v>206</v>
      </c>
      <c r="K164" s="2" t="s">
        <v>204</v>
      </c>
      <c r="L164" s="5">
        <v>0.77801620960235596</v>
      </c>
      <c r="M164" s="5">
        <v>0.80289852619171098</v>
      </c>
      <c r="N164" s="5">
        <v>0.53955221176147505</v>
      </c>
      <c r="O164" s="5">
        <f>EXP(M164)</f>
        <v>2.2320010750936059</v>
      </c>
      <c r="Q164" s="16" t="s">
        <v>204</v>
      </c>
      <c r="R164" s="16" t="s">
        <v>1004</v>
      </c>
      <c r="S164" s="17">
        <v>1.11001141256999E-129</v>
      </c>
      <c r="T164" s="16">
        <v>0.74492800000000003</v>
      </c>
      <c r="U164" s="16" t="s">
        <v>942</v>
      </c>
      <c r="V164" s="16">
        <v>0.16831683168316799</v>
      </c>
      <c r="W164" s="16" t="s">
        <v>1005</v>
      </c>
      <c r="X164" s="16">
        <v>887</v>
      </c>
      <c r="Y164" s="16">
        <v>41</v>
      </c>
    </row>
    <row r="165" spans="2:25" x14ac:dyDescent="0.2">
      <c r="B165" s="21" t="s">
        <v>206</v>
      </c>
      <c r="C165" s="21" t="s">
        <v>201</v>
      </c>
      <c r="D165" s="22">
        <v>0.75067728757858299</v>
      </c>
      <c r="E165" s="22">
        <v>-0.19599339365959201</v>
      </c>
      <c r="F165" s="22">
        <v>0.35736441612243702</v>
      </c>
      <c r="G165" s="21" t="s">
        <v>1113</v>
      </c>
      <c r="H165" s="22">
        <f>POWER(10,E165)</f>
        <v>0.6368052076991455</v>
      </c>
      <c r="J165" s="2" t="s">
        <v>206</v>
      </c>
      <c r="K165" s="2" t="s">
        <v>201</v>
      </c>
      <c r="L165" s="5">
        <v>0.76127904653549205</v>
      </c>
      <c r="M165" s="5">
        <v>-8.6321726441383403E-2</v>
      </c>
      <c r="N165" s="5">
        <v>0.34909036755561801</v>
      </c>
      <c r="O165" s="5">
        <f>EXP(M165)</f>
        <v>0.9172990643775415</v>
      </c>
      <c r="Q165" s="16" t="s">
        <v>201</v>
      </c>
      <c r="R165" s="16" t="s">
        <v>1004</v>
      </c>
      <c r="S165" s="17">
        <v>1.93739472465999E-89</v>
      </c>
      <c r="T165" s="16">
        <v>0.66369</v>
      </c>
      <c r="U165" s="16" t="s">
        <v>942</v>
      </c>
      <c r="V165" s="16">
        <v>0.41980198019802001</v>
      </c>
      <c r="W165" s="16" t="s">
        <v>1005</v>
      </c>
      <c r="X165" s="16">
        <v>887</v>
      </c>
      <c r="Y165" s="16">
        <v>118</v>
      </c>
    </row>
    <row r="166" spans="2:25" x14ac:dyDescent="0.2">
      <c r="B166" s="21" t="s">
        <v>206</v>
      </c>
      <c r="C166" s="21" t="s">
        <v>156</v>
      </c>
      <c r="D166" s="22">
        <v>0.75953584909439098</v>
      </c>
      <c r="E166" s="22">
        <v>0.80421948432922397</v>
      </c>
      <c r="F166" s="22">
        <v>5.7357519865035997E-2</v>
      </c>
      <c r="G166" s="21" t="s">
        <v>1113</v>
      </c>
      <c r="H166" s="22">
        <f>POWER(10,E166)</f>
        <v>6.3711742682028829</v>
      </c>
      <c r="J166" s="2" t="s">
        <v>206</v>
      </c>
      <c r="K166" s="2" t="s">
        <v>156</v>
      </c>
      <c r="L166" s="5">
        <v>0.77238506078720104</v>
      </c>
      <c r="M166" s="5">
        <v>0.83204579353332497</v>
      </c>
      <c r="N166" s="5">
        <v>0.133155077695847</v>
      </c>
      <c r="O166" s="5">
        <f>EXP(M166)</f>
        <v>2.2980151992676014</v>
      </c>
      <c r="Q166" s="16" t="s">
        <v>156</v>
      </c>
      <c r="R166" s="16" t="s">
        <v>1004</v>
      </c>
      <c r="S166" s="17">
        <v>1.4565764540400001E-17</v>
      </c>
      <c r="T166" s="16">
        <v>0.583596</v>
      </c>
      <c r="U166" s="16" t="s">
        <v>942</v>
      </c>
      <c r="V166" s="16">
        <v>0.41980198019802001</v>
      </c>
      <c r="W166" s="16" t="s">
        <v>1005</v>
      </c>
      <c r="X166" s="16">
        <v>887</v>
      </c>
      <c r="Y166" s="16">
        <v>800</v>
      </c>
    </row>
    <row r="167" spans="2:25" x14ac:dyDescent="0.2">
      <c r="B167" s="21" t="s">
        <v>206</v>
      </c>
      <c r="C167" s="21" t="s">
        <v>198</v>
      </c>
      <c r="D167" s="22">
        <v>0.77074784040451105</v>
      </c>
      <c r="E167" s="22">
        <v>0.187227413058281</v>
      </c>
      <c r="F167" s="22">
        <v>0.22773651778698001</v>
      </c>
      <c r="G167" s="21" t="s">
        <v>1113</v>
      </c>
      <c r="H167" s="22">
        <f>POWER(10,E167)</f>
        <v>1.5389602873116206</v>
      </c>
      <c r="J167" s="2" t="s">
        <v>206</v>
      </c>
      <c r="K167" s="2" t="s">
        <v>198</v>
      </c>
      <c r="L167" s="5">
        <v>0.78015261888503995</v>
      </c>
      <c r="M167" s="5">
        <v>0.104888185858727</v>
      </c>
      <c r="N167" s="5">
        <v>0.26719084382057201</v>
      </c>
      <c r="O167" s="5">
        <f>EXP(M167)</f>
        <v>1.110586424145622</v>
      </c>
      <c r="Q167" s="16" t="s">
        <v>198</v>
      </c>
      <c r="R167" s="16" t="s">
        <v>1004</v>
      </c>
      <c r="S167" s="17">
        <v>7.5218868851599998E-113</v>
      </c>
      <c r="T167" s="16">
        <v>0.74581900000000001</v>
      </c>
      <c r="U167" s="16" t="s">
        <v>942</v>
      </c>
      <c r="V167" s="16">
        <v>0.41980198019802001</v>
      </c>
      <c r="W167" s="16" t="s">
        <v>1005</v>
      </c>
      <c r="X167" s="16">
        <v>887</v>
      </c>
      <c r="Y167" s="16">
        <v>57</v>
      </c>
    </row>
    <row r="168" spans="2:25" x14ac:dyDescent="0.2">
      <c r="B168" s="21" t="s">
        <v>206</v>
      </c>
      <c r="C168" s="21" t="s">
        <v>196</v>
      </c>
      <c r="D168" s="22">
        <v>0.77399086952209495</v>
      </c>
      <c r="E168" s="22">
        <v>-0.49171489477157598</v>
      </c>
      <c r="F168" s="22">
        <v>0.38501554727554299</v>
      </c>
      <c r="G168" s="21" t="s">
        <v>1113</v>
      </c>
      <c r="H168" s="22">
        <f>POWER(10,E168)</f>
        <v>0.32231840496954378</v>
      </c>
      <c r="J168" s="2" t="s">
        <v>206</v>
      </c>
      <c r="K168" s="2" t="s">
        <v>196</v>
      </c>
      <c r="L168" s="5">
        <v>0.77871185541152999</v>
      </c>
      <c r="M168" s="5">
        <v>-0.44206139445304898</v>
      </c>
      <c r="N168" s="5">
        <v>0.32343193888664201</v>
      </c>
      <c r="O168" s="5">
        <f>EXP(M168)</f>
        <v>0.64271017540454145</v>
      </c>
      <c r="Q168" s="16" t="s">
        <v>196</v>
      </c>
      <c r="R168" s="16" t="s">
        <v>1004</v>
      </c>
      <c r="S168" s="17">
        <v>2.3149455109800002E-101</v>
      </c>
      <c r="T168" s="16">
        <v>0.68827199999999999</v>
      </c>
      <c r="U168" s="16" t="s">
        <v>942</v>
      </c>
      <c r="V168" s="16">
        <v>0.41980198019802001</v>
      </c>
      <c r="W168" s="16" t="s">
        <v>1005</v>
      </c>
      <c r="X168" s="16">
        <v>887</v>
      </c>
      <c r="Y168" s="16">
        <v>79</v>
      </c>
    </row>
    <row r="169" spans="2:25" x14ac:dyDescent="0.2">
      <c r="B169" s="21" t="s">
        <v>206</v>
      </c>
      <c r="C169" s="21" t="s">
        <v>207</v>
      </c>
      <c r="D169" s="22">
        <v>0.73977398872375499</v>
      </c>
      <c r="E169" s="22">
        <v>0.54533481597900402</v>
      </c>
      <c r="F169" s="22">
        <v>0.31826123595237699</v>
      </c>
      <c r="G169" s="21" t="s">
        <v>1113</v>
      </c>
      <c r="H169" s="22">
        <f>POWER(10,E169)</f>
        <v>3.5102238766457261</v>
      </c>
      <c r="J169" s="2" t="s">
        <v>206</v>
      </c>
      <c r="K169" s="2" t="s">
        <v>207</v>
      </c>
      <c r="L169" s="5">
        <v>0.78489559888839699</v>
      </c>
      <c r="M169" s="5">
        <v>0.56668353080749501</v>
      </c>
      <c r="N169" s="5">
        <v>0.35893371701240501</v>
      </c>
      <c r="O169" s="5">
        <f>EXP(M169)</f>
        <v>1.7624123620483167</v>
      </c>
      <c r="Q169" s="16" t="s">
        <v>207</v>
      </c>
      <c r="R169" s="16" t="s">
        <v>1004</v>
      </c>
      <c r="S169" s="17">
        <v>1.8849336898699999E-12</v>
      </c>
      <c r="T169" s="16">
        <v>0.62623799999999996</v>
      </c>
      <c r="U169" s="16" t="s">
        <v>942</v>
      </c>
      <c r="V169" s="16">
        <v>0.16831683168316799</v>
      </c>
      <c r="W169" s="16" t="s">
        <v>1005</v>
      </c>
      <c r="X169" s="16">
        <v>887</v>
      </c>
      <c r="Y169" s="16">
        <v>1523</v>
      </c>
    </row>
    <row r="170" spans="2:25" x14ac:dyDescent="0.2">
      <c r="B170" s="21" t="s">
        <v>206</v>
      </c>
      <c r="C170" s="21" t="s">
        <v>199</v>
      </c>
      <c r="D170" s="22">
        <v>0.76222956180572499</v>
      </c>
      <c r="E170" s="22">
        <v>0.51344317197799705</v>
      </c>
      <c r="F170" s="22">
        <v>0.35525852441787698</v>
      </c>
      <c r="G170" s="21" t="s">
        <v>1113</v>
      </c>
      <c r="H170" s="22">
        <f>POWER(10,E170)</f>
        <v>3.2616936789761417</v>
      </c>
      <c r="J170" s="2" t="s">
        <v>206</v>
      </c>
      <c r="K170" s="2" t="s">
        <v>199</v>
      </c>
      <c r="L170" s="5">
        <v>0.76694864034652699</v>
      </c>
      <c r="M170" s="5">
        <v>0.49325168132781999</v>
      </c>
      <c r="N170" s="5">
        <v>0.27413204312324502</v>
      </c>
      <c r="O170" s="5">
        <f>EXP(M170)</f>
        <v>1.6376326310819096</v>
      </c>
      <c r="Q170" s="16" t="s">
        <v>199</v>
      </c>
      <c r="R170" s="16" t="s">
        <v>1004</v>
      </c>
      <c r="S170" s="17">
        <v>2.5919908839300001E-114</v>
      </c>
      <c r="T170" s="16">
        <v>0.69760500000000003</v>
      </c>
      <c r="U170" s="16" t="s">
        <v>942</v>
      </c>
      <c r="V170" s="16">
        <v>0.41980198019802001</v>
      </c>
      <c r="W170" s="16" t="s">
        <v>1005</v>
      </c>
      <c r="X170" s="16">
        <v>887</v>
      </c>
      <c r="Y170" s="16">
        <v>56</v>
      </c>
    </row>
    <row r="171" spans="2:25" x14ac:dyDescent="0.2">
      <c r="B171" s="21" t="s">
        <v>206</v>
      </c>
      <c r="C171" s="21" t="s">
        <v>208</v>
      </c>
      <c r="D171" s="22">
        <v>0.75943017005920399</v>
      </c>
      <c r="E171" s="22">
        <v>2.2366147041320801</v>
      </c>
      <c r="F171" s="22">
        <v>0.11376723647117599</v>
      </c>
      <c r="G171" s="21" t="s">
        <v>1113</v>
      </c>
      <c r="H171" s="22">
        <f>POWER(10,E171)</f>
        <v>172.43074481192042</v>
      </c>
      <c r="J171" s="2" t="s">
        <v>206</v>
      </c>
      <c r="K171" s="2" t="s">
        <v>208</v>
      </c>
      <c r="L171" s="5">
        <v>0.75892281532287598</v>
      </c>
      <c r="M171" s="5">
        <v>1.8126093149185201</v>
      </c>
      <c r="N171" s="5">
        <v>0.122569032013416</v>
      </c>
      <c r="O171" s="5">
        <f>EXP(M171)</f>
        <v>6.1264123335438292</v>
      </c>
      <c r="Q171" s="16" t="s">
        <v>208</v>
      </c>
      <c r="R171" s="16" t="s">
        <v>1004</v>
      </c>
      <c r="S171" s="17">
        <v>1.1157732733499999E-5</v>
      </c>
      <c r="T171" s="16">
        <v>0.55363300000000004</v>
      </c>
      <c r="U171" s="16" t="s">
        <v>942</v>
      </c>
      <c r="V171" s="16">
        <v>0.41980198019802001</v>
      </c>
      <c r="W171" s="16" t="s">
        <v>1005</v>
      </c>
      <c r="X171" s="16">
        <v>887</v>
      </c>
      <c r="Y171" s="16">
        <v>2188</v>
      </c>
    </row>
    <row r="172" spans="2:25" x14ac:dyDescent="0.2">
      <c r="B172" s="21" t="s">
        <v>40</v>
      </c>
      <c r="C172" s="21" t="s">
        <v>10</v>
      </c>
      <c r="D172" s="22">
        <v>0.88858807086944602</v>
      </c>
      <c r="E172" s="22">
        <v>0.41780936717987099</v>
      </c>
      <c r="F172" s="22">
        <v>0.83353739976882901</v>
      </c>
      <c r="G172" s="21" t="s">
        <v>1113</v>
      </c>
      <c r="H172" s="22">
        <f>POWER(10,E172)</f>
        <v>2.617034013458067</v>
      </c>
      <c r="J172" s="2" t="s">
        <v>40</v>
      </c>
      <c r="K172" s="2" t="s">
        <v>10</v>
      </c>
      <c r="L172" s="5">
        <v>0.73378562927246105</v>
      </c>
      <c r="M172" s="5">
        <v>0.14999908208846999</v>
      </c>
      <c r="N172" s="5">
        <v>0.86111062765121504</v>
      </c>
      <c r="O172" s="5">
        <f>EXP(M172)</f>
        <v>1.1618331762677252</v>
      </c>
      <c r="Q172" s="16" t="s">
        <v>10</v>
      </c>
      <c r="R172" s="16" t="s">
        <v>1097</v>
      </c>
      <c r="S172" s="17">
        <v>2.01907061384E-12</v>
      </c>
      <c r="T172" s="16">
        <v>0.67142900000000005</v>
      </c>
      <c r="U172" s="16" t="s">
        <v>942</v>
      </c>
      <c r="V172" s="16">
        <v>0.92803030303030298</v>
      </c>
      <c r="W172" s="16" t="s">
        <v>1098</v>
      </c>
      <c r="X172" s="16">
        <v>1128</v>
      </c>
      <c r="Y172" s="16">
        <v>163</v>
      </c>
    </row>
    <row r="173" spans="2:25" x14ac:dyDescent="0.2">
      <c r="J173" s="2" t="s">
        <v>40</v>
      </c>
      <c r="K173" s="2" t="s">
        <v>209</v>
      </c>
      <c r="L173" s="5">
        <v>0.71544390916824296</v>
      </c>
      <c r="M173" s="5">
        <v>-0.33919608592987099</v>
      </c>
      <c r="N173" s="5">
        <v>0.34723192453384399</v>
      </c>
      <c r="O173" s="5">
        <f>EXP(M173)</f>
        <v>0.71234275500211541</v>
      </c>
      <c r="Q173" s="16" t="s">
        <v>209</v>
      </c>
      <c r="R173" s="16" t="s">
        <v>1097</v>
      </c>
      <c r="S173" s="17">
        <v>1.9989649386900002E-6</v>
      </c>
      <c r="T173" s="16">
        <v>0.37681199999999998</v>
      </c>
      <c r="U173" s="16" t="s">
        <v>942</v>
      </c>
      <c r="V173" s="16">
        <v>0.66666666666666696</v>
      </c>
      <c r="W173" s="16" t="s">
        <v>1099</v>
      </c>
      <c r="X173" s="16">
        <v>1128</v>
      </c>
      <c r="Y173" s="16">
        <v>2092</v>
      </c>
    </row>
    <row r="174" spans="2:25" x14ac:dyDescent="0.2">
      <c r="B174" s="21" t="s">
        <v>44</v>
      </c>
      <c r="C174" s="21" t="s">
        <v>10</v>
      </c>
      <c r="D174" s="22">
        <v>0.90851444005966198</v>
      </c>
      <c r="E174" s="22">
        <v>0.570698142051697</v>
      </c>
      <c r="F174" s="22">
        <v>0.77287918329238903</v>
      </c>
      <c r="G174" s="21" t="s">
        <v>1113</v>
      </c>
      <c r="H174" s="22">
        <f>POWER(10,E174)</f>
        <v>3.7213296398436202</v>
      </c>
      <c r="J174" s="2" t="s">
        <v>44</v>
      </c>
      <c r="K174" s="2" t="s">
        <v>10</v>
      </c>
      <c r="L174" s="5">
        <v>0.735590100288391</v>
      </c>
      <c r="M174" s="5">
        <v>0.34817725419998202</v>
      </c>
      <c r="N174" s="5">
        <v>0.83604598045349099</v>
      </c>
      <c r="O174" s="5">
        <f>EXP(M174)</f>
        <v>1.4164833051040915</v>
      </c>
      <c r="Q174" s="16" t="s">
        <v>10</v>
      </c>
      <c r="R174" s="16" t="s">
        <v>1100</v>
      </c>
      <c r="S174" s="17">
        <v>7.4877996648499998E-12</v>
      </c>
      <c r="T174" s="16">
        <v>0.67142900000000005</v>
      </c>
      <c r="U174" s="16" t="s">
        <v>942</v>
      </c>
      <c r="V174" s="16">
        <v>0.97237569060773499</v>
      </c>
      <c r="W174" s="16" t="s">
        <v>1101</v>
      </c>
      <c r="X174" s="16">
        <v>1129</v>
      </c>
      <c r="Y174" s="16">
        <v>1082</v>
      </c>
    </row>
    <row r="175" spans="2:25" x14ac:dyDescent="0.2">
      <c r="J175" s="2" t="s">
        <v>44</v>
      </c>
      <c r="K175" s="2" t="s">
        <v>209</v>
      </c>
      <c r="L175" s="5">
        <v>0.71748840808868397</v>
      </c>
      <c r="M175" s="5">
        <v>-0.28114017844200101</v>
      </c>
      <c r="N175" s="5">
        <v>0.45725288987159701</v>
      </c>
      <c r="O175" s="5">
        <f>EXP(M175)</f>
        <v>0.75492250420227891</v>
      </c>
      <c r="Q175" s="16" t="s">
        <v>209</v>
      </c>
      <c r="R175" s="16" t="s">
        <v>1100</v>
      </c>
      <c r="S175" s="17">
        <v>2.8451365940999998E-7</v>
      </c>
      <c r="T175" s="16">
        <v>0.37681199999999998</v>
      </c>
      <c r="U175" s="16" t="s">
        <v>942</v>
      </c>
      <c r="V175" s="16">
        <v>0.57142857142857095</v>
      </c>
      <c r="W175" s="16" t="s">
        <v>1102</v>
      </c>
      <c r="X175" s="16">
        <v>1129</v>
      </c>
      <c r="Y175" s="16">
        <v>1980</v>
      </c>
    </row>
    <row r="176" spans="2:25" x14ac:dyDescent="0.2">
      <c r="J176" s="2" t="s">
        <v>210</v>
      </c>
      <c r="K176" s="2" t="s">
        <v>6</v>
      </c>
      <c r="L176" s="5">
        <v>0.74733436107635498</v>
      </c>
      <c r="M176" s="5">
        <v>-0.13457790017127999</v>
      </c>
      <c r="N176" s="5">
        <v>0.98403048515319802</v>
      </c>
      <c r="O176" s="5">
        <f>EXP(M176)</f>
        <v>0.8740847848698845</v>
      </c>
      <c r="Q176" s="16" t="s">
        <v>6</v>
      </c>
      <c r="R176" s="16" t="s">
        <v>1103</v>
      </c>
      <c r="S176" s="17">
        <v>7.2248262927799995E-10</v>
      </c>
      <c r="T176" s="16">
        <v>0.5</v>
      </c>
      <c r="U176" s="16" t="s">
        <v>942</v>
      </c>
      <c r="V176" s="16">
        <v>0.95842613214550898</v>
      </c>
      <c r="W176" s="16" t="s">
        <v>1104</v>
      </c>
      <c r="X176" s="16">
        <v>1131</v>
      </c>
      <c r="Y176" s="16">
        <v>1738</v>
      </c>
    </row>
    <row r="177" spans="2:25" x14ac:dyDescent="0.2">
      <c r="J177" s="2" t="s">
        <v>210</v>
      </c>
      <c r="K177" s="2" t="s">
        <v>41</v>
      </c>
      <c r="L177" s="5">
        <v>0.73920810222625699</v>
      </c>
      <c r="M177" s="5">
        <v>-2.6240906715393102</v>
      </c>
      <c r="N177" s="5">
        <v>0.97964829206466697</v>
      </c>
      <c r="O177" s="5">
        <f>EXP(M177)</f>
        <v>7.2505658525517921E-2</v>
      </c>
      <c r="Q177" s="16" t="s">
        <v>41</v>
      </c>
      <c r="R177" s="16" t="s">
        <v>1103</v>
      </c>
      <c r="S177" s="17">
        <v>5.3391466303700001E-7</v>
      </c>
      <c r="T177" s="16">
        <v>0.55905499999999997</v>
      </c>
      <c r="U177" s="16" t="s">
        <v>942</v>
      </c>
      <c r="V177" s="16">
        <v>0.95842613214550898</v>
      </c>
      <c r="W177" s="16" t="s">
        <v>1104</v>
      </c>
      <c r="X177" s="16">
        <v>1131</v>
      </c>
      <c r="Y177" s="16">
        <v>2012</v>
      </c>
    </row>
    <row r="178" spans="2:25" x14ac:dyDescent="0.2">
      <c r="B178" s="21" t="s">
        <v>210</v>
      </c>
      <c r="C178" s="21" t="s">
        <v>58</v>
      </c>
      <c r="D178" s="22">
        <v>0.86913055181503296</v>
      </c>
      <c r="E178" s="22">
        <v>9.1119483113288893E-2</v>
      </c>
      <c r="F178" s="22">
        <v>0.84163856506347701</v>
      </c>
      <c r="G178" s="21" t="s">
        <v>1113</v>
      </c>
      <c r="H178" s="22">
        <f>POWER(10,E178)</f>
        <v>1.2334441317462013</v>
      </c>
      <c r="J178" s="2" t="s">
        <v>210</v>
      </c>
      <c r="K178" s="2" t="s">
        <v>58</v>
      </c>
      <c r="L178" s="5">
        <v>0.69538098573684703</v>
      </c>
      <c r="M178" s="5">
        <v>0.54215323925018299</v>
      </c>
      <c r="N178" s="5">
        <v>0.80037969350814797</v>
      </c>
      <c r="O178" s="5">
        <f>EXP(M178)</f>
        <v>1.7197058164516896</v>
      </c>
      <c r="Q178" s="16" t="s">
        <v>58</v>
      </c>
      <c r="R178" s="16" t="s">
        <v>1103</v>
      </c>
      <c r="S178" s="17">
        <v>7.3982221238099997E-8</v>
      </c>
      <c r="T178" s="16">
        <v>0.41935499999999998</v>
      </c>
      <c r="U178" s="16" t="s">
        <v>942</v>
      </c>
      <c r="V178" s="16">
        <v>0.95043370508054503</v>
      </c>
      <c r="W178" s="16" t="s">
        <v>1105</v>
      </c>
      <c r="X178" s="16">
        <v>1131</v>
      </c>
      <c r="Y178" s="16">
        <v>1930</v>
      </c>
    </row>
    <row r="179" spans="2:25" x14ac:dyDescent="0.2">
      <c r="B179" s="21" t="s">
        <v>210</v>
      </c>
      <c r="C179" s="21" t="s">
        <v>10</v>
      </c>
      <c r="D179" s="22">
        <v>0.910558640956879</v>
      </c>
      <c r="E179" s="22">
        <v>-0.506278336048126</v>
      </c>
      <c r="F179" s="22">
        <v>0.86820363998413097</v>
      </c>
      <c r="G179" s="21" t="s">
        <v>1113</v>
      </c>
      <c r="H179" s="22">
        <f>POWER(10,E179)</f>
        <v>0.311689135174748</v>
      </c>
      <c r="J179" s="2" t="s">
        <v>210</v>
      </c>
      <c r="K179" s="2" t="s">
        <v>10</v>
      </c>
      <c r="L179" s="5">
        <v>0.73504364490509</v>
      </c>
      <c r="M179" s="5">
        <v>0.32316827774047902</v>
      </c>
      <c r="N179" s="5">
        <v>0.83604943752288796</v>
      </c>
      <c r="O179" s="5">
        <f>EXP(M179)</f>
        <v>1.3814978066758996</v>
      </c>
      <c r="Q179" s="16" t="s">
        <v>10</v>
      </c>
      <c r="R179" s="16" t="s">
        <v>1103</v>
      </c>
      <c r="S179" s="17">
        <v>4.0300093439899998E-16</v>
      </c>
      <c r="T179" s="16">
        <v>0.67142900000000005</v>
      </c>
      <c r="U179" s="16" t="s">
        <v>942</v>
      </c>
      <c r="V179" s="16">
        <v>0.95043370508054503</v>
      </c>
      <c r="W179" s="16" t="s">
        <v>1105</v>
      </c>
      <c r="X179" s="16">
        <v>1131</v>
      </c>
      <c r="Y179" s="16">
        <v>1274</v>
      </c>
    </row>
    <row r="180" spans="2:25" x14ac:dyDescent="0.2">
      <c r="J180" s="2" t="s">
        <v>211</v>
      </c>
      <c r="K180" s="2" t="s">
        <v>41</v>
      </c>
      <c r="L180" s="5">
        <v>0.80707722902297996</v>
      </c>
      <c r="M180" s="5">
        <v>0.163712993264198</v>
      </c>
      <c r="N180" s="5">
        <v>0.76549905538559004</v>
      </c>
      <c r="O180" s="5">
        <f>EXP(M180)</f>
        <v>1.1778762081698753</v>
      </c>
    </row>
    <row r="181" spans="2:25" x14ac:dyDescent="0.2">
      <c r="J181" s="2" t="s">
        <v>211</v>
      </c>
      <c r="K181" s="2" t="s">
        <v>18</v>
      </c>
      <c r="L181" s="5">
        <v>0.82145702838897705</v>
      </c>
      <c r="M181" s="5">
        <v>1.23556220531464</v>
      </c>
      <c r="N181" s="5">
        <v>0.53165656328201305</v>
      </c>
      <c r="O181" s="5">
        <f>EXP(M181)</f>
        <v>3.4403121388774847</v>
      </c>
    </row>
    <row r="182" spans="2:25" x14ac:dyDescent="0.2">
      <c r="J182" s="2" t="s">
        <v>212</v>
      </c>
      <c r="K182" s="2" t="s">
        <v>213</v>
      </c>
      <c r="L182" s="5">
        <v>0.85178911685943604</v>
      </c>
      <c r="M182" s="5">
        <v>0.34281587600708002</v>
      </c>
      <c r="N182" s="5">
        <v>0.26912105083465598</v>
      </c>
      <c r="O182" s="5">
        <f>EXP(M182)</f>
        <v>1.4089093240324102</v>
      </c>
      <c r="Q182" s="16" t="s">
        <v>213</v>
      </c>
      <c r="R182" s="16" t="s">
        <v>212</v>
      </c>
      <c r="S182" s="17">
        <v>1.29685631955E-6</v>
      </c>
      <c r="T182" s="16">
        <v>0.53148600000000001</v>
      </c>
      <c r="U182" s="16" t="s">
        <v>942</v>
      </c>
      <c r="V182" s="16">
        <v>0.79644588045234199</v>
      </c>
      <c r="W182" s="16" t="s">
        <v>986</v>
      </c>
      <c r="X182" s="16">
        <v>1268</v>
      </c>
      <c r="Y182" s="16">
        <v>2066</v>
      </c>
    </row>
    <row r="183" spans="2:25" x14ac:dyDescent="0.2">
      <c r="B183" s="21" t="s">
        <v>212</v>
      </c>
      <c r="C183" s="21" t="s">
        <v>214</v>
      </c>
      <c r="D183" s="22">
        <v>0.92553389072418202</v>
      </c>
      <c r="E183" s="22">
        <v>1.65208387374878</v>
      </c>
      <c r="F183" s="22">
        <v>0.16346922516822801</v>
      </c>
      <c r="G183" s="21" t="s">
        <v>1113</v>
      </c>
      <c r="H183" s="22">
        <f>POWER(10,E183)</f>
        <v>44.883206290353918</v>
      </c>
      <c r="J183" s="2" t="s">
        <v>212</v>
      </c>
      <c r="K183" s="2" t="s">
        <v>214</v>
      </c>
      <c r="L183" s="5">
        <v>0.72719281911849998</v>
      </c>
      <c r="M183" s="5">
        <v>1.69175148010254</v>
      </c>
      <c r="N183" s="5">
        <v>0.131177797913551</v>
      </c>
      <c r="O183" s="5">
        <f>EXP(M183)</f>
        <v>5.4289811352307931</v>
      </c>
      <c r="Q183" s="16" t="s">
        <v>214</v>
      </c>
      <c r="R183" s="16" t="s">
        <v>212</v>
      </c>
      <c r="S183" s="17">
        <v>9.1579647850399999E-17</v>
      </c>
      <c r="T183" s="16">
        <v>0.46</v>
      </c>
      <c r="U183" s="16" t="s">
        <v>942</v>
      </c>
      <c r="V183" s="16">
        <v>0.91351805205709502</v>
      </c>
      <c r="W183" s="16" t="s">
        <v>987</v>
      </c>
      <c r="X183" s="16">
        <v>1268</v>
      </c>
      <c r="Y183" s="16">
        <v>1236</v>
      </c>
    </row>
    <row r="184" spans="2:25" x14ac:dyDescent="0.2">
      <c r="J184" s="2" t="s">
        <v>47</v>
      </c>
      <c r="K184" s="2" t="s">
        <v>218</v>
      </c>
      <c r="L184" s="5">
        <v>0.78749579191207897</v>
      </c>
      <c r="M184" s="5">
        <v>-2.1077342033386199</v>
      </c>
      <c r="N184" s="5">
        <v>0.88490003347396895</v>
      </c>
      <c r="O184" s="5">
        <f>EXP(M184)</f>
        <v>0.12151297845596473</v>
      </c>
      <c r="Q184" s="16" t="s">
        <v>218</v>
      </c>
      <c r="R184" s="16" t="s">
        <v>47</v>
      </c>
      <c r="S184" s="17">
        <v>6.3792470731299997E-5</v>
      </c>
      <c r="T184" s="16">
        <v>0.59836100000000003</v>
      </c>
      <c r="U184" s="16" t="s">
        <v>942</v>
      </c>
      <c r="V184" s="16">
        <v>0.87926829268292706</v>
      </c>
      <c r="W184" s="16" t="s">
        <v>988</v>
      </c>
      <c r="X184" s="16">
        <v>1812</v>
      </c>
      <c r="Y184" s="16">
        <v>2279</v>
      </c>
    </row>
    <row r="185" spans="2:25" x14ac:dyDescent="0.2">
      <c r="B185" s="21" t="s">
        <v>47</v>
      </c>
      <c r="C185" s="21" t="s">
        <v>6</v>
      </c>
      <c r="D185" s="22">
        <v>0.76323670148849498</v>
      </c>
      <c r="E185" s="22">
        <v>-0.25815251469612099</v>
      </c>
      <c r="F185" s="22">
        <v>0.96711492538452204</v>
      </c>
      <c r="G185" s="21" t="s">
        <v>1113</v>
      </c>
      <c r="H185" s="22">
        <f>POWER(10,E185)</f>
        <v>0.55188359583226188</v>
      </c>
      <c r="J185" s="2" t="s">
        <v>47</v>
      </c>
      <c r="K185" s="2" t="s">
        <v>6</v>
      </c>
      <c r="L185" s="5">
        <v>0.75041842460632302</v>
      </c>
      <c r="M185" s="5">
        <v>-0.13658225536346399</v>
      </c>
      <c r="N185" s="5">
        <v>0.98563498258590698</v>
      </c>
      <c r="O185" s="5">
        <f>EXP(M185)</f>
        <v>0.87233456311190638</v>
      </c>
      <c r="Q185" s="16" t="s">
        <v>6</v>
      </c>
      <c r="R185" s="16" t="s">
        <v>47</v>
      </c>
      <c r="S185" s="17">
        <v>2.36974302403E-8</v>
      </c>
      <c r="T185" s="16">
        <v>0.4</v>
      </c>
      <c r="U185" s="16" t="s">
        <v>942</v>
      </c>
      <c r="V185" s="16">
        <v>0.82767624020887698</v>
      </c>
      <c r="W185" s="16" t="s">
        <v>989</v>
      </c>
      <c r="X185" s="16">
        <v>1812</v>
      </c>
      <c r="Y185" s="16">
        <v>1879</v>
      </c>
    </row>
    <row r="186" spans="2:25" x14ac:dyDescent="0.2">
      <c r="B186" s="21" t="s">
        <v>47</v>
      </c>
      <c r="C186" s="21" t="s">
        <v>17</v>
      </c>
      <c r="D186" s="22">
        <v>0.77715545892715499</v>
      </c>
      <c r="E186" s="22">
        <v>0.77888524532318104</v>
      </c>
      <c r="F186" s="22">
        <v>0.59026998281478904</v>
      </c>
      <c r="G186" s="21" t="s">
        <v>1113</v>
      </c>
      <c r="H186" s="22">
        <f>POWER(10,E186)</f>
        <v>6.0101490888363536</v>
      </c>
      <c r="J186" s="2" t="s">
        <v>47</v>
      </c>
      <c r="K186" s="2" t="s">
        <v>17</v>
      </c>
      <c r="L186" s="5">
        <v>0.77830177545547496</v>
      </c>
      <c r="M186" s="5">
        <v>0.45326757431030301</v>
      </c>
      <c r="N186" s="5">
        <v>0.72341626882553101</v>
      </c>
      <c r="O186" s="5">
        <f>EXP(M186)</f>
        <v>1.5734451436921233</v>
      </c>
      <c r="Q186" s="16" t="s">
        <v>17</v>
      </c>
      <c r="R186" s="16" t="s">
        <v>47</v>
      </c>
      <c r="S186" s="17">
        <v>8.7420398142699997E-8</v>
      </c>
      <c r="T186" s="16">
        <v>0.64028799999999997</v>
      </c>
      <c r="U186" s="16" t="s">
        <v>942</v>
      </c>
      <c r="V186" s="16">
        <v>0.82767624020887698</v>
      </c>
      <c r="W186" s="16" t="s">
        <v>989</v>
      </c>
      <c r="X186" s="16">
        <v>1812</v>
      </c>
      <c r="Y186" s="16">
        <v>664</v>
      </c>
    </row>
    <row r="187" spans="2:25" x14ac:dyDescent="0.2">
      <c r="B187" s="21"/>
      <c r="C187" s="21"/>
      <c r="D187" s="22"/>
      <c r="E187" s="22"/>
      <c r="F187" s="22"/>
      <c r="G187" s="21"/>
      <c r="H187" s="22"/>
      <c r="J187" s="2" t="s">
        <v>47</v>
      </c>
      <c r="K187" s="2" t="s">
        <v>111</v>
      </c>
      <c r="L187" s="5">
        <v>0.77660369873046897</v>
      </c>
      <c r="M187" s="5">
        <v>0.91515994071960505</v>
      </c>
      <c r="N187" s="5">
        <v>0.52651941776275601</v>
      </c>
      <c r="O187" s="5">
        <f>EXP(M187)</f>
        <v>2.4971746198721183</v>
      </c>
      <c r="Q187" s="16" t="s">
        <v>111</v>
      </c>
      <c r="R187" s="16" t="s">
        <v>47</v>
      </c>
      <c r="S187" s="17">
        <v>1.2761355177500001E-5</v>
      </c>
      <c r="T187" s="16">
        <v>0.55319099999999999</v>
      </c>
      <c r="U187" s="16" t="s">
        <v>942</v>
      </c>
      <c r="V187" s="16">
        <v>0.87926829268292706</v>
      </c>
      <c r="W187" s="16" t="s">
        <v>988</v>
      </c>
      <c r="X187" s="16">
        <v>1812</v>
      </c>
      <c r="Y187" s="16">
        <v>2196</v>
      </c>
    </row>
    <row r="188" spans="2:25" x14ac:dyDescent="0.2">
      <c r="B188" s="21"/>
      <c r="C188" s="21"/>
      <c r="D188" s="22"/>
      <c r="E188" s="22"/>
      <c r="F188" s="22"/>
      <c r="G188" s="21"/>
      <c r="H188" s="22"/>
      <c r="J188" s="2" t="s">
        <v>47</v>
      </c>
      <c r="K188" s="2" t="s">
        <v>216</v>
      </c>
      <c r="L188" s="5">
        <v>0.801799297332764</v>
      </c>
      <c r="M188" s="5">
        <v>-1.3143221139907799</v>
      </c>
      <c r="N188" s="5">
        <v>0.88724398612976096</v>
      </c>
      <c r="O188" s="5">
        <f>EXP(M188)</f>
        <v>0.26865637992666425</v>
      </c>
      <c r="Q188" s="16" t="s">
        <v>216</v>
      </c>
      <c r="R188" s="16" t="s">
        <v>47</v>
      </c>
      <c r="S188" s="17">
        <v>2.0778600418E-7</v>
      </c>
      <c r="T188" s="16">
        <v>0.75</v>
      </c>
      <c r="U188" s="16" t="s">
        <v>942</v>
      </c>
      <c r="V188" s="16">
        <v>0.87926829268292706</v>
      </c>
      <c r="W188" s="16" t="s">
        <v>988</v>
      </c>
      <c r="X188" s="16">
        <v>1812</v>
      </c>
      <c r="Y188" s="16">
        <v>1972</v>
      </c>
    </row>
    <row r="189" spans="2:25" x14ac:dyDescent="0.2">
      <c r="B189" s="21"/>
      <c r="C189" s="21"/>
      <c r="D189" s="22"/>
      <c r="E189" s="22"/>
      <c r="F189" s="22"/>
      <c r="G189" s="21"/>
      <c r="H189" s="22"/>
      <c r="J189" s="2" t="s">
        <v>47</v>
      </c>
      <c r="K189" s="2" t="s">
        <v>18</v>
      </c>
      <c r="L189" s="5">
        <v>0.77003926038742099</v>
      </c>
      <c r="M189" s="5">
        <v>-0.58552706241607699</v>
      </c>
      <c r="N189" s="5">
        <v>0.47369435429573098</v>
      </c>
      <c r="O189" s="5">
        <f>EXP(M189)</f>
        <v>0.55681230961759653</v>
      </c>
      <c r="Q189" s="16" t="s">
        <v>18</v>
      </c>
      <c r="R189" s="16" t="s">
        <v>47</v>
      </c>
      <c r="S189" s="17">
        <v>5.2764133312699998E-55</v>
      </c>
      <c r="T189" s="16">
        <v>0.63444100000000003</v>
      </c>
      <c r="U189" s="16" t="s">
        <v>942</v>
      </c>
      <c r="V189" s="16">
        <v>0.971830985915493</v>
      </c>
      <c r="W189" s="16" t="s">
        <v>990</v>
      </c>
      <c r="X189" s="16">
        <v>1812</v>
      </c>
      <c r="Y189" s="16">
        <v>278</v>
      </c>
    </row>
    <row r="190" spans="2:25" x14ac:dyDescent="0.2">
      <c r="B190" s="21" t="s">
        <v>47</v>
      </c>
      <c r="C190" s="21" t="s">
        <v>219</v>
      </c>
      <c r="D190" s="22">
        <v>0.77524882555007901</v>
      </c>
      <c r="E190" s="22">
        <v>-0.14563935995101901</v>
      </c>
      <c r="F190" s="22">
        <v>0.341783106327057</v>
      </c>
      <c r="G190" s="21" t="s">
        <v>1113</v>
      </c>
      <c r="H190" s="22">
        <f>POWER(10,E190)</f>
        <v>0.71508989338532913</v>
      </c>
      <c r="J190" s="2" t="s">
        <v>47</v>
      </c>
      <c r="K190" s="2" t="s">
        <v>219</v>
      </c>
      <c r="L190" s="5">
        <v>0.76190632581710804</v>
      </c>
      <c r="M190" s="5">
        <v>-0.27011314034461997</v>
      </c>
      <c r="N190" s="5">
        <v>0.37637633085250899</v>
      </c>
      <c r="O190" s="5">
        <f>EXP(M190)</f>
        <v>0.76329313020351408</v>
      </c>
      <c r="Q190" s="16" t="s">
        <v>219</v>
      </c>
      <c r="R190" s="16" t="s">
        <v>47</v>
      </c>
      <c r="S190" s="17">
        <v>1.3004687326999999E-9</v>
      </c>
      <c r="T190" s="16">
        <v>0.33898299999999998</v>
      </c>
      <c r="U190" s="16" t="s">
        <v>942</v>
      </c>
      <c r="V190" s="16">
        <v>0.14099216710182799</v>
      </c>
      <c r="W190" s="16" t="s">
        <v>989</v>
      </c>
      <c r="X190" s="16">
        <v>1812</v>
      </c>
      <c r="Y190" s="16">
        <v>1753</v>
      </c>
    </row>
    <row r="191" spans="2:25" x14ac:dyDescent="0.2">
      <c r="B191" s="21"/>
      <c r="C191" s="21"/>
      <c r="D191" s="22"/>
      <c r="E191" s="22"/>
      <c r="F191" s="22"/>
      <c r="G191" s="21"/>
      <c r="H191" s="22"/>
      <c r="J191" s="2" t="s">
        <v>47</v>
      </c>
      <c r="K191" s="2" t="s">
        <v>220</v>
      </c>
      <c r="L191" s="5">
        <v>0.75552177429199197</v>
      </c>
      <c r="M191" s="5">
        <v>-1.3489528894424401</v>
      </c>
      <c r="N191" s="5">
        <v>0.84249669313430797</v>
      </c>
      <c r="O191" s="5">
        <f>EXP(M191)</f>
        <v>0.25951185603013982</v>
      </c>
      <c r="Q191" s="16" t="s">
        <v>220</v>
      </c>
      <c r="R191" s="16" t="s">
        <v>47</v>
      </c>
      <c r="S191" s="17">
        <v>3.6147250908099999E-6</v>
      </c>
      <c r="T191" s="16">
        <v>0.46376800000000001</v>
      </c>
      <c r="U191" s="16" t="s">
        <v>942</v>
      </c>
      <c r="V191" s="16">
        <v>0.87926829268292706</v>
      </c>
      <c r="W191" s="16" t="s">
        <v>988</v>
      </c>
      <c r="X191" s="16">
        <v>1812</v>
      </c>
      <c r="Y191" s="16">
        <v>2127</v>
      </c>
    </row>
    <row r="192" spans="2:25" x14ac:dyDescent="0.2">
      <c r="B192" s="21"/>
      <c r="C192" s="21"/>
      <c r="D192" s="22"/>
      <c r="E192" s="22"/>
      <c r="F192" s="22"/>
      <c r="G192" s="21"/>
      <c r="H192" s="22"/>
      <c r="J192" s="2" t="s">
        <v>47</v>
      </c>
      <c r="K192" s="2" t="s">
        <v>129</v>
      </c>
      <c r="L192" s="5">
        <v>0.74830144643783603</v>
      </c>
      <c r="M192" s="5">
        <v>0.58949750661849998</v>
      </c>
      <c r="N192" s="5">
        <v>0.72601985931396495</v>
      </c>
      <c r="O192" s="5">
        <f>EXP(M192)</f>
        <v>1.8030821508738486</v>
      </c>
      <c r="Q192" s="16" t="s">
        <v>129</v>
      </c>
      <c r="R192" s="16" t="s">
        <v>47</v>
      </c>
      <c r="S192" s="17">
        <v>3.1810023652699999E-13</v>
      </c>
      <c r="T192" s="16">
        <v>0.71093799999999996</v>
      </c>
      <c r="U192" s="16" t="s">
        <v>942</v>
      </c>
      <c r="V192" s="16">
        <v>0.82767624020887698</v>
      </c>
      <c r="W192" s="16" t="s">
        <v>989</v>
      </c>
      <c r="X192" s="16">
        <v>1812</v>
      </c>
      <c r="Y192" s="16">
        <v>1464</v>
      </c>
    </row>
    <row r="193" spans="2:25" x14ac:dyDescent="0.2">
      <c r="B193" s="21"/>
      <c r="C193" s="21"/>
      <c r="D193" s="22"/>
      <c r="E193" s="22"/>
      <c r="F193" s="22"/>
      <c r="G193" s="21"/>
      <c r="H193" s="22"/>
      <c r="J193" s="2" t="s">
        <v>47</v>
      </c>
      <c r="K193" s="2" t="s">
        <v>222</v>
      </c>
      <c r="L193" s="5">
        <v>0.76365065574645996</v>
      </c>
      <c r="M193" s="5">
        <v>-0.78579467535018899</v>
      </c>
      <c r="N193" s="5">
        <v>0.88070011138916005</v>
      </c>
      <c r="O193" s="5">
        <f>EXP(M193)</f>
        <v>0.45575737868558036</v>
      </c>
      <c r="Q193" s="16" t="s">
        <v>222</v>
      </c>
      <c r="R193" s="16" t="s">
        <v>47</v>
      </c>
      <c r="S193" s="17">
        <v>2.07849967372E-13</v>
      </c>
      <c r="T193" s="16">
        <v>0.592391</v>
      </c>
      <c r="U193" s="16" t="s">
        <v>942</v>
      </c>
      <c r="V193" s="16">
        <v>0.10243902439024399</v>
      </c>
      <c r="W193" s="16" t="s">
        <v>988</v>
      </c>
      <c r="X193" s="16">
        <v>1812</v>
      </c>
      <c r="Y193" s="16">
        <v>1446</v>
      </c>
    </row>
    <row r="194" spans="2:25" x14ac:dyDescent="0.2">
      <c r="B194" s="21"/>
      <c r="C194" s="21"/>
      <c r="D194" s="22"/>
      <c r="E194" s="22"/>
      <c r="F194" s="22"/>
      <c r="G194" s="21"/>
      <c r="H194" s="22"/>
      <c r="J194" s="2" t="s">
        <v>47</v>
      </c>
      <c r="K194" s="2" t="s">
        <v>217</v>
      </c>
      <c r="L194" s="5">
        <v>0.77311819791793801</v>
      </c>
      <c r="M194" s="5">
        <v>1.9012802839279199</v>
      </c>
      <c r="N194" s="5">
        <v>0.18613940477371199</v>
      </c>
      <c r="O194" s="5">
        <f>EXP(M194)</f>
        <v>6.6944597673315185</v>
      </c>
      <c r="Q194" s="16" t="s">
        <v>217</v>
      </c>
      <c r="R194" s="16" t="s">
        <v>47</v>
      </c>
      <c r="S194" s="17">
        <v>7.0803297669300003E-9</v>
      </c>
      <c r="T194" s="16">
        <v>0.65957399999999999</v>
      </c>
      <c r="U194" s="16" t="s">
        <v>942</v>
      </c>
      <c r="V194" s="16">
        <v>0.10243902439024399</v>
      </c>
      <c r="W194" s="16" t="s">
        <v>988</v>
      </c>
      <c r="X194" s="16">
        <v>1812</v>
      </c>
      <c r="Y194" s="16">
        <v>1824</v>
      </c>
    </row>
    <row r="195" spans="2:25" x14ac:dyDescent="0.2">
      <c r="B195" s="21" t="s">
        <v>47</v>
      </c>
      <c r="C195" s="21" t="s">
        <v>9</v>
      </c>
      <c r="D195" s="22">
        <v>0.78005260229110696</v>
      </c>
      <c r="E195" s="22">
        <v>-1.2753040790557899</v>
      </c>
      <c r="F195" s="22">
        <v>0.77743023633956898</v>
      </c>
      <c r="G195" s="21" t="s">
        <v>1113</v>
      </c>
      <c r="H195" s="22">
        <f>POWER(10,E195)</f>
        <v>5.3051286608274809E-2</v>
      </c>
      <c r="J195" s="2" t="s">
        <v>47</v>
      </c>
      <c r="K195" s="2" t="s">
        <v>9</v>
      </c>
      <c r="L195" s="5">
        <v>0.75534075498580899</v>
      </c>
      <c r="M195" s="5">
        <v>-2.0080647468566899</v>
      </c>
      <c r="N195" s="5">
        <v>0.89590865373611495</v>
      </c>
      <c r="O195" s="5">
        <f>EXP(M195)</f>
        <v>0.13424822774206957</v>
      </c>
      <c r="Q195" s="16" t="s">
        <v>9</v>
      </c>
      <c r="R195" s="16" t="s">
        <v>47</v>
      </c>
      <c r="S195" s="17">
        <v>6.9481743830500004E-11</v>
      </c>
      <c r="T195" s="16">
        <v>0.42</v>
      </c>
      <c r="U195" s="16" t="s">
        <v>942</v>
      </c>
      <c r="V195" s="16">
        <v>0.82767624020887698</v>
      </c>
      <c r="W195" s="16" t="s">
        <v>989</v>
      </c>
      <c r="X195" s="16">
        <v>1812</v>
      </c>
      <c r="Y195" s="16">
        <v>1654</v>
      </c>
    </row>
    <row r="196" spans="2:25" x14ac:dyDescent="0.2">
      <c r="B196" s="21" t="s">
        <v>47</v>
      </c>
      <c r="C196" s="21" t="s">
        <v>21</v>
      </c>
      <c r="D196" s="22">
        <v>0.764149129390717</v>
      </c>
      <c r="E196" s="22">
        <v>0.19018432497978199</v>
      </c>
      <c r="F196" s="22">
        <v>0.71505129337310802</v>
      </c>
      <c r="G196" s="21" t="s">
        <v>1113</v>
      </c>
      <c r="H196" s="22">
        <f>POWER(10,E196)</f>
        <v>1.5494741132991221</v>
      </c>
      <c r="J196" s="2" t="s">
        <v>47</v>
      </c>
      <c r="K196" s="2" t="s">
        <v>21</v>
      </c>
      <c r="L196" s="5">
        <v>0.75555193424224898</v>
      </c>
      <c r="M196" s="5">
        <v>0.39079380035400402</v>
      </c>
      <c r="N196" s="5">
        <v>0.64606404304504395</v>
      </c>
      <c r="O196" s="5">
        <f>EXP(M196)</f>
        <v>1.4781536872196683</v>
      </c>
      <c r="Q196" s="16" t="s">
        <v>21</v>
      </c>
      <c r="R196" s="16" t="s">
        <v>47</v>
      </c>
      <c r="S196" s="17">
        <v>3.01322940263E-5</v>
      </c>
      <c r="T196" s="16">
        <v>0.74216000000000004</v>
      </c>
      <c r="U196" s="16" t="s">
        <v>942</v>
      </c>
      <c r="V196" s="16">
        <v>0.82767624020887698</v>
      </c>
      <c r="W196" s="16" t="s">
        <v>989</v>
      </c>
      <c r="X196" s="16">
        <v>1812</v>
      </c>
      <c r="Y196" s="16">
        <v>229</v>
      </c>
    </row>
    <row r="197" spans="2:25" x14ac:dyDescent="0.2">
      <c r="B197" s="21"/>
      <c r="C197" s="21"/>
      <c r="D197" s="22"/>
      <c r="E197" s="22"/>
      <c r="F197" s="22"/>
      <c r="G197" s="21"/>
      <c r="H197" s="22"/>
      <c r="J197" s="2" t="s">
        <v>47</v>
      </c>
      <c r="K197" s="2" t="s">
        <v>10</v>
      </c>
      <c r="L197" s="5">
        <v>0.78164654970169101</v>
      </c>
      <c r="M197" s="5">
        <v>0.98336338996887196</v>
      </c>
      <c r="N197" s="5">
        <v>0.88977825641632102</v>
      </c>
      <c r="O197" s="5">
        <f>EXP(M197)</f>
        <v>2.6734329349232846</v>
      </c>
      <c r="Q197" s="16" t="s">
        <v>10</v>
      </c>
      <c r="R197" s="16" t="s">
        <v>47</v>
      </c>
      <c r="S197" s="17">
        <v>8.6697915513399995E-10</v>
      </c>
      <c r="T197" s="16">
        <v>0.58757099999999995</v>
      </c>
      <c r="U197" s="16" t="s">
        <v>942</v>
      </c>
      <c r="V197" s="16">
        <v>0.87926829268292706</v>
      </c>
      <c r="W197" s="16" t="s">
        <v>988</v>
      </c>
      <c r="X197" s="16">
        <v>1812</v>
      </c>
      <c r="Y197" s="16">
        <v>1743</v>
      </c>
    </row>
    <row r="198" spans="2:25" x14ac:dyDescent="0.2">
      <c r="B198" s="21"/>
      <c r="C198" s="21"/>
      <c r="D198" s="22"/>
      <c r="E198" s="22"/>
      <c r="F198" s="22"/>
      <c r="G198" s="21"/>
      <c r="H198" s="22"/>
      <c r="J198" s="2" t="s">
        <v>47</v>
      </c>
      <c r="K198" s="2" t="s">
        <v>73</v>
      </c>
      <c r="L198" s="5">
        <v>0.759219110012054</v>
      </c>
      <c r="M198" s="5">
        <v>0.200661271810532</v>
      </c>
      <c r="N198" s="5">
        <v>0.74915558099746704</v>
      </c>
      <c r="O198" s="5">
        <f>EXP(M198)</f>
        <v>1.2222107044800685</v>
      </c>
      <c r="Q198" s="16" t="s">
        <v>73</v>
      </c>
      <c r="R198" s="16" t="s">
        <v>47</v>
      </c>
      <c r="S198" s="17">
        <v>1.17042185943E-8</v>
      </c>
      <c r="T198" s="16">
        <v>0.71428599999999998</v>
      </c>
      <c r="U198" s="16" t="s">
        <v>942</v>
      </c>
      <c r="V198" s="16">
        <v>0.971830985915493</v>
      </c>
      <c r="W198" s="16" t="s">
        <v>990</v>
      </c>
      <c r="X198" s="16">
        <v>1812</v>
      </c>
      <c r="Y198" s="16">
        <v>1843</v>
      </c>
    </row>
    <row r="199" spans="2:25" x14ac:dyDescent="0.2">
      <c r="B199" s="21"/>
      <c r="C199" s="21"/>
      <c r="D199" s="22"/>
      <c r="E199" s="22"/>
      <c r="F199" s="22"/>
      <c r="G199" s="21"/>
      <c r="H199" s="22"/>
      <c r="J199" s="2" t="s">
        <v>47</v>
      </c>
      <c r="K199" s="2" t="s">
        <v>223</v>
      </c>
      <c r="L199" s="5">
        <v>0.76245969533920299</v>
      </c>
      <c r="M199" s="5">
        <v>1.6636317968368499</v>
      </c>
      <c r="N199" s="5">
        <v>0.73951882123947099</v>
      </c>
      <c r="O199" s="5">
        <f>EXP(M199)</f>
        <v>5.2784463199825424</v>
      </c>
      <c r="Q199" s="16" t="s">
        <v>223</v>
      </c>
      <c r="R199" s="16" t="s">
        <v>47</v>
      </c>
      <c r="S199" s="17">
        <v>2.5136106049499998E-13</v>
      </c>
      <c r="T199" s="16">
        <v>1</v>
      </c>
      <c r="U199" s="16" t="s">
        <v>942</v>
      </c>
      <c r="V199" s="16">
        <v>0.87926829268292706</v>
      </c>
      <c r="W199" s="16" t="s">
        <v>988</v>
      </c>
      <c r="X199" s="16">
        <v>1812</v>
      </c>
      <c r="Y199" s="16">
        <v>1454</v>
      </c>
    </row>
    <row r="200" spans="2:25" x14ac:dyDescent="0.2">
      <c r="B200" s="21"/>
      <c r="C200" s="21"/>
      <c r="D200" s="22"/>
      <c r="E200" s="22"/>
      <c r="F200" s="22"/>
      <c r="G200" s="21"/>
      <c r="H200" s="22"/>
      <c r="J200" s="2" t="s">
        <v>47</v>
      </c>
      <c r="K200" s="2" t="s">
        <v>126</v>
      </c>
      <c r="L200" s="5">
        <v>0.76566332578659102</v>
      </c>
      <c r="M200" s="5">
        <v>1.4997409582138099</v>
      </c>
      <c r="N200" s="5">
        <v>0.52259743213653598</v>
      </c>
      <c r="O200" s="5">
        <f>EXP(M200)</f>
        <v>4.4805282759497524</v>
      </c>
      <c r="Q200" s="16" t="s">
        <v>126</v>
      </c>
      <c r="R200" s="16" t="s">
        <v>47</v>
      </c>
      <c r="S200" s="17">
        <v>6.9181867457600003E-18</v>
      </c>
      <c r="T200" s="16">
        <v>0.40677999999999997</v>
      </c>
      <c r="U200" s="16" t="s">
        <v>942</v>
      </c>
      <c r="V200" s="16">
        <v>0.80434782608695699</v>
      </c>
      <c r="W200" s="16" t="s">
        <v>991</v>
      </c>
      <c r="X200" s="16">
        <v>1812</v>
      </c>
      <c r="Y200" s="16">
        <v>1159</v>
      </c>
    </row>
    <row r="201" spans="2:25" x14ac:dyDescent="0.2">
      <c r="J201" s="2" t="s">
        <v>47</v>
      </c>
      <c r="K201" s="2" t="s">
        <v>128</v>
      </c>
      <c r="L201" s="5">
        <v>0.76356351375579801</v>
      </c>
      <c r="M201" s="5">
        <v>-0.62586683034896895</v>
      </c>
      <c r="N201" s="5">
        <v>0.90373319387435902</v>
      </c>
      <c r="O201" s="5">
        <f>EXP(M201)</f>
        <v>0.53479764870636604</v>
      </c>
      <c r="Q201" s="16" t="s">
        <v>128</v>
      </c>
      <c r="R201" s="16" t="s">
        <v>47</v>
      </c>
      <c r="S201" s="17">
        <v>8.1978438896099997E-36</v>
      </c>
      <c r="T201" s="16">
        <v>0.56745999999999996</v>
      </c>
      <c r="U201" s="16" t="s">
        <v>942</v>
      </c>
      <c r="V201" s="16">
        <v>0.971830985915493</v>
      </c>
      <c r="W201" s="16" t="s">
        <v>990</v>
      </c>
      <c r="X201" s="16">
        <v>1812</v>
      </c>
      <c r="Y201" s="16">
        <v>569</v>
      </c>
    </row>
    <row r="202" spans="2:25" x14ac:dyDescent="0.2">
      <c r="B202" s="21" t="s">
        <v>47</v>
      </c>
      <c r="C202" s="21" t="s">
        <v>215</v>
      </c>
      <c r="D202" s="22">
        <v>0.790477395057678</v>
      </c>
      <c r="E202" s="22">
        <v>-1.11258840560913</v>
      </c>
      <c r="F202" s="22">
        <v>0.80667340755462702</v>
      </c>
      <c r="G202" s="21" t="s">
        <v>1113</v>
      </c>
      <c r="H202" s="22">
        <f>POWER(10,E202)</f>
        <v>7.7163442458385745E-2</v>
      </c>
      <c r="J202" s="2" t="s">
        <v>47</v>
      </c>
      <c r="K202" s="2" t="s">
        <v>215</v>
      </c>
      <c r="L202" s="5">
        <v>0.73713845014572099</v>
      </c>
      <c r="M202" s="5">
        <v>-0.92562133073806796</v>
      </c>
      <c r="N202" s="5">
        <v>0.79225093126296997</v>
      </c>
      <c r="O202" s="5">
        <f>EXP(M202)</f>
        <v>0.39628511844071307</v>
      </c>
      <c r="Q202" s="16" t="s">
        <v>215</v>
      </c>
      <c r="R202" s="16" t="s">
        <v>47</v>
      </c>
      <c r="S202" s="17">
        <v>2.1861023893199999E-5</v>
      </c>
      <c r="T202" s="16">
        <v>0.352941</v>
      </c>
      <c r="U202" s="16" t="s">
        <v>942</v>
      </c>
      <c r="V202" s="16">
        <v>0.82767624020887698</v>
      </c>
      <c r="W202" s="16" t="s">
        <v>989</v>
      </c>
      <c r="X202" s="16">
        <v>1812</v>
      </c>
      <c r="Y202" s="16">
        <v>2220</v>
      </c>
    </row>
    <row r="203" spans="2:25" x14ac:dyDescent="0.2">
      <c r="B203" s="21" t="s">
        <v>47</v>
      </c>
      <c r="C203" s="21" t="s">
        <v>11</v>
      </c>
      <c r="D203" s="22">
        <v>0.78893882036209095</v>
      </c>
      <c r="E203" s="22">
        <v>-2.0471453666686998</v>
      </c>
      <c r="F203" s="22">
        <v>0.93274152278900202</v>
      </c>
      <c r="G203" s="21" t="s">
        <v>1113</v>
      </c>
      <c r="H203" s="22">
        <f>POWER(10,E203)</f>
        <v>8.9712845818742913E-3</v>
      </c>
      <c r="J203" s="2" t="s">
        <v>47</v>
      </c>
      <c r="K203" s="2" t="s">
        <v>11</v>
      </c>
      <c r="L203" s="5">
        <v>0.75882261991500899</v>
      </c>
      <c r="M203" s="5">
        <v>-1.3160361051559399</v>
      </c>
      <c r="N203" s="5">
        <v>0.92557942867279097</v>
      </c>
      <c r="O203" s="5">
        <f>EXP(M203)</f>
        <v>0.26819629966439246</v>
      </c>
      <c r="Q203" s="16" t="s">
        <v>11</v>
      </c>
      <c r="R203" s="16" t="s">
        <v>47</v>
      </c>
      <c r="S203" s="17">
        <v>4.0752210690600002E-5</v>
      </c>
      <c r="T203" s="16">
        <v>0.48888900000000002</v>
      </c>
      <c r="U203" s="16" t="s">
        <v>942</v>
      </c>
      <c r="V203" s="16">
        <v>0.82767624020887698</v>
      </c>
      <c r="W203" s="16" t="s">
        <v>989</v>
      </c>
      <c r="X203" s="16">
        <v>1812</v>
      </c>
      <c r="Y203" s="16">
        <v>2256</v>
      </c>
    </row>
    <row r="204" spans="2:25" x14ac:dyDescent="0.2">
      <c r="B204" s="21" t="s">
        <v>47</v>
      </c>
      <c r="C204" s="21" t="s">
        <v>34</v>
      </c>
      <c r="D204" s="22">
        <v>0.77821284532546997</v>
      </c>
      <c r="E204" s="22">
        <v>0.46642440557479897</v>
      </c>
      <c r="F204" s="22">
        <v>0.84719622135162398</v>
      </c>
      <c r="G204" s="21" t="s">
        <v>1113</v>
      </c>
      <c r="H204" s="22">
        <f>POWER(10,E204)</f>
        <v>2.9270113438311554</v>
      </c>
      <c r="J204" s="2" t="s">
        <v>47</v>
      </c>
      <c r="K204" s="2" t="s">
        <v>34</v>
      </c>
      <c r="L204" s="5">
        <v>0.76788276433944702</v>
      </c>
      <c r="M204" s="5">
        <v>0.415616124868393</v>
      </c>
      <c r="N204" s="5">
        <v>0.88980180025100697</v>
      </c>
      <c r="O204" s="5">
        <f>EXP(M204)</f>
        <v>1.515304069659424</v>
      </c>
      <c r="Q204" s="16" t="s">
        <v>34</v>
      </c>
      <c r="R204" s="16" t="s">
        <v>47</v>
      </c>
      <c r="S204" s="17">
        <v>1.9073541412999999E-8</v>
      </c>
      <c r="T204" s="16">
        <v>0.66013100000000002</v>
      </c>
      <c r="U204" s="16" t="s">
        <v>942</v>
      </c>
      <c r="V204" s="16">
        <v>0.82767624020887698</v>
      </c>
      <c r="W204" s="16" t="s">
        <v>989</v>
      </c>
      <c r="X204" s="16">
        <v>1812</v>
      </c>
      <c r="Y204" s="16">
        <v>1870</v>
      </c>
    </row>
    <row r="205" spans="2:25" x14ac:dyDescent="0.2">
      <c r="B205" s="21"/>
      <c r="C205" s="21"/>
      <c r="D205" s="22"/>
      <c r="E205" s="22"/>
      <c r="F205" s="22"/>
      <c r="G205" s="21"/>
      <c r="H205" s="22"/>
      <c r="J205" s="2" t="s">
        <v>47</v>
      </c>
      <c r="K205" s="2" t="s">
        <v>221</v>
      </c>
      <c r="L205" s="5">
        <v>0.79734748601913497</v>
      </c>
      <c r="M205" s="5">
        <v>-0.38255324959754899</v>
      </c>
      <c r="N205" s="5">
        <v>0.69187074899673495</v>
      </c>
      <c r="O205" s="5">
        <f>EXP(M205)</f>
        <v>0.68211756752340436</v>
      </c>
      <c r="Q205" s="16" t="s">
        <v>221</v>
      </c>
      <c r="R205" s="16" t="s">
        <v>47</v>
      </c>
      <c r="S205" s="17">
        <v>1.6161284273000002E-14</v>
      </c>
      <c r="T205" s="16">
        <v>0.60869600000000001</v>
      </c>
      <c r="U205" s="16" t="s">
        <v>942</v>
      </c>
      <c r="V205" s="16">
        <v>0.87926829268292706</v>
      </c>
      <c r="W205" s="16" t="s">
        <v>988</v>
      </c>
      <c r="X205" s="16">
        <v>1812</v>
      </c>
      <c r="Y205" s="16">
        <v>1372</v>
      </c>
    </row>
    <row r="206" spans="2:25" x14ac:dyDescent="0.2">
      <c r="B206" s="21" t="s">
        <v>47</v>
      </c>
      <c r="C206" s="21" t="s">
        <v>131</v>
      </c>
      <c r="D206" s="22">
        <v>0.75791418552398704</v>
      </c>
      <c r="E206" s="22">
        <v>0.64099782705306996</v>
      </c>
      <c r="F206" s="22">
        <v>0.76597964763641402</v>
      </c>
      <c r="G206" s="21" t="s">
        <v>1113</v>
      </c>
      <c r="H206" s="22">
        <f>POWER(10,E206)</f>
        <v>4.375199160677238</v>
      </c>
      <c r="J206" s="2" t="s">
        <v>47</v>
      </c>
      <c r="K206" s="2" t="s">
        <v>131</v>
      </c>
      <c r="L206" s="5">
        <v>0.75281268358230602</v>
      </c>
      <c r="M206" s="5">
        <v>0.36672157049179099</v>
      </c>
      <c r="N206" s="5">
        <v>0.70183449983596802</v>
      </c>
      <c r="O206" s="5">
        <f>EXP(M206)</f>
        <v>1.4429960904854786</v>
      </c>
      <c r="Q206" s="16" t="s">
        <v>131</v>
      </c>
      <c r="R206" s="16" t="s">
        <v>47</v>
      </c>
      <c r="S206" s="17">
        <v>7.7305641332799998E-8</v>
      </c>
      <c r="T206" s="16">
        <v>0.67460299999999995</v>
      </c>
      <c r="U206" s="16" t="s">
        <v>942</v>
      </c>
      <c r="V206" s="16">
        <v>0.82767624020887698</v>
      </c>
      <c r="W206" s="16" t="s">
        <v>989</v>
      </c>
      <c r="X206" s="16">
        <v>1812</v>
      </c>
      <c r="Y206" s="16">
        <v>1932</v>
      </c>
    </row>
    <row r="207" spans="2:25" x14ac:dyDescent="0.2">
      <c r="B207" s="21" t="s">
        <v>51</v>
      </c>
      <c r="C207" s="21" t="s">
        <v>17</v>
      </c>
      <c r="D207" s="22">
        <v>0.93482726812362704</v>
      </c>
      <c r="E207" s="22">
        <v>-4.6178027987480198E-3</v>
      </c>
      <c r="F207" s="22">
        <v>0.76948100328445401</v>
      </c>
      <c r="G207" s="21" t="s">
        <v>1113</v>
      </c>
      <c r="H207" s="22">
        <f>POWER(10,E207)</f>
        <v>0.98942344539873051</v>
      </c>
      <c r="J207" s="2" t="s">
        <v>51</v>
      </c>
      <c r="K207" s="2" t="s">
        <v>17</v>
      </c>
      <c r="L207" s="5">
        <v>0.77401477098464999</v>
      </c>
      <c r="M207" s="5">
        <v>0.28128099441528298</v>
      </c>
      <c r="N207" s="5">
        <v>0.83013761043548595</v>
      </c>
      <c r="O207" s="5">
        <f>EXP(M207)</f>
        <v>1.3248258202941745</v>
      </c>
      <c r="Q207" s="16" t="s">
        <v>17</v>
      </c>
      <c r="R207" s="16" t="s">
        <v>51</v>
      </c>
      <c r="S207" s="17">
        <v>4.3348957756699997E-10</v>
      </c>
      <c r="T207" s="16">
        <v>0.64028799999999997</v>
      </c>
      <c r="U207" s="16" t="s">
        <v>942</v>
      </c>
      <c r="V207" s="16">
        <v>0.925984878631118</v>
      </c>
      <c r="W207" s="16" t="s">
        <v>992</v>
      </c>
      <c r="X207" s="16">
        <v>1813</v>
      </c>
      <c r="Y207" s="16">
        <v>663</v>
      </c>
    </row>
    <row r="208" spans="2:25" x14ac:dyDescent="0.2">
      <c r="B208" s="21"/>
      <c r="C208" s="21"/>
      <c r="D208" s="22"/>
      <c r="E208" s="22"/>
      <c r="F208" s="22"/>
      <c r="G208" s="21"/>
      <c r="H208" s="22"/>
      <c r="J208" s="2" t="s">
        <v>51</v>
      </c>
      <c r="K208" s="2" t="s">
        <v>111</v>
      </c>
      <c r="L208" s="5">
        <v>0.78260308504104603</v>
      </c>
      <c r="M208" s="5">
        <v>1.61255943775177</v>
      </c>
      <c r="N208" s="5">
        <v>0.53557819128036499</v>
      </c>
      <c r="O208" s="5">
        <f>EXP(M208)</f>
        <v>5.0156320117554909</v>
      </c>
      <c r="Q208" s="16" t="s">
        <v>111</v>
      </c>
      <c r="R208" s="16" t="s">
        <v>51</v>
      </c>
      <c r="S208" s="17">
        <v>6.0572943638699998E-6</v>
      </c>
      <c r="T208" s="16">
        <v>0.61363599999999996</v>
      </c>
      <c r="U208" s="16" t="s">
        <v>942</v>
      </c>
      <c r="V208" s="16">
        <v>0.92451071761416603</v>
      </c>
      <c r="W208" s="16" t="s">
        <v>993</v>
      </c>
      <c r="X208" s="16">
        <v>1813</v>
      </c>
      <c r="Y208" s="16">
        <v>2159</v>
      </c>
    </row>
    <row r="209" spans="2:25" x14ac:dyDescent="0.2">
      <c r="B209" s="21" t="s">
        <v>51</v>
      </c>
      <c r="C209" s="21" t="s">
        <v>18</v>
      </c>
      <c r="D209" s="22">
        <v>0.93141382932662997</v>
      </c>
      <c r="E209" s="22">
        <v>0.35074627399444602</v>
      </c>
      <c r="F209" s="22">
        <v>0.30087956786155701</v>
      </c>
      <c r="G209" s="21" t="s">
        <v>1113</v>
      </c>
      <c r="H209" s="22">
        <f>POWER(10,E209)</f>
        <v>2.2425713731205046</v>
      </c>
      <c r="J209" s="2" t="s">
        <v>51</v>
      </c>
      <c r="K209" s="2" t="s">
        <v>18</v>
      </c>
      <c r="L209" s="5">
        <v>0.76045966148376498</v>
      </c>
      <c r="M209" s="5">
        <v>-2.9518121853470799E-2</v>
      </c>
      <c r="N209" s="5">
        <v>0.44131281971931502</v>
      </c>
      <c r="O209" s="5">
        <f>EXP(M209)</f>
        <v>0.97091328273352606</v>
      </c>
      <c r="Q209" s="16" t="s">
        <v>18</v>
      </c>
      <c r="R209" s="16" t="s">
        <v>51</v>
      </c>
      <c r="S209" s="17">
        <v>2.0427750906999999E-23</v>
      </c>
      <c r="T209" s="16">
        <v>0.71</v>
      </c>
      <c r="U209" s="16" t="s">
        <v>942</v>
      </c>
      <c r="V209" s="16">
        <v>0.925984878631118</v>
      </c>
      <c r="W209" s="16" t="s">
        <v>992</v>
      </c>
      <c r="X209" s="16">
        <v>1813</v>
      </c>
      <c r="Y209" s="16">
        <v>329</v>
      </c>
    </row>
    <row r="210" spans="2:25" x14ac:dyDescent="0.2">
      <c r="B210" s="21"/>
      <c r="C210" s="21"/>
      <c r="D210" s="22"/>
      <c r="E210" s="22"/>
      <c r="F210" s="22"/>
      <c r="G210" s="21"/>
      <c r="H210" s="22"/>
      <c r="J210" s="2" t="s">
        <v>51</v>
      </c>
      <c r="K210" s="2" t="s">
        <v>144</v>
      </c>
      <c r="L210" s="5">
        <v>0.76517921686172496</v>
      </c>
      <c r="M210" s="5">
        <v>1.48576641082764</v>
      </c>
      <c r="N210" s="5">
        <v>0.50697958469390902</v>
      </c>
      <c r="O210" s="5">
        <f>EXP(M210)</f>
        <v>4.4183503870493634</v>
      </c>
      <c r="Q210" s="16" t="s">
        <v>144</v>
      </c>
      <c r="R210" s="16" t="s">
        <v>51</v>
      </c>
      <c r="S210" s="17">
        <v>1.9252717104999998E-6</v>
      </c>
      <c r="T210" s="16">
        <v>0.57142899999999996</v>
      </c>
      <c r="U210" s="16" t="s">
        <v>942</v>
      </c>
      <c r="V210" s="16">
        <v>0.93442622950819698</v>
      </c>
      <c r="W210" s="16" t="s">
        <v>995</v>
      </c>
      <c r="X210" s="16">
        <v>1813</v>
      </c>
      <c r="Y210" s="16">
        <v>2087</v>
      </c>
    </row>
    <row r="211" spans="2:25" x14ac:dyDescent="0.2">
      <c r="B211" s="21" t="s">
        <v>51</v>
      </c>
      <c r="C211" s="21" t="s">
        <v>66</v>
      </c>
      <c r="D211" s="22">
        <v>0.89692795276641901</v>
      </c>
      <c r="E211" s="22">
        <v>-1.28172206878662</v>
      </c>
      <c r="F211" s="22">
        <v>0.76642197370529197</v>
      </c>
      <c r="G211" s="21" t="s">
        <v>1113</v>
      </c>
      <c r="H211" s="22">
        <f>POWER(10,E211)</f>
        <v>5.227306088009348E-2</v>
      </c>
      <c r="J211" s="2" t="s">
        <v>51</v>
      </c>
      <c r="K211" s="2" t="s">
        <v>66</v>
      </c>
      <c r="L211" s="5">
        <v>0.74002665281295799</v>
      </c>
      <c r="M211" s="5">
        <v>-0.86170673370361295</v>
      </c>
      <c r="N211" s="5">
        <v>0.73491919040679898</v>
      </c>
      <c r="O211" s="5">
        <f>EXP(M211)</f>
        <v>0.4224404733021469</v>
      </c>
      <c r="Q211" s="16" t="s">
        <v>66</v>
      </c>
      <c r="R211" s="16" t="s">
        <v>51</v>
      </c>
      <c r="S211" s="17">
        <v>5.1488347878899998E-12</v>
      </c>
      <c r="T211" s="16">
        <v>0.36507899999999999</v>
      </c>
      <c r="U211" s="16" t="s">
        <v>942</v>
      </c>
      <c r="V211" s="16">
        <v>0.925984878631118</v>
      </c>
      <c r="W211" s="16" t="s">
        <v>992</v>
      </c>
      <c r="X211" s="16">
        <v>1813</v>
      </c>
      <c r="Y211" s="16">
        <v>1571</v>
      </c>
    </row>
    <row r="212" spans="2:25" x14ac:dyDescent="0.2">
      <c r="B212" s="21" t="s">
        <v>51</v>
      </c>
      <c r="C212" s="21" t="s">
        <v>58</v>
      </c>
      <c r="D212" s="22">
        <v>0.92817145586013805</v>
      </c>
      <c r="E212" s="22">
        <v>0.66065824031829801</v>
      </c>
      <c r="F212" s="22">
        <v>0.93448203802108798</v>
      </c>
      <c r="G212" s="21" t="s">
        <v>1113</v>
      </c>
      <c r="H212" s="22">
        <f>POWER(10,E212)</f>
        <v>4.5778150259398478</v>
      </c>
      <c r="J212" s="2" t="s">
        <v>51</v>
      </c>
      <c r="K212" s="2" t="s">
        <v>58</v>
      </c>
      <c r="L212" s="5">
        <v>0.75108140707016002</v>
      </c>
      <c r="M212" s="5">
        <v>0.86854445934295699</v>
      </c>
      <c r="N212" s="5">
        <v>0.82270705699920699</v>
      </c>
      <c r="O212" s="5">
        <f>EXP(M212)</f>
        <v>2.3834391349589272</v>
      </c>
      <c r="Q212" s="16" t="s">
        <v>58</v>
      </c>
      <c r="R212" s="16" t="s">
        <v>51</v>
      </c>
      <c r="S212" s="17">
        <v>1.24552808295E-20</v>
      </c>
      <c r="T212" s="16">
        <v>0.47619</v>
      </c>
      <c r="U212" s="16" t="s">
        <v>942</v>
      </c>
      <c r="V212" s="16">
        <v>0.925984878631118</v>
      </c>
      <c r="W212" s="16" t="s">
        <v>992</v>
      </c>
      <c r="X212" s="16">
        <v>1813</v>
      </c>
      <c r="Y212" s="16">
        <v>1020</v>
      </c>
    </row>
    <row r="213" spans="2:25" x14ac:dyDescent="0.2">
      <c r="B213" s="21" t="s">
        <v>51</v>
      </c>
      <c r="C213" s="21" t="s">
        <v>181</v>
      </c>
      <c r="D213" s="22">
        <v>0.93975162506103505</v>
      </c>
      <c r="E213" s="22">
        <v>-1.36495018005371</v>
      </c>
      <c r="F213" s="22">
        <v>0.88867002725601196</v>
      </c>
      <c r="G213" s="21" t="s">
        <v>1113</v>
      </c>
      <c r="H213" s="22">
        <f>POWER(10,E213)</f>
        <v>4.3156858123377613E-2</v>
      </c>
      <c r="J213" s="2" t="s">
        <v>51</v>
      </c>
      <c r="K213" s="2" t="s">
        <v>181</v>
      </c>
      <c r="L213" s="5">
        <v>0.75364840030670199</v>
      </c>
      <c r="M213" s="5">
        <v>0.47109186649322499</v>
      </c>
      <c r="N213" s="5">
        <v>0.72505497932434104</v>
      </c>
      <c r="O213" s="5">
        <f>EXP(M213)</f>
        <v>1.6017421273479904</v>
      </c>
      <c r="Q213" s="16" t="s">
        <v>181</v>
      </c>
      <c r="R213" s="16" t="s">
        <v>51</v>
      </c>
      <c r="S213" s="17">
        <v>4.5046282075800002E-11</v>
      </c>
      <c r="T213" s="16">
        <v>0.44827600000000001</v>
      </c>
      <c r="U213" s="16" t="s">
        <v>942</v>
      </c>
      <c r="V213" s="16">
        <v>0.925984878631118</v>
      </c>
      <c r="W213" s="16" t="s">
        <v>992</v>
      </c>
      <c r="X213" s="16">
        <v>1813</v>
      </c>
      <c r="Y213" s="16">
        <v>529</v>
      </c>
    </row>
    <row r="214" spans="2:25" x14ac:dyDescent="0.2">
      <c r="B214" s="21" t="s">
        <v>51</v>
      </c>
      <c r="C214" s="21" t="s">
        <v>129</v>
      </c>
      <c r="D214" s="22">
        <v>0.94013100862503096</v>
      </c>
      <c r="E214" s="22">
        <v>0.39383244514465299</v>
      </c>
      <c r="F214" s="22">
        <v>0.807833611965179</v>
      </c>
      <c r="G214" s="21" t="s">
        <v>1113</v>
      </c>
      <c r="H214" s="22">
        <f>POWER(10,E214)</f>
        <v>2.4764664294902206</v>
      </c>
      <c r="J214" s="2" t="s">
        <v>51</v>
      </c>
      <c r="K214" s="2" t="s">
        <v>129</v>
      </c>
      <c r="L214" s="5">
        <v>0.75781768560409601</v>
      </c>
      <c r="M214" s="5">
        <v>-8.87876451015472E-2</v>
      </c>
      <c r="N214" s="5">
        <v>0.85641795396804798</v>
      </c>
      <c r="O214" s="5">
        <f>EXP(M214)</f>
        <v>0.91503986614208754</v>
      </c>
      <c r="Q214" s="16" t="s">
        <v>129</v>
      </c>
      <c r="R214" s="16" t="s">
        <v>51</v>
      </c>
      <c r="S214" s="17">
        <v>2.8706402309100001E-5</v>
      </c>
      <c r="T214" s="16">
        <v>0.75609800000000005</v>
      </c>
      <c r="U214" s="16" t="s">
        <v>942</v>
      </c>
      <c r="V214" s="16">
        <v>0.925984878631118</v>
      </c>
      <c r="W214" s="16" t="s">
        <v>992</v>
      </c>
      <c r="X214" s="16">
        <v>1813</v>
      </c>
      <c r="Y214" s="16">
        <v>1919</v>
      </c>
    </row>
    <row r="215" spans="2:25" x14ac:dyDescent="0.2">
      <c r="B215" s="21"/>
      <c r="C215" s="21"/>
      <c r="D215" s="22"/>
      <c r="E215" s="22"/>
      <c r="F215" s="22"/>
      <c r="G215" s="21"/>
      <c r="H215" s="22"/>
      <c r="J215" s="2" t="s">
        <v>51</v>
      </c>
      <c r="K215" s="2" t="s">
        <v>224</v>
      </c>
      <c r="L215" s="5">
        <v>0.74517202377319303</v>
      </c>
      <c r="M215" s="5">
        <v>0.53691399097442605</v>
      </c>
      <c r="N215" s="5">
        <v>0.94897365570068404</v>
      </c>
      <c r="O215" s="5">
        <f>EXP(M215)</f>
        <v>1.7107194122755109</v>
      </c>
      <c r="Q215" s="16" t="s">
        <v>224</v>
      </c>
      <c r="R215" s="16" t="s">
        <v>51</v>
      </c>
      <c r="S215" s="17">
        <v>2.3554733321E-15</v>
      </c>
      <c r="T215" s="16">
        <v>0.45454499999999998</v>
      </c>
      <c r="U215" s="16" t="s">
        <v>942</v>
      </c>
      <c r="V215" s="16">
        <v>0.93442622950819698</v>
      </c>
      <c r="W215" s="16" t="s">
        <v>995</v>
      </c>
      <c r="X215" s="16">
        <v>1813</v>
      </c>
      <c r="Y215" s="16">
        <v>1314</v>
      </c>
    </row>
    <row r="216" spans="2:25" x14ac:dyDescent="0.2">
      <c r="B216" s="21"/>
      <c r="C216" s="21"/>
      <c r="D216" s="22"/>
      <c r="E216" s="22"/>
      <c r="F216" s="22"/>
      <c r="G216" s="21"/>
      <c r="H216" s="22"/>
      <c r="J216" s="2" t="s">
        <v>51</v>
      </c>
      <c r="K216" s="2" t="s">
        <v>222</v>
      </c>
      <c r="L216" s="5">
        <v>0.750319004058838</v>
      </c>
      <c r="M216" s="5">
        <v>-0.83098703622818004</v>
      </c>
      <c r="N216" s="5">
        <v>0.80476176738739003</v>
      </c>
      <c r="O216" s="5">
        <f>EXP(M216)</f>
        <v>0.43561910221723726</v>
      </c>
      <c r="Q216" s="16" t="s">
        <v>222</v>
      </c>
      <c r="R216" s="16" t="s">
        <v>51</v>
      </c>
      <c r="S216" s="17">
        <v>9.2140863838599994E-15</v>
      </c>
      <c r="T216" s="16">
        <v>0.58421100000000004</v>
      </c>
      <c r="U216" s="16" t="s">
        <v>942</v>
      </c>
      <c r="V216" s="16">
        <v>0.11550151975683901</v>
      </c>
      <c r="W216" s="16" t="s">
        <v>994</v>
      </c>
      <c r="X216" s="16">
        <v>1813</v>
      </c>
      <c r="Y216" s="16">
        <v>1358</v>
      </c>
    </row>
    <row r="217" spans="2:25" x14ac:dyDescent="0.2">
      <c r="B217" s="21"/>
      <c r="C217" s="21"/>
      <c r="D217" s="22"/>
      <c r="E217" s="22"/>
      <c r="F217" s="22"/>
      <c r="G217" s="21"/>
      <c r="H217" s="22"/>
      <c r="J217" s="2" t="s">
        <v>51</v>
      </c>
      <c r="K217" s="2" t="s">
        <v>217</v>
      </c>
      <c r="L217" s="5">
        <v>0.76111692190170299</v>
      </c>
      <c r="M217" s="5">
        <v>1.6138063669204701</v>
      </c>
      <c r="N217" s="5">
        <v>0.14463783800602001</v>
      </c>
      <c r="O217" s="5">
        <f>EXP(M217)</f>
        <v>5.0218900504650676</v>
      </c>
      <c r="Q217" s="16" t="s">
        <v>217</v>
      </c>
      <c r="R217" s="16" t="s">
        <v>51</v>
      </c>
      <c r="S217" s="17">
        <v>2.26756841148E-12</v>
      </c>
      <c r="T217" s="16">
        <v>0.70175399999999999</v>
      </c>
      <c r="U217" s="16" t="s">
        <v>942</v>
      </c>
      <c r="V217" s="16">
        <v>0.11550151975683901</v>
      </c>
      <c r="W217" s="16" t="s">
        <v>994</v>
      </c>
      <c r="X217" s="16">
        <v>1813</v>
      </c>
      <c r="Y217" s="16">
        <v>1532</v>
      </c>
    </row>
    <row r="218" spans="2:25" x14ac:dyDescent="0.2">
      <c r="B218" s="21"/>
      <c r="C218" s="21"/>
      <c r="D218" s="22"/>
      <c r="E218" s="22"/>
      <c r="F218" s="22"/>
      <c r="G218" s="21"/>
      <c r="H218" s="22"/>
      <c r="J218" s="2" t="s">
        <v>51</v>
      </c>
      <c r="K218" s="2" t="s">
        <v>193</v>
      </c>
      <c r="L218" s="5">
        <v>0.75748556852340698</v>
      </c>
      <c r="M218" s="5">
        <v>0.46638923883438099</v>
      </c>
      <c r="N218" s="5">
        <v>0.98429930210113503</v>
      </c>
      <c r="O218" s="5">
        <f>EXP(M218)</f>
        <v>1.5942274138162416</v>
      </c>
      <c r="Q218" s="16" t="s">
        <v>193</v>
      </c>
      <c r="R218" s="16" t="s">
        <v>51</v>
      </c>
      <c r="S218" s="17">
        <v>8.4049294194499997E-6</v>
      </c>
      <c r="T218" s="16">
        <v>0.74576299999999995</v>
      </c>
      <c r="U218" s="16" t="s">
        <v>942</v>
      </c>
      <c r="V218" s="16">
        <v>0.92451071761416603</v>
      </c>
      <c r="W218" s="16" t="s">
        <v>993</v>
      </c>
      <c r="X218" s="16">
        <v>1813</v>
      </c>
      <c r="Y218" s="16">
        <v>1918</v>
      </c>
    </row>
    <row r="219" spans="2:25" x14ac:dyDescent="0.2">
      <c r="B219" s="21" t="s">
        <v>51</v>
      </c>
      <c r="C219" s="21" t="s">
        <v>21</v>
      </c>
      <c r="D219" s="22">
        <v>0.94236576557159402</v>
      </c>
      <c r="E219" s="22">
        <v>0.356070816516876</v>
      </c>
      <c r="F219" s="22">
        <v>0.41839975118637102</v>
      </c>
      <c r="G219" s="21" t="s">
        <v>1113</v>
      </c>
      <c r="H219" s="22">
        <f>POWER(10,E219)</f>
        <v>2.2702350086220204</v>
      </c>
      <c r="J219" s="2" t="s">
        <v>51</v>
      </c>
      <c r="K219" s="2" t="s">
        <v>21</v>
      </c>
      <c r="L219" s="5">
        <v>0.75051444768905595</v>
      </c>
      <c r="M219" s="5">
        <v>-0.28753209114074701</v>
      </c>
      <c r="N219" s="5">
        <v>0.55351197719573997</v>
      </c>
      <c r="O219" s="5">
        <f>EXP(M219)</f>
        <v>0.75011249441909478</v>
      </c>
      <c r="Q219" s="16" t="s">
        <v>21</v>
      </c>
      <c r="R219" s="16" t="s">
        <v>51</v>
      </c>
      <c r="S219" s="17">
        <v>1.6836614513799999E-26</v>
      </c>
      <c r="T219" s="16">
        <v>0.74216000000000004</v>
      </c>
      <c r="U219" s="16" t="s">
        <v>942</v>
      </c>
      <c r="V219" s="16">
        <v>0.925984878631118</v>
      </c>
      <c r="W219" s="16" t="s">
        <v>992</v>
      </c>
      <c r="X219" s="16">
        <v>1813</v>
      </c>
      <c r="Y219" s="16">
        <v>273</v>
      </c>
    </row>
    <row r="220" spans="2:25" x14ac:dyDescent="0.2">
      <c r="B220" s="21" t="s">
        <v>51</v>
      </c>
      <c r="C220" s="21" t="s">
        <v>10</v>
      </c>
      <c r="D220" s="22">
        <v>0.94123286008834794</v>
      </c>
      <c r="E220" s="22">
        <v>0.78144806623458896</v>
      </c>
      <c r="F220" s="22">
        <v>0.87742561101913497</v>
      </c>
      <c r="G220" s="21" t="s">
        <v>1113</v>
      </c>
      <c r="H220" s="22">
        <f>POWER(10,E220)</f>
        <v>6.0457205113888568</v>
      </c>
      <c r="J220" s="2" t="s">
        <v>51</v>
      </c>
      <c r="K220" s="2" t="s">
        <v>10</v>
      </c>
      <c r="L220" s="5">
        <v>0.778572857379913</v>
      </c>
      <c r="M220" s="5">
        <v>0.73118394613266002</v>
      </c>
      <c r="N220" s="5">
        <v>0.86204332113266002</v>
      </c>
      <c r="O220" s="5">
        <f>EXP(M220)</f>
        <v>2.0775388462584203</v>
      </c>
      <c r="Q220" s="16" t="s">
        <v>10</v>
      </c>
      <c r="R220" s="16" t="s">
        <v>51</v>
      </c>
      <c r="S220" s="17">
        <v>2.4897184894499998E-5</v>
      </c>
      <c r="T220" s="16">
        <v>0.65104200000000001</v>
      </c>
      <c r="U220" s="16" t="s">
        <v>942</v>
      </c>
      <c r="V220" s="16">
        <v>0.925984878631118</v>
      </c>
      <c r="W220" s="16" t="s">
        <v>992</v>
      </c>
      <c r="X220" s="16">
        <v>1813</v>
      </c>
      <c r="Y220" s="16">
        <v>1285</v>
      </c>
    </row>
    <row r="221" spans="2:25" x14ac:dyDescent="0.2">
      <c r="B221" s="21"/>
      <c r="C221" s="21"/>
      <c r="D221" s="22"/>
      <c r="E221" s="22"/>
      <c r="F221" s="22"/>
      <c r="G221" s="21"/>
      <c r="H221" s="22"/>
      <c r="J221" s="2" t="s">
        <v>51</v>
      </c>
      <c r="K221" s="2" t="s">
        <v>73</v>
      </c>
      <c r="L221" s="5">
        <v>0.786418497562408</v>
      </c>
      <c r="M221" s="5">
        <v>0.557500600814819</v>
      </c>
      <c r="N221" s="5">
        <v>0.95192450284957897</v>
      </c>
      <c r="O221" s="5">
        <f>EXP(M221)</f>
        <v>1.746302334544735</v>
      </c>
      <c r="Q221" s="16" t="s">
        <v>73</v>
      </c>
      <c r="R221" s="16" t="s">
        <v>51</v>
      </c>
      <c r="S221" s="17">
        <v>2.1427967805200001E-5</v>
      </c>
      <c r="T221" s="16">
        <v>0.71428599999999998</v>
      </c>
      <c r="U221" s="16" t="s">
        <v>942</v>
      </c>
      <c r="V221" s="16">
        <v>0.92451071761416603</v>
      </c>
      <c r="W221" s="16" t="s">
        <v>993</v>
      </c>
      <c r="X221" s="16">
        <v>1813</v>
      </c>
      <c r="Y221" s="16">
        <v>1854</v>
      </c>
    </row>
    <row r="222" spans="2:25" x14ac:dyDescent="0.2">
      <c r="B222" s="21"/>
      <c r="C222" s="21"/>
      <c r="D222" s="22"/>
      <c r="E222" s="22"/>
      <c r="F222" s="22"/>
      <c r="G222" s="21"/>
      <c r="H222" s="22"/>
      <c r="J222" s="2" t="s">
        <v>51</v>
      </c>
      <c r="K222" s="2" t="s">
        <v>223</v>
      </c>
      <c r="L222" s="5">
        <v>0.76614159345626798</v>
      </c>
      <c r="M222" s="5">
        <v>1.81717133522034</v>
      </c>
      <c r="N222" s="5">
        <v>0.70768928527831998</v>
      </c>
      <c r="O222" s="5">
        <f>EXP(M222)</f>
        <v>6.154424999579005</v>
      </c>
      <c r="Q222" s="16" t="s">
        <v>223</v>
      </c>
      <c r="R222" s="16" t="s">
        <v>51</v>
      </c>
      <c r="S222" s="17">
        <v>1.4449652585599999E-10</v>
      </c>
      <c r="T222" s="16">
        <v>1</v>
      </c>
      <c r="U222" s="16" t="s">
        <v>942</v>
      </c>
      <c r="V222" s="16">
        <v>0.92451071761416603</v>
      </c>
      <c r="W222" s="16" t="s">
        <v>993</v>
      </c>
      <c r="X222" s="16">
        <v>1813</v>
      </c>
      <c r="Y222" s="16">
        <v>1442</v>
      </c>
    </row>
    <row r="223" spans="2:25" x14ac:dyDescent="0.2">
      <c r="B223" s="21" t="s">
        <v>51</v>
      </c>
      <c r="C223" s="21" t="s">
        <v>126</v>
      </c>
      <c r="D223" s="22">
        <v>0.95046895742416404</v>
      </c>
      <c r="E223" s="22">
        <v>1.77996242046356</v>
      </c>
      <c r="F223" s="22">
        <v>0.91668099164962802</v>
      </c>
      <c r="G223" s="21" t="s">
        <v>1113</v>
      </c>
      <c r="H223" s="22">
        <f>POWER(10,E223)</f>
        <v>60.250744880067806</v>
      </c>
      <c r="J223" s="2" t="s">
        <v>51</v>
      </c>
      <c r="K223" s="2" t="s">
        <v>126</v>
      </c>
      <c r="L223" s="5">
        <v>0.77031749486923196</v>
      </c>
      <c r="M223" s="5">
        <v>1.81954002380371</v>
      </c>
      <c r="N223" s="5">
        <v>0.60276746749877896</v>
      </c>
      <c r="O223" s="5">
        <f>EXP(M223)</f>
        <v>6.1690201947246841</v>
      </c>
      <c r="Q223" s="16" t="s">
        <v>126</v>
      </c>
      <c r="R223" s="16" t="s">
        <v>51</v>
      </c>
      <c r="S223" s="17">
        <v>1.9575738789299999E-33</v>
      </c>
      <c r="T223" s="16">
        <v>0.47368399999999999</v>
      </c>
      <c r="U223" s="16" t="s">
        <v>942</v>
      </c>
      <c r="V223" s="16">
        <v>0.925984878631118</v>
      </c>
      <c r="W223" s="16" t="s">
        <v>992</v>
      </c>
      <c r="X223" s="16">
        <v>1813</v>
      </c>
      <c r="Y223" s="16">
        <v>643</v>
      </c>
    </row>
    <row r="224" spans="2:25" x14ac:dyDescent="0.2">
      <c r="B224" s="21" t="s">
        <v>51</v>
      </c>
      <c r="C224" s="21" t="s">
        <v>128</v>
      </c>
      <c r="D224" s="22">
        <v>0.94837009906768799</v>
      </c>
      <c r="E224" s="22">
        <v>-1.3008790016174301</v>
      </c>
      <c r="F224" s="22">
        <v>0.91885221004486095</v>
      </c>
      <c r="G224" s="21" t="s">
        <v>1113</v>
      </c>
      <c r="H224" s="22">
        <f>POWER(10,E224)</f>
        <v>5.0017386854362376E-2</v>
      </c>
      <c r="J224" s="2" t="s">
        <v>51</v>
      </c>
      <c r="K224" s="2" t="s">
        <v>128</v>
      </c>
      <c r="L224" s="5">
        <v>0.779732525348663</v>
      </c>
      <c r="M224" s="5">
        <v>-1.3015377521514899</v>
      </c>
      <c r="N224" s="5">
        <v>0.90481680631637595</v>
      </c>
      <c r="O224" s="5">
        <f>EXP(M224)</f>
        <v>0.27211302874329002</v>
      </c>
      <c r="Q224" s="16" t="s">
        <v>128</v>
      </c>
      <c r="R224" s="16" t="s">
        <v>51</v>
      </c>
      <c r="S224" s="17">
        <v>2.1811750577900001E-6</v>
      </c>
      <c r="T224" s="16">
        <v>0.64317199999999997</v>
      </c>
      <c r="U224" s="16" t="s">
        <v>942</v>
      </c>
      <c r="V224" s="16">
        <v>0.925984878631118</v>
      </c>
      <c r="W224" s="16" t="s">
        <v>992</v>
      </c>
      <c r="X224" s="16">
        <v>1813</v>
      </c>
      <c r="Y224" s="16">
        <v>897</v>
      </c>
    </row>
    <row r="225" spans="2:25" x14ac:dyDescent="0.2">
      <c r="B225" s="21"/>
      <c r="C225" s="21"/>
      <c r="D225" s="22"/>
      <c r="E225" s="22"/>
      <c r="F225" s="22"/>
      <c r="G225" s="21"/>
      <c r="H225" s="22"/>
      <c r="J225" s="2" t="s">
        <v>51</v>
      </c>
      <c r="K225" s="2" t="s">
        <v>49</v>
      </c>
      <c r="L225" s="5">
        <v>0.77121067047119096</v>
      </c>
      <c r="M225" s="5">
        <v>0.1770920753479</v>
      </c>
      <c r="N225" s="5">
        <v>0.98780107498169001</v>
      </c>
      <c r="O225" s="5">
        <f>EXP(M225)</f>
        <v>1.1937410021851824</v>
      </c>
      <c r="Q225" s="16" t="s">
        <v>49</v>
      </c>
      <c r="R225" s="16" t="s">
        <v>51</v>
      </c>
      <c r="S225" s="17">
        <v>7.4574656994099999E-7</v>
      </c>
      <c r="T225" s="16">
        <v>0.735294</v>
      </c>
      <c r="U225" s="16" t="s">
        <v>942</v>
      </c>
      <c r="V225" s="16">
        <v>0.87234042553191504</v>
      </c>
      <c r="W225" s="16" t="s">
        <v>994</v>
      </c>
      <c r="X225" s="16">
        <v>1813</v>
      </c>
      <c r="Y225" s="16">
        <v>2034</v>
      </c>
    </row>
    <row r="226" spans="2:25" x14ac:dyDescent="0.2">
      <c r="B226" s="21" t="s">
        <v>51</v>
      </c>
      <c r="C226" s="21" t="s">
        <v>221</v>
      </c>
      <c r="D226" s="22">
        <v>0.91334247589111295</v>
      </c>
      <c r="E226" s="22">
        <v>-0.673287153244019</v>
      </c>
      <c r="F226" s="22">
        <v>0.50231516361236594</v>
      </c>
      <c r="G226" s="21" t="s">
        <v>1113</v>
      </c>
      <c r="H226" s="22">
        <f>POWER(10,E226)</f>
        <v>0.21218410478634062</v>
      </c>
      <c r="J226" s="2" t="s">
        <v>51</v>
      </c>
      <c r="K226" s="2" t="s">
        <v>221</v>
      </c>
      <c r="L226" s="5">
        <v>0.77491658926010099</v>
      </c>
      <c r="M226" s="5">
        <v>-0.38749498128891002</v>
      </c>
      <c r="N226" s="5">
        <v>0.46136802434921298</v>
      </c>
      <c r="O226" s="5">
        <f>EXP(M226)</f>
        <v>0.6787550407183166</v>
      </c>
      <c r="Q226" s="16" t="s">
        <v>221</v>
      </c>
      <c r="R226" s="16" t="s">
        <v>51</v>
      </c>
      <c r="S226" s="17">
        <v>7.5427186496700005E-8</v>
      </c>
      <c r="T226" s="16">
        <v>0.66383000000000003</v>
      </c>
      <c r="U226" s="16" t="s">
        <v>942</v>
      </c>
      <c r="V226" s="16">
        <v>0.925984878631118</v>
      </c>
      <c r="W226" s="16" t="s">
        <v>992</v>
      </c>
      <c r="X226" s="16">
        <v>1813</v>
      </c>
      <c r="Y226" s="16">
        <v>1508</v>
      </c>
    </row>
    <row r="227" spans="2:25" x14ac:dyDescent="0.2">
      <c r="B227" s="21"/>
      <c r="C227" s="21"/>
      <c r="D227" s="22"/>
      <c r="E227" s="22"/>
      <c r="F227" s="22"/>
      <c r="G227" s="21"/>
      <c r="H227" s="22"/>
      <c r="J227" s="2" t="s">
        <v>51</v>
      </c>
      <c r="K227" s="2" t="s">
        <v>131</v>
      </c>
      <c r="L227" s="5">
        <v>0.75469219684600797</v>
      </c>
      <c r="M227" s="5">
        <v>-0.66186684370040905</v>
      </c>
      <c r="N227" s="5">
        <v>0.85300487279892001</v>
      </c>
      <c r="O227" s="5">
        <f>EXP(M227)</f>
        <v>0.51588735391435392</v>
      </c>
      <c r="Q227" s="16" t="s">
        <v>131</v>
      </c>
      <c r="R227" s="16" t="s">
        <v>51</v>
      </c>
      <c r="S227" s="17">
        <v>2.7911237927300001E-5</v>
      </c>
      <c r="T227" s="16">
        <v>0.68292699999999995</v>
      </c>
      <c r="U227" s="16" t="s">
        <v>942</v>
      </c>
      <c r="V227" s="16">
        <v>0.92451071761416603</v>
      </c>
      <c r="W227" s="16" t="s">
        <v>993</v>
      </c>
      <c r="X227" s="16">
        <v>1813</v>
      </c>
      <c r="Y227" s="16">
        <v>2145</v>
      </c>
    </row>
    <row r="228" spans="2:25" x14ac:dyDescent="0.2">
      <c r="J228" s="2" t="s">
        <v>51</v>
      </c>
      <c r="K228" s="2" t="s">
        <v>148</v>
      </c>
      <c r="L228" s="5">
        <v>0.78469067811965898</v>
      </c>
      <c r="M228" s="5">
        <v>1.84687471389771</v>
      </c>
      <c r="N228" s="5">
        <v>0.75985199213027999</v>
      </c>
      <c r="O228" s="5">
        <f>EXP(M228)</f>
        <v>6.3399742941960806</v>
      </c>
      <c r="Q228" s="16" t="s">
        <v>148</v>
      </c>
      <c r="R228" s="16" t="s">
        <v>51</v>
      </c>
      <c r="S228" s="17">
        <v>4.4724564682900004E-6</v>
      </c>
      <c r="T228" s="16">
        <v>0.54074100000000003</v>
      </c>
      <c r="U228" s="16" t="s">
        <v>942</v>
      </c>
      <c r="V228" s="16">
        <v>0.87234042553191504</v>
      </c>
      <c r="W228" s="16" t="s">
        <v>994</v>
      </c>
      <c r="X228" s="16">
        <v>1813</v>
      </c>
      <c r="Y228" s="16">
        <v>2137</v>
      </c>
    </row>
    <row r="229" spans="2:25" x14ac:dyDescent="0.2">
      <c r="B229" s="21" t="s">
        <v>51</v>
      </c>
      <c r="C229" s="21" t="s">
        <v>226</v>
      </c>
      <c r="D229" s="22">
        <v>0.93154972791671797</v>
      </c>
      <c r="E229" s="22">
        <v>-1.2969335317611701</v>
      </c>
      <c r="F229" s="22">
        <v>0.91155868768692005</v>
      </c>
      <c r="G229" s="21" t="s">
        <v>1113</v>
      </c>
      <c r="H229" s="22">
        <f>POWER(10,E229)</f>
        <v>5.0473854126823432E-2</v>
      </c>
      <c r="J229" s="2" t="s">
        <v>51</v>
      </c>
      <c r="K229" s="2" t="s">
        <v>226</v>
      </c>
      <c r="L229" s="5">
        <v>0.76920855045318604</v>
      </c>
      <c r="M229" s="5">
        <v>-0.36081415414810197</v>
      </c>
      <c r="N229" s="5">
        <v>0.81888258457183805</v>
      </c>
      <c r="O229" s="5">
        <f>EXP(M229)</f>
        <v>0.6971085411597111</v>
      </c>
      <c r="Q229" s="16" t="s">
        <v>226</v>
      </c>
      <c r="R229" s="16" t="s">
        <v>51</v>
      </c>
      <c r="S229" s="17">
        <v>9.6698753670200002E-12</v>
      </c>
      <c r="T229" s="16">
        <v>0.70149300000000003</v>
      </c>
      <c r="U229" s="16" t="s">
        <v>942</v>
      </c>
      <c r="V229" s="16">
        <v>0.925984878631118</v>
      </c>
      <c r="W229" s="16" t="s">
        <v>992</v>
      </c>
      <c r="X229" s="16">
        <v>1813</v>
      </c>
      <c r="Y229" s="16">
        <v>964</v>
      </c>
    </row>
    <row r="230" spans="2:25" x14ac:dyDescent="0.2">
      <c r="J230" s="2" t="s">
        <v>51</v>
      </c>
      <c r="K230" s="2" t="s">
        <v>225</v>
      </c>
      <c r="L230" s="5">
        <v>0.77166879177093495</v>
      </c>
      <c r="M230" s="5">
        <v>2.32704782485962</v>
      </c>
      <c r="N230" s="5">
        <v>0.191936939954758</v>
      </c>
      <c r="O230" s="5">
        <f>EXP(M230)</f>
        <v>10.247643993381459</v>
      </c>
      <c r="Q230" s="16" t="s">
        <v>225</v>
      </c>
      <c r="R230" s="16" t="s">
        <v>51</v>
      </c>
      <c r="S230" s="17">
        <v>5.7292872501800005E-7</v>
      </c>
      <c r="T230" s="16">
        <v>0.53977299999999995</v>
      </c>
      <c r="U230" s="16" t="s">
        <v>942</v>
      </c>
      <c r="V230" s="16">
        <v>0.87234042553191504</v>
      </c>
      <c r="W230" s="16" t="s">
        <v>994</v>
      </c>
      <c r="X230" s="16">
        <v>1813</v>
      </c>
      <c r="Y230" s="16">
        <v>2014</v>
      </c>
    </row>
    <row r="231" spans="2:25" x14ac:dyDescent="0.2">
      <c r="J231" s="2" t="s">
        <v>53</v>
      </c>
      <c r="K231" s="2" t="s">
        <v>218</v>
      </c>
      <c r="L231" s="5">
        <v>0.79899597167968806</v>
      </c>
      <c r="M231" s="5">
        <v>-1.8578633069992101</v>
      </c>
      <c r="N231" s="5">
        <v>0.93493866920471203</v>
      </c>
      <c r="O231" s="5">
        <f>EXP(M231)</f>
        <v>0.15600561059930007</v>
      </c>
      <c r="Q231" s="16" t="s">
        <v>218</v>
      </c>
      <c r="R231" s="16" t="s">
        <v>53</v>
      </c>
      <c r="S231" s="17">
        <v>4.4988993325200002E-6</v>
      </c>
      <c r="T231" s="16">
        <v>0.59836100000000003</v>
      </c>
      <c r="U231" s="16" t="s">
        <v>942</v>
      </c>
      <c r="V231" s="16">
        <v>0.94395280235988199</v>
      </c>
      <c r="W231" s="16" t="s">
        <v>997</v>
      </c>
      <c r="X231" s="16">
        <v>1814</v>
      </c>
      <c r="Y231" s="16">
        <v>2138</v>
      </c>
    </row>
    <row r="232" spans="2:25" x14ac:dyDescent="0.2">
      <c r="B232" s="21" t="s">
        <v>53</v>
      </c>
      <c r="C232" s="21" t="s">
        <v>18</v>
      </c>
      <c r="D232" s="22">
        <v>0.91805344820022605</v>
      </c>
      <c r="E232" s="22">
        <v>-7.61769264936447E-2</v>
      </c>
      <c r="F232" s="22">
        <v>0.26815977692604098</v>
      </c>
      <c r="G232" s="21" t="s">
        <v>1113</v>
      </c>
      <c r="H232" s="22">
        <f>POWER(10,E232)</f>
        <v>0.83911806998797178</v>
      </c>
      <c r="J232" s="2" t="s">
        <v>53</v>
      </c>
      <c r="K232" s="2" t="s">
        <v>18</v>
      </c>
      <c r="L232" s="5">
        <v>0.87535572052001998</v>
      </c>
      <c r="M232" s="5">
        <v>0.31038311123848</v>
      </c>
      <c r="N232" s="5">
        <v>0.19940276443958299</v>
      </c>
      <c r="O232" s="5">
        <f>EXP(M232)</f>
        <v>1.3639475576868363</v>
      </c>
      <c r="Q232" s="16" t="s">
        <v>18</v>
      </c>
      <c r="R232" s="16" t="s">
        <v>53</v>
      </c>
      <c r="S232" s="17">
        <v>1.24369985711E-23</v>
      </c>
      <c r="T232" s="16">
        <v>0.64157699999999995</v>
      </c>
      <c r="U232" s="16" t="s">
        <v>942</v>
      </c>
      <c r="V232" s="16">
        <v>0.92377260981912102</v>
      </c>
      <c r="W232" s="16" t="s">
        <v>996</v>
      </c>
      <c r="X232" s="16">
        <v>1814</v>
      </c>
      <c r="Y232" s="16">
        <v>890</v>
      </c>
    </row>
    <row r="233" spans="2:25" x14ac:dyDescent="0.2">
      <c r="B233" s="21" t="s">
        <v>53</v>
      </c>
      <c r="C233" s="21" t="s">
        <v>66</v>
      </c>
      <c r="D233" s="22">
        <v>0.93302947282791104</v>
      </c>
      <c r="E233" s="22">
        <v>-1.4091278314590501</v>
      </c>
      <c r="F233" s="22">
        <v>0.80168324708938599</v>
      </c>
      <c r="G233" s="21" t="s">
        <v>1113</v>
      </c>
      <c r="H233" s="22">
        <f>POWER(10,E233)</f>
        <v>3.8982722694583798E-2</v>
      </c>
      <c r="J233" s="2" t="s">
        <v>53</v>
      </c>
      <c r="K233" s="2" t="s">
        <v>66</v>
      </c>
      <c r="L233" s="5">
        <v>0.85403555631637595</v>
      </c>
      <c r="M233" s="5">
        <v>-1.46412718296051</v>
      </c>
      <c r="N233" s="5">
        <v>0.78745311498642001</v>
      </c>
      <c r="O233" s="5">
        <f>EXP(M233)</f>
        <v>0.23127976833007072</v>
      </c>
      <c r="Q233" s="16" t="s">
        <v>66</v>
      </c>
      <c r="R233" s="16" t="s">
        <v>53</v>
      </c>
      <c r="S233" s="17">
        <v>3.76846574811E-15</v>
      </c>
      <c r="T233" s="16">
        <v>0.35483900000000002</v>
      </c>
      <c r="U233" s="16" t="s">
        <v>942</v>
      </c>
      <c r="V233" s="16">
        <v>0.92377260981912102</v>
      </c>
      <c r="W233" s="16" t="s">
        <v>996</v>
      </c>
      <c r="X233" s="16">
        <v>1814</v>
      </c>
      <c r="Y233" s="16">
        <v>1333</v>
      </c>
    </row>
    <row r="234" spans="2:25" x14ac:dyDescent="0.2">
      <c r="B234" s="21" t="s">
        <v>53</v>
      </c>
      <c r="C234" s="21" t="s">
        <v>58</v>
      </c>
      <c r="D234" s="22">
        <v>0.91563397645950295</v>
      </c>
      <c r="E234" s="22">
        <v>-0.17642995715141299</v>
      </c>
      <c r="F234" s="22">
        <v>0.84292489290237405</v>
      </c>
      <c r="G234" s="21" t="s">
        <v>1113</v>
      </c>
      <c r="H234" s="22">
        <f>POWER(10,E234)</f>
        <v>0.66614694856135637</v>
      </c>
      <c r="J234" s="2" t="s">
        <v>53</v>
      </c>
      <c r="K234" s="2" t="s">
        <v>58</v>
      </c>
      <c r="L234" s="5">
        <v>0.88909286260604903</v>
      </c>
      <c r="M234" s="5">
        <v>3.9154231548309298E-2</v>
      </c>
      <c r="N234" s="5">
        <v>0.69026923179626498</v>
      </c>
      <c r="O234" s="5">
        <f>EXP(M234)</f>
        <v>1.0399308614290761</v>
      </c>
      <c r="Q234" s="16" t="s">
        <v>58</v>
      </c>
      <c r="R234" s="16" t="s">
        <v>53</v>
      </c>
      <c r="S234" s="17">
        <v>1.61584559504E-12</v>
      </c>
      <c r="T234" s="16">
        <v>0.40579700000000002</v>
      </c>
      <c r="U234" s="16" t="s">
        <v>942</v>
      </c>
      <c r="V234" s="16">
        <v>0.92377260981912102</v>
      </c>
      <c r="W234" s="16" t="s">
        <v>996</v>
      </c>
      <c r="X234" s="16">
        <v>1814</v>
      </c>
      <c r="Y234" s="16">
        <v>1516</v>
      </c>
    </row>
    <row r="235" spans="2:25" x14ac:dyDescent="0.2">
      <c r="B235" s="21" t="s">
        <v>53</v>
      </c>
      <c r="C235" s="21" t="s">
        <v>220</v>
      </c>
      <c r="D235" s="22">
        <v>0.93768274784088101</v>
      </c>
      <c r="E235" s="22">
        <v>-2.42211961746216</v>
      </c>
      <c r="F235" s="22">
        <v>0.95221167802810702</v>
      </c>
      <c r="G235" s="21" t="s">
        <v>1113</v>
      </c>
      <c r="H235" s="22">
        <f>POWER(10,E235)</f>
        <v>3.7833836486190322E-3</v>
      </c>
      <c r="J235" s="2" t="s">
        <v>53</v>
      </c>
      <c r="K235" s="2" t="s">
        <v>220</v>
      </c>
      <c r="L235" s="5">
        <v>0.89507532119750999</v>
      </c>
      <c r="M235" s="5">
        <v>-2.07265996932983</v>
      </c>
      <c r="N235" s="5">
        <v>0.91452765464782704</v>
      </c>
      <c r="O235" s="5">
        <f>EXP(M235)</f>
        <v>0.1258505774100577</v>
      </c>
      <c r="Q235" s="16" t="s">
        <v>220</v>
      </c>
      <c r="R235" s="16" t="s">
        <v>53</v>
      </c>
      <c r="S235" s="17">
        <v>4.37771929909E-12</v>
      </c>
      <c r="T235" s="16">
        <v>0.47692299999999999</v>
      </c>
      <c r="U235" s="16" t="s">
        <v>942</v>
      </c>
      <c r="V235" s="16">
        <v>0.92377260981912102</v>
      </c>
      <c r="W235" s="16" t="s">
        <v>996</v>
      </c>
      <c r="X235" s="16">
        <v>1814</v>
      </c>
      <c r="Y235" s="16">
        <v>1568</v>
      </c>
    </row>
    <row r="236" spans="2:25" x14ac:dyDescent="0.2">
      <c r="B236" s="21" t="s">
        <v>53</v>
      </c>
      <c r="C236" s="21" t="s">
        <v>181</v>
      </c>
      <c r="D236" s="22">
        <v>0.929171562194824</v>
      </c>
      <c r="E236" s="22">
        <v>0.166394263505936</v>
      </c>
      <c r="F236" s="22">
        <v>0.61212021112442005</v>
      </c>
      <c r="G236" s="21" t="s">
        <v>1113</v>
      </c>
      <c r="H236" s="22">
        <f>POWER(10,E236)</f>
        <v>1.4668789064185104</v>
      </c>
      <c r="J236" s="2" t="s">
        <v>53</v>
      </c>
      <c r="K236" s="2" t="s">
        <v>181</v>
      </c>
      <c r="L236" s="5">
        <v>0.89146864414215099</v>
      </c>
      <c r="M236" s="5">
        <v>0.18340753018855999</v>
      </c>
      <c r="N236" s="5">
        <v>0.665951728820801</v>
      </c>
      <c r="O236" s="5">
        <f>EXP(M236)</f>
        <v>1.2013038759326702</v>
      </c>
      <c r="Q236" s="16" t="s">
        <v>181</v>
      </c>
      <c r="R236" s="16" t="s">
        <v>53</v>
      </c>
      <c r="S236" s="17">
        <v>1.01322521443E-12</v>
      </c>
      <c r="T236" s="16">
        <v>0.44827600000000001</v>
      </c>
      <c r="U236" s="16" t="s">
        <v>942</v>
      </c>
      <c r="V236" s="16">
        <v>0.92377260981912102</v>
      </c>
      <c r="W236" s="16" t="s">
        <v>996</v>
      </c>
      <c r="X236" s="16">
        <v>1814</v>
      </c>
      <c r="Y236" s="16">
        <v>1497</v>
      </c>
    </row>
    <row r="237" spans="2:25" x14ac:dyDescent="0.2">
      <c r="B237" s="21" t="s">
        <v>53</v>
      </c>
      <c r="C237" s="21" t="s">
        <v>129</v>
      </c>
      <c r="D237" s="22">
        <v>0.93775129318237305</v>
      </c>
      <c r="E237" s="22">
        <v>-0.15945532917976399</v>
      </c>
      <c r="F237" s="22">
        <v>0.78943061828613303</v>
      </c>
      <c r="G237" s="21" t="s">
        <v>1113</v>
      </c>
      <c r="H237" s="22">
        <f>POWER(10,E237)</f>
        <v>0.69269917567765049</v>
      </c>
      <c r="J237" s="2" t="s">
        <v>53</v>
      </c>
      <c r="K237" s="2" t="s">
        <v>129</v>
      </c>
      <c r="L237" s="5">
        <v>0.88335686922073398</v>
      </c>
      <c r="M237" s="5">
        <v>-0.288749098777771</v>
      </c>
      <c r="N237" s="5">
        <v>0.81706047058105502</v>
      </c>
      <c r="O237" s="5">
        <f>EXP(M237)</f>
        <v>0.74920015705813336</v>
      </c>
      <c r="Q237" s="16" t="s">
        <v>129</v>
      </c>
      <c r="R237" s="16" t="s">
        <v>53</v>
      </c>
      <c r="S237" s="17">
        <v>4.4793923015299997E-9</v>
      </c>
      <c r="T237" s="16">
        <v>0.71093799999999996</v>
      </c>
      <c r="U237" s="16" t="s">
        <v>942</v>
      </c>
      <c r="V237" s="16">
        <v>0.92377260981912102</v>
      </c>
      <c r="W237" s="16" t="s">
        <v>996</v>
      </c>
      <c r="X237" s="16">
        <v>1814</v>
      </c>
      <c r="Y237" s="16">
        <v>1801</v>
      </c>
    </row>
    <row r="238" spans="2:25" x14ac:dyDescent="0.2">
      <c r="B238" s="21" t="s">
        <v>53</v>
      </c>
      <c r="C238" s="21" t="s">
        <v>193</v>
      </c>
      <c r="D238" s="22">
        <v>0.93883067369461104</v>
      </c>
      <c r="E238" s="22">
        <v>6.2777996063232394E-2</v>
      </c>
      <c r="F238" s="22">
        <v>0.97975540161132801</v>
      </c>
      <c r="G238" s="21" t="s">
        <v>1113</v>
      </c>
      <c r="H238" s="22">
        <f>POWER(10,E238)</f>
        <v>1.1555214083443379</v>
      </c>
      <c r="J238" s="2" t="s">
        <v>53</v>
      </c>
      <c r="K238" s="2" t="s">
        <v>193</v>
      </c>
      <c r="L238" s="5">
        <v>0.89290803670883201</v>
      </c>
      <c r="M238" s="5">
        <v>-3.7048380821943297E-2</v>
      </c>
      <c r="N238" s="5">
        <v>0.98496443033218395</v>
      </c>
      <c r="O238" s="5">
        <f>EXP(M238)</f>
        <v>0.9636295130333602</v>
      </c>
      <c r="Q238" s="16" t="s">
        <v>193</v>
      </c>
      <c r="R238" s="16" t="s">
        <v>53</v>
      </c>
      <c r="S238" s="17">
        <v>8.0978887516600003E-5</v>
      </c>
      <c r="T238" s="16">
        <v>0.79487200000000002</v>
      </c>
      <c r="U238" s="16" t="s">
        <v>942</v>
      </c>
      <c r="V238" s="16">
        <v>0.92377260981912102</v>
      </c>
      <c r="W238" s="16" t="s">
        <v>996</v>
      </c>
      <c r="X238" s="16">
        <v>1814</v>
      </c>
      <c r="Y238" s="16">
        <v>2305</v>
      </c>
    </row>
    <row r="239" spans="2:25" x14ac:dyDescent="0.2">
      <c r="B239" s="21" t="s">
        <v>53</v>
      </c>
      <c r="C239" s="21" t="s">
        <v>21</v>
      </c>
      <c r="D239" s="22">
        <v>0.92466181516647294</v>
      </c>
      <c r="E239" s="22">
        <v>0.34033530950546298</v>
      </c>
      <c r="F239" s="22">
        <v>0.52738589048385598</v>
      </c>
      <c r="G239" s="21" t="s">
        <v>1113</v>
      </c>
      <c r="H239" s="22">
        <f>POWER(10,E239)</f>
        <v>2.1894514002680481</v>
      </c>
      <c r="J239" s="2" t="s">
        <v>53</v>
      </c>
      <c r="K239" s="2" t="s">
        <v>21</v>
      </c>
      <c r="L239" s="5">
        <v>0.87013238668441795</v>
      </c>
      <c r="M239" s="5">
        <v>-0.23107784986495999</v>
      </c>
      <c r="N239" s="5">
        <v>0.59318000078201305</v>
      </c>
      <c r="O239" s="5">
        <f>EXP(M239)</f>
        <v>0.79367767593020533</v>
      </c>
      <c r="Q239" s="16" t="s">
        <v>21</v>
      </c>
      <c r="R239" s="16" t="s">
        <v>53</v>
      </c>
      <c r="S239" s="17">
        <v>1.3268725897599999E-27</v>
      </c>
      <c r="T239" s="16">
        <v>0.62405999999999995</v>
      </c>
      <c r="U239" s="16" t="s">
        <v>942</v>
      </c>
      <c r="V239" s="16">
        <v>0.92377260981912102</v>
      </c>
      <c r="W239" s="16" t="s">
        <v>996</v>
      </c>
      <c r="X239" s="16">
        <v>1814</v>
      </c>
      <c r="Y239" s="16">
        <v>775</v>
      </c>
    </row>
    <row r="240" spans="2:25" x14ac:dyDescent="0.2">
      <c r="B240" s="21" t="s">
        <v>53</v>
      </c>
      <c r="C240" s="21" t="s">
        <v>10</v>
      </c>
      <c r="D240" s="22">
        <v>0.918282210826874</v>
      </c>
      <c r="E240" s="22">
        <v>0.253505378961563</v>
      </c>
      <c r="F240" s="22">
        <v>0.77629715204238903</v>
      </c>
      <c r="G240" s="21" t="s">
        <v>1113</v>
      </c>
      <c r="H240" s="22">
        <f>POWER(10,E240)</f>
        <v>1.7926907556293394</v>
      </c>
      <c r="J240" s="2" t="s">
        <v>53</v>
      </c>
      <c r="K240" s="2" t="s">
        <v>10</v>
      </c>
      <c r="L240" s="5">
        <v>0.88964122533798196</v>
      </c>
      <c r="M240" s="5">
        <v>0.34730195999145502</v>
      </c>
      <c r="N240" s="5">
        <v>0.68085086345672596</v>
      </c>
      <c r="O240" s="5">
        <f>EXP(M240)</f>
        <v>1.4152440079246036</v>
      </c>
      <c r="Q240" s="16" t="s">
        <v>10</v>
      </c>
      <c r="R240" s="16" t="s">
        <v>53</v>
      </c>
      <c r="S240" s="17">
        <v>9.7767794359200001E-5</v>
      </c>
      <c r="T240" s="16">
        <v>0.62616799999999995</v>
      </c>
      <c r="U240" s="16" t="s">
        <v>942</v>
      </c>
      <c r="V240" s="16">
        <v>0.92377260981912102</v>
      </c>
      <c r="W240" s="16" t="s">
        <v>996</v>
      </c>
      <c r="X240" s="16">
        <v>1814</v>
      </c>
      <c r="Y240" s="16">
        <v>1827</v>
      </c>
    </row>
    <row r="241" spans="2:25" x14ac:dyDescent="0.2">
      <c r="B241" s="21"/>
      <c r="C241" s="21"/>
      <c r="D241" s="22"/>
      <c r="E241" s="22"/>
      <c r="F241" s="22"/>
      <c r="G241" s="21"/>
      <c r="H241" s="22"/>
      <c r="J241" s="2" t="s">
        <v>53</v>
      </c>
      <c r="K241" s="2" t="s">
        <v>223</v>
      </c>
      <c r="L241" s="5">
        <v>0.802162945270538</v>
      </c>
      <c r="M241" s="5">
        <v>1.2739552259445199</v>
      </c>
      <c r="N241" s="5">
        <v>0.82828772068023704</v>
      </c>
      <c r="O241" s="5">
        <f>EXP(M241)</f>
        <v>3.5749644282067861</v>
      </c>
      <c r="Q241" s="16" t="s">
        <v>223</v>
      </c>
      <c r="R241" s="16" t="s">
        <v>53</v>
      </c>
      <c r="S241" s="17">
        <v>2.4601446198799899E-15</v>
      </c>
      <c r="T241" s="16">
        <v>1</v>
      </c>
      <c r="U241" s="16" t="s">
        <v>942</v>
      </c>
      <c r="V241" s="16">
        <v>0.94395280235988199</v>
      </c>
      <c r="W241" s="16" t="s">
        <v>997</v>
      </c>
      <c r="X241" s="16">
        <v>1814</v>
      </c>
      <c r="Y241" s="16">
        <v>1319</v>
      </c>
    </row>
    <row r="242" spans="2:25" x14ac:dyDescent="0.2">
      <c r="B242" s="21" t="s">
        <v>53</v>
      </c>
      <c r="C242" s="21" t="s">
        <v>126</v>
      </c>
      <c r="D242" s="22">
        <v>0.94959729909896895</v>
      </c>
      <c r="E242" s="22">
        <v>1.25843417644501</v>
      </c>
      <c r="F242" s="22">
        <v>0.45894718170165999</v>
      </c>
      <c r="G242" s="21" t="s">
        <v>1113</v>
      </c>
      <c r="H242" s="22">
        <f>POWER(10,E242)</f>
        <v>18.131518458876435</v>
      </c>
      <c r="J242" s="2" t="s">
        <v>53</v>
      </c>
      <c r="K242" s="2" t="s">
        <v>126</v>
      </c>
      <c r="L242" s="5">
        <v>0.885142982006073</v>
      </c>
      <c r="M242" s="5">
        <v>1.2924549579620399</v>
      </c>
      <c r="N242" s="5">
        <v>0.54676741361617998</v>
      </c>
      <c r="O242" s="5">
        <f>EXP(M242)</f>
        <v>3.6417158500687314</v>
      </c>
      <c r="Q242" s="16" t="s">
        <v>126</v>
      </c>
      <c r="R242" s="16" t="s">
        <v>53</v>
      </c>
      <c r="S242" s="17">
        <v>9.5147770536399994E-50</v>
      </c>
      <c r="T242" s="16">
        <v>0.47368399999999999</v>
      </c>
      <c r="U242" s="16" t="s">
        <v>942</v>
      </c>
      <c r="V242" s="16">
        <v>0.92377260981912102</v>
      </c>
      <c r="W242" s="16" t="s">
        <v>996</v>
      </c>
      <c r="X242" s="16">
        <v>1814</v>
      </c>
      <c r="Y242" s="16">
        <v>324</v>
      </c>
    </row>
    <row r="243" spans="2:25" x14ac:dyDescent="0.2">
      <c r="B243" s="21" t="s">
        <v>53</v>
      </c>
      <c r="C243" s="21" t="s">
        <v>128</v>
      </c>
      <c r="D243" s="22">
        <v>0.92088806629180897</v>
      </c>
      <c r="E243" s="22">
        <v>-0.90998524427413896</v>
      </c>
      <c r="F243" s="22">
        <v>0.84185171127319303</v>
      </c>
      <c r="G243" s="21" t="s">
        <v>1113</v>
      </c>
      <c r="H243" s="22">
        <f>POWER(10,E243)</f>
        <v>0.12303105715210524</v>
      </c>
      <c r="J243" s="2" t="s">
        <v>53</v>
      </c>
      <c r="K243" s="2" t="s">
        <v>128</v>
      </c>
      <c r="L243" s="5">
        <v>0.88382691144943204</v>
      </c>
      <c r="M243" s="5">
        <v>-1.13044786453247</v>
      </c>
      <c r="N243" s="5">
        <v>0.90335315465927102</v>
      </c>
      <c r="O243" s="5">
        <f>EXP(M243)</f>
        <v>0.32288861367648869</v>
      </c>
      <c r="Q243" s="16" t="s">
        <v>128</v>
      </c>
      <c r="R243" s="16" t="s">
        <v>53</v>
      </c>
      <c r="S243" s="17">
        <v>1.1164150184E-13</v>
      </c>
      <c r="T243" s="16">
        <v>0.64317199999999997</v>
      </c>
      <c r="U243" s="16" t="s">
        <v>942</v>
      </c>
      <c r="V243" s="16">
        <v>0.92377260981912102</v>
      </c>
      <c r="W243" s="16" t="s">
        <v>996</v>
      </c>
      <c r="X243" s="16">
        <v>1814</v>
      </c>
      <c r="Y243" s="16">
        <v>1427</v>
      </c>
    </row>
    <row r="244" spans="2:25" x14ac:dyDescent="0.2">
      <c r="B244" s="21" t="s">
        <v>53</v>
      </c>
      <c r="C244" s="21" t="s">
        <v>221</v>
      </c>
      <c r="D244" s="22">
        <v>0.92037767171859697</v>
      </c>
      <c r="E244" s="22">
        <v>-0.752513527870178</v>
      </c>
      <c r="F244" s="22">
        <v>0.63503676652908303</v>
      </c>
      <c r="G244" s="21" t="s">
        <v>1113</v>
      </c>
      <c r="H244" s="22">
        <f>POWER(10,E244)</f>
        <v>0.17680171447828735</v>
      </c>
      <c r="J244" s="2" t="s">
        <v>53</v>
      </c>
      <c r="K244" s="2" t="s">
        <v>221</v>
      </c>
      <c r="L244" s="5">
        <v>0.85318201780319203</v>
      </c>
      <c r="M244" s="5">
        <v>-0.63792306184768699</v>
      </c>
      <c r="N244" s="5">
        <v>0.61201304197311401</v>
      </c>
      <c r="O244" s="5">
        <f>EXP(M244)</f>
        <v>0.52838871586703995</v>
      </c>
      <c r="Q244" s="16" t="s">
        <v>221</v>
      </c>
      <c r="R244" s="16" t="s">
        <v>53</v>
      </c>
      <c r="S244" s="17">
        <v>5.2018749307999997E-9</v>
      </c>
      <c r="T244" s="16">
        <v>0.66383000000000003</v>
      </c>
      <c r="U244" s="16" t="s">
        <v>942</v>
      </c>
      <c r="V244" s="16">
        <v>0.92377260981912102</v>
      </c>
      <c r="W244" s="16" t="s">
        <v>996</v>
      </c>
      <c r="X244" s="16">
        <v>1814</v>
      </c>
      <c r="Y244" s="16">
        <v>1351</v>
      </c>
    </row>
    <row r="245" spans="2:25" x14ac:dyDescent="0.2">
      <c r="B245" s="21" t="s">
        <v>57</v>
      </c>
      <c r="C245" s="21" t="s">
        <v>229</v>
      </c>
      <c r="D245" s="22">
        <v>0.90241920948028598</v>
      </c>
      <c r="E245" s="22">
        <v>1.7677930593490601</v>
      </c>
      <c r="F245" s="22">
        <v>0.168418288230896</v>
      </c>
      <c r="G245" s="21" t="s">
        <v>1113</v>
      </c>
      <c r="H245" s="22">
        <f>POWER(10,E245)</f>
        <v>58.585893711346586</v>
      </c>
      <c r="J245" s="2" t="s">
        <v>57</v>
      </c>
      <c r="K245" s="2" t="s">
        <v>229</v>
      </c>
      <c r="L245" s="5">
        <v>0.78626692295074496</v>
      </c>
      <c r="M245" s="5">
        <v>1.87196612358093</v>
      </c>
      <c r="N245" s="5">
        <v>0.18016776442527799</v>
      </c>
      <c r="O245" s="5">
        <f>EXP(M245)</f>
        <v>6.501065740775644</v>
      </c>
      <c r="Q245" s="16" t="s">
        <v>229</v>
      </c>
      <c r="R245" s="16" t="s">
        <v>57</v>
      </c>
      <c r="S245" s="17">
        <v>1.2412251571E-7</v>
      </c>
      <c r="T245" s="16">
        <v>0.68918900000000005</v>
      </c>
      <c r="U245" s="16" t="s">
        <v>942</v>
      </c>
      <c r="V245" s="16">
        <v>0.91170825335892502</v>
      </c>
      <c r="W245" s="16" t="s">
        <v>998</v>
      </c>
      <c r="X245" s="16">
        <v>1815</v>
      </c>
      <c r="Y245" s="16">
        <v>1956</v>
      </c>
    </row>
    <row r="246" spans="2:25" x14ac:dyDescent="0.2">
      <c r="B246" s="21" t="s">
        <v>57</v>
      </c>
      <c r="C246" s="21" t="s">
        <v>17</v>
      </c>
      <c r="D246" s="22">
        <v>0.92112362384796098</v>
      </c>
      <c r="E246" s="22">
        <v>-0.43830111622810403</v>
      </c>
      <c r="F246" s="22">
        <v>0.86441773176193204</v>
      </c>
      <c r="G246" s="21" t="s">
        <v>1113</v>
      </c>
      <c r="H246" s="22">
        <f>POWER(10,E246)</f>
        <v>0.36450113398457046</v>
      </c>
      <c r="J246" s="2" t="s">
        <v>57</v>
      </c>
      <c r="K246" s="2" t="s">
        <v>17</v>
      </c>
      <c r="L246" s="5">
        <v>0.792266845703125</v>
      </c>
      <c r="M246" s="5">
        <v>-0.52260428667068504</v>
      </c>
      <c r="N246" s="5">
        <v>0.85131883621215798</v>
      </c>
      <c r="O246" s="5">
        <f>EXP(M246)</f>
        <v>0.5929742603936794</v>
      </c>
      <c r="Q246" s="16" t="s">
        <v>17</v>
      </c>
      <c r="R246" s="16" t="s">
        <v>57</v>
      </c>
      <c r="S246" s="17">
        <v>1.41606595339E-8</v>
      </c>
      <c r="T246" s="16">
        <v>0.64028799999999997</v>
      </c>
      <c r="U246" s="16" t="s">
        <v>942</v>
      </c>
      <c r="V246" s="16">
        <v>0.91170825335892502</v>
      </c>
      <c r="W246" s="16" t="s">
        <v>998</v>
      </c>
      <c r="X246" s="16">
        <v>1815</v>
      </c>
      <c r="Y246" s="16">
        <v>1856</v>
      </c>
    </row>
    <row r="247" spans="2:25" x14ac:dyDescent="0.2">
      <c r="B247" s="21" t="s">
        <v>57</v>
      </c>
      <c r="C247" s="21" t="s">
        <v>18</v>
      </c>
      <c r="D247" s="22">
        <v>0.90643644332885698</v>
      </c>
      <c r="E247" s="22">
        <v>1.3261392712593099E-2</v>
      </c>
      <c r="F247" s="22">
        <v>0.20471623539924599</v>
      </c>
      <c r="G247" s="21" t="s">
        <v>1113</v>
      </c>
      <c r="H247" s="22">
        <f>POWER(10,E247)</f>
        <v>1.0310064748421288</v>
      </c>
      <c r="J247" s="2" t="s">
        <v>57</v>
      </c>
      <c r="K247" s="2" t="s">
        <v>18</v>
      </c>
      <c r="L247" s="5">
        <v>0.77373045682907104</v>
      </c>
      <c r="M247" s="5">
        <v>-1.6283685341477401E-2</v>
      </c>
      <c r="N247" s="5">
        <v>0.220689326524735</v>
      </c>
      <c r="O247" s="5">
        <f>EXP(M247)</f>
        <v>0.98384817715668427</v>
      </c>
      <c r="Q247" s="16" t="s">
        <v>18</v>
      </c>
      <c r="R247" s="16" t="s">
        <v>57</v>
      </c>
      <c r="S247" s="17">
        <v>9.0636330406400002E-13</v>
      </c>
      <c r="T247" s="16">
        <v>0.63120600000000004</v>
      </c>
      <c r="U247" s="16" t="s">
        <v>942</v>
      </c>
      <c r="V247" s="16">
        <v>0.91170825335892502</v>
      </c>
      <c r="W247" s="16" t="s">
        <v>998</v>
      </c>
      <c r="X247" s="16">
        <v>1815</v>
      </c>
      <c r="Y247" s="16">
        <v>1493</v>
      </c>
    </row>
    <row r="248" spans="2:25" x14ac:dyDescent="0.2">
      <c r="B248" s="21" t="s">
        <v>57</v>
      </c>
      <c r="C248" s="21" t="s">
        <v>220</v>
      </c>
      <c r="D248" s="22">
        <v>0.91242372989654497</v>
      </c>
      <c r="E248" s="22">
        <v>-2.4704275131225599</v>
      </c>
      <c r="F248" s="22">
        <v>0.96730697154998802</v>
      </c>
      <c r="G248" s="21" t="s">
        <v>1113</v>
      </c>
      <c r="H248" s="22">
        <f>POWER(10,E248)</f>
        <v>3.3851076703691001E-3</v>
      </c>
      <c r="J248" s="2" t="s">
        <v>57</v>
      </c>
      <c r="K248" s="2" t="s">
        <v>220</v>
      </c>
      <c r="L248" s="5">
        <v>0.79298138618469205</v>
      </c>
      <c r="M248" s="5">
        <v>-2.1720342636108398</v>
      </c>
      <c r="N248" s="5">
        <v>0.94860416650772095</v>
      </c>
      <c r="O248" s="5">
        <f>EXP(M248)</f>
        <v>0.11394558562599855</v>
      </c>
      <c r="Q248" s="16" t="s">
        <v>220</v>
      </c>
      <c r="R248" s="16" t="s">
        <v>57</v>
      </c>
      <c r="S248" s="17">
        <v>1.5056680378199901E-14</v>
      </c>
      <c r="T248" s="16">
        <v>0.45714300000000002</v>
      </c>
      <c r="U248" s="16" t="s">
        <v>942</v>
      </c>
      <c r="V248" s="16">
        <v>0.91170825335892502</v>
      </c>
      <c r="W248" s="16" t="s">
        <v>998</v>
      </c>
      <c r="X248" s="16">
        <v>1815</v>
      </c>
      <c r="Y248" s="16">
        <v>1250</v>
      </c>
    </row>
    <row r="249" spans="2:25" x14ac:dyDescent="0.2">
      <c r="B249" s="21"/>
      <c r="C249" s="21"/>
      <c r="D249" s="22"/>
      <c r="E249" s="22"/>
      <c r="F249" s="22"/>
      <c r="G249" s="21"/>
      <c r="H249" s="22"/>
      <c r="J249" s="2" t="s">
        <v>57</v>
      </c>
      <c r="K249" s="2" t="s">
        <v>223</v>
      </c>
      <c r="L249" s="5">
        <v>0.78494107723236095</v>
      </c>
      <c r="M249" s="5">
        <v>1.4374700784683201</v>
      </c>
      <c r="N249" s="5">
        <v>0.81127887964248702</v>
      </c>
      <c r="O249" s="5">
        <f>EXP(M249)</f>
        <v>4.2100312836748977</v>
      </c>
      <c r="Q249" s="16" t="s">
        <v>223</v>
      </c>
      <c r="R249" s="16" t="s">
        <v>57</v>
      </c>
      <c r="S249" s="17">
        <v>2.1478032623300002E-28</v>
      </c>
      <c r="T249" s="16">
        <v>1</v>
      </c>
      <c r="U249" s="16" t="s">
        <v>942</v>
      </c>
      <c r="V249" s="16">
        <v>0.93313953488372103</v>
      </c>
      <c r="W249" s="16" t="s">
        <v>999</v>
      </c>
      <c r="X249" s="16">
        <v>1815</v>
      </c>
      <c r="Y249" s="16">
        <v>752</v>
      </c>
    </row>
    <row r="250" spans="2:25" x14ac:dyDescent="0.2">
      <c r="B250" s="21" t="s">
        <v>57</v>
      </c>
      <c r="C250" s="21" t="s">
        <v>230</v>
      </c>
      <c r="D250" s="22">
        <v>0.90690726041793801</v>
      </c>
      <c r="E250" s="22">
        <v>0.88323104381561302</v>
      </c>
      <c r="F250" s="22">
        <v>0.15782408416271199</v>
      </c>
      <c r="G250" s="21" t="s">
        <v>1113</v>
      </c>
      <c r="H250" s="22">
        <f>POWER(10,E250)</f>
        <v>7.6424225083206432</v>
      </c>
      <c r="J250" s="2" t="s">
        <v>57</v>
      </c>
      <c r="K250" s="2" t="s">
        <v>230</v>
      </c>
      <c r="L250" s="5">
        <v>0.76279371976852395</v>
      </c>
      <c r="M250" s="5">
        <v>0.18895050883293199</v>
      </c>
      <c r="N250" s="5">
        <v>0.21259705722332001</v>
      </c>
      <c r="O250" s="5">
        <f>EXP(M250)</f>
        <v>1.2079811666057461</v>
      </c>
      <c r="Q250" s="16" t="s">
        <v>230</v>
      </c>
      <c r="R250" s="16" t="s">
        <v>57</v>
      </c>
      <c r="S250" s="17">
        <v>6.9358332410700003E-9</v>
      </c>
      <c r="T250" s="16">
        <v>0.72857099999999997</v>
      </c>
      <c r="U250" s="16" t="s">
        <v>942</v>
      </c>
      <c r="V250" s="16">
        <v>0.91170825335892502</v>
      </c>
      <c r="W250" s="16" t="s">
        <v>998</v>
      </c>
      <c r="X250" s="16">
        <v>1815</v>
      </c>
      <c r="Y250" s="16">
        <v>1823</v>
      </c>
    </row>
    <row r="251" spans="2:25" x14ac:dyDescent="0.2">
      <c r="B251" s="21" t="s">
        <v>57</v>
      </c>
      <c r="C251" s="21" t="s">
        <v>227</v>
      </c>
      <c r="D251" s="22">
        <v>0.91686010360717796</v>
      </c>
      <c r="E251" s="22">
        <v>-0.100893162190914</v>
      </c>
      <c r="F251" s="22">
        <v>0.85536724328994795</v>
      </c>
      <c r="G251" s="21" t="s">
        <v>1113</v>
      </c>
      <c r="H251" s="22">
        <f>POWER(10,E251)</f>
        <v>0.79269631228351578</v>
      </c>
      <c r="J251" s="2" t="s">
        <v>57</v>
      </c>
      <c r="K251" s="2" t="s">
        <v>227</v>
      </c>
      <c r="L251" s="5">
        <v>0.79980850219726596</v>
      </c>
      <c r="M251" s="5">
        <v>-0.24988979101181</v>
      </c>
      <c r="N251" s="5">
        <v>0.85549837350845304</v>
      </c>
      <c r="O251" s="5">
        <f>EXP(M251)</f>
        <v>0.77888661864754782</v>
      </c>
      <c r="Q251" s="16" t="s">
        <v>227</v>
      </c>
      <c r="R251" s="16" t="s">
        <v>57</v>
      </c>
      <c r="S251" s="17">
        <v>2.5685702436100001E-6</v>
      </c>
      <c r="T251" s="16">
        <v>0.769231</v>
      </c>
      <c r="U251" s="16" t="s">
        <v>942</v>
      </c>
      <c r="V251" s="16">
        <v>0.91170825335892502</v>
      </c>
      <c r="W251" s="16" t="s">
        <v>998</v>
      </c>
      <c r="X251" s="16">
        <v>1815</v>
      </c>
      <c r="Y251" s="16">
        <v>2113</v>
      </c>
    </row>
    <row r="252" spans="2:25" x14ac:dyDescent="0.2">
      <c r="B252" s="21" t="s">
        <v>57</v>
      </c>
      <c r="C252" s="21" t="s">
        <v>226</v>
      </c>
      <c r="D252" s="22">
        <v>0.86944478750228904</v>
      </c>
      <c r="E252" s="22">
        <v>-1.0973174571991</v>
      </c>
      <c r="F252" s="22">
        <v>0.75308531522750899</v>
      </c>
      <c r="G252" s="21" t="s">
        <v>1113</v>
      </c>
      <c r="H252" s="22">
        <f>POWER(10,E252)</f>
        <v>7.9924981202237844E-2</v>
      </c>
      <c r="J252" s="2" t="s">
        <v>57</v>
      </c>
      <c r="K252" s="2" t="s">
        <v>226</v>
      </c>
      <c r="L252" s="5">
        <v>0.761463582515717</v>
      </c>
      <c r="M252" s="5">
        <v>-0.62140637636184703</v>
      </c>
      <c r="N252" s="5">
        <v>0.71548515558242798</v>
      </c>
      <c r="O252" s="5">
        <f>EXP(M252)</f>
        <v>0.53718841700300957</v>
      </c>
      <c r="Q252" s="16" t="s">
        <v>226</v>
      </c>
      <c r="R252" s="16" t="s">
        <v>57</v>
      </c>
      <c r="S252" s="17">
        <v>1.7207728119099999E-15</v>
      </c>
      <c r="T252" s="16">
        <v>0.64532</v>
      </c>
      <c r="U252" s="16" t="s">
        <v>942</v>
      </c>
      <c r="V252" s="16">
        <v>0.91170825335892502</v>
      </c>
      <c r="W252" s="16" t="s">
        <v>998</v>
      </c>
      <c r="X252" s="16">
        <v>1815</v>
      </c>
      <c r="Y252" s="16">
        <v>1307</v>
      </c>
    </row>
    <row r="253" spans="2:25" x14ac:dyDescent="0.2">
      <c r="B253" s="21" t="s">
        <v>57</v>
      </c>
      <c r="C253" s="21" t="s">
        <v>228</v>
      </c>
      <c r="D253" s="22">
        <v>0.91382902860641502</v>
      </c>
      <c r="E253" s="22">
        <v>-0.162412390112877</v>
      </c>
      <c r="F253" s="22">
        <v>0.81334537267684903</v>
      </c>
      <c r="G253" s="21" t="s">
        <v>1113</v>
      </c>
      <c r="H253" s="22">
        <f>POWER(10,E253)</f>
        <v>0.68799868774950768</v>
      </c>
      <c r="J253" s="2" t="s">
        <v>57</v>
      </c>
      <c r="K253" s="2" t="s">
        <v>228</v>
      </c>
      <c r="L253" s="5">
        <v>0.79029136896133401</v>
      </c>
      <c r="M253" s="5">
        <v>1.1127233505248999E-2</v>
      </c>
      <c r="N253" s="5">
        <v>0.77124738693237305</v>
      </c>
      <c r="O253" s="5">
        <f>EXP(M253)</f>
        <v>1.0111893714285127</v>
      </c>
      <c r="Q253" s="16" t="s">
        <v>228</v>
      </c>
      <c r="R253" s="16" t="s">
        <v>57</v>
      </c>
      <c r="S253" s="17">
        <v>6.7983205195899998E-11</v>
      </c>
      <c r="T253" s="16">
        <v>0.78723399999999999</v>
      </c>
      <c r="U253" s="16" t="s">
        <v>942</v>
      </c>
      <c r="V253" s="16">
        <v>0.91170825335892502</v>
      </c>
      <c r="W253" s="16" t="s">
        <v>998</v>
      </c>
      <c r="X253" s="16">
        <v>1815</v>
      </c>
      <c r="Y253" s="16">
        <v>1653</v>
      </c>
    </row>
    <row r="254" spans="2:25" x14ac:dyDescent="0.2">
      <c r="J254" s="2" t="s">
        <v>231</v>
      </c>
      <c r="K254" s="2" t="s">
        <v>232</v>
      </c>
      <c r="L254" s="5">
        <v>0.85211879014968905</v>
      </c>
      <c r="M254" s="5">
        <v>1.27095651626587</v>
      </c>
      <c r="N254" s="5">
        <v>0.19257588684558899</v>
      </c>
      <c r="O254" s="5">
        <f>EXP(M254)</f>
        <v>3.5642602052248837</v>
      </c>
      <c r="Q254" s="16" t="s">
        <v>232</v>
      </c>
      <c r="R254" s="16" t="s">
        <v>231</v>
      </c>
      <c r="S254" s="17">
        <v>1.34833061221E-11</v>
      </c>
      <c r="T254" s="16">
        <v>0.66339899999999996</v>
      </c>
      <c r="U254" s="16" t="s">
        <v>942</v>
      </c>
      <c r="V254" s="16">
        <v>0.54014598540145997</v>
      </c>
      <c r="W254" s="16" t="s">
        <v>1000</v>
      </c>
      <c r="X254" s="16">
        <v>1910</v>
      </c>
      <c r="Y254" s="16">
        <v>1606</v>
      </c>
    </row>
    <row r="255" spans="2:25" x14ac:dyDescent="0.2">
      <c r="B255" s="21"/>
      <c r="C255" s="21"/>
      <c r="D255" s="22"/>
      <c r="E255" s="22"/>
      <c r="F255" s="22"/>
      <c r="G255" s="21"/>
      <c r="H255" s="22"/>
      <c r="J255" s="2" t="s">
        <v>233</v>
      </c>
      <c r="K255" s="2" t="s">
        <v>177</v>
      </c>
      <c r="L255" s="5">
        <v>0.65219324827194203</v>
      </c>
      <c r="M255" s="5">
        <v>-9.2265993356704698E-2</v>
      </c>
      <c r="N255" s="5">
        <v>0.71890205144882202</v>
      </c>
      <c r="O255" s="5">
        <f>EXP(M255)</f>
        <v>0.9118625678986787</v>
      </c>
      <c r="Q255" s="16" t="s">
        <v>177</v>
      </c>
      <c r="R255" s="16" t="s">
        <v>233</v>
      </c>
      <c r="S255" s="17">
        <v>7.7739130910399999E-8</v>
      </c>
      <c r="T255" s="16">
        <v>0.64640900000000001</v>
      </c>
      <c r="U255" s="16" t="s">
        <v>942</v>
      </c>
      <c r="V255" s="16">
        <v>0.61538461538461497</v>
      </c>
      <c r="W255" s="16" t="s">
        <v>1001</v>
      </c>
      <c r="X255" s="16">
        <v>2099</v>
      </c>
      <c r="Y255" s="16">
        <v>1933</v>
      </c>
    </row>
    <row r="256" spans="2:25" x14ac:dyDescent="0.2">
      <c r="B256" s="21"/>
      <c r="C256" s="21"/>
      <c r="D256" s="22"/>
      <c r="E256" s="22"/>
      <c r="F256" s="22"/>
      <c r="G256" s="21"/>
      <c r="H256" s="22"/>
      <c r="J256" s="2" t="s">
        <v>233</v>
      </c>
      <c r="K256" s="2" t="s">
        <v>97</v>
      </c>
      <c r="L256" s="5">
        <v>0.64407080411911</v>
      </c>
      <c r="M256" s="5">
        <v>-0.357351124286652</v>
      </c>
      <c r="N256" s="5">
        <v>0.84929555654525801</v>
      </c>
      <c r="O256" s="5">
        <f>EXP(M256)</f>
        <v>0.69952683374734537</v>
      </c>
      <c r="Q256" s="16" t="s">
        <v>97</v>
      </c>
      <c r="R256" s="16" t="s">
        <v>233</v>
      </c>
      <c r="S256" s="17">
        <v>2.61249718747E-6</v>
      </c>
      <c r="T256" s="16">
        <v>0.57352899999999996</v>
      </c>
      <c r="U256" s="16" t="s">
        <v>942</v>
      </c>
      <c r="V256" s="16">
        <v>0.61538461538461497</v>
      </c>
      <c r="W256" s="16" t="s">
        <v>1001</v>
      </c>
      <c r="X256" s="16">
        <v>2099</v>
      </c>
      <c r="Y256" s="16">
        <v>2114</v>
      </c>
    </row>
    <row r="257" spans="2:25" x14ac:dyDescent="0.2">
      <c r="B257" s="21" t="s">
        <v>233</v>
      </c>
      <c r="C257" s="21" t="s">
        <v>181</v>
      </c>
      <c r="D257" s="22">
        <v>0.88487321138382002</v>
      </c>
      <c r="E257" s="22">
        <v>0.82592368125915505</v>
      </c>
      <c r="F257" s="22">
        <v>0.58826678991317805</v>
      </c>
      <c r="G257" s="21" t="s">
        <v>1113</v>
      </c>
      <c r="H257" s="22">
        <f>POWER(10,E257)</f>
        <v>6.6976690067232392</v>
      </c>
      <c r="J257" s="2" t="s">
        <v>233</v>
      </c>
      <c r="K257" s="2" t="s">
        <v>181</v>
      </c>
      <c r="L257" s="5">
        <v>0.63302254676818903</v>
      </c>
      <c r="M257" s="5">
        <v>0.375943303108215</v>
      </c>
      <c r="N257" s="5">
        <v>0.31074273586273199</v>
      </c>
      <c r="O257" s="5">
        <f>EXP(M257)</f>
        <v>1.4563645600864099</v>
      </c>
      <c r="Q257" s="16" t="s">
        <v>181</v>
      </c>
      <c r="R257" s="16" t="s">
        <v>233</v>
      </c>
      <c r="S257" s="17">
        <v>2.7149391777599999E-61</v>
      </c>
      <c r="T257" s="16">
        <v>0.45613999999999999</v>
      </c>
      <c r="U257" s="16" t="s">
        <v>942</v>
      </c>
      <c r="V257" s="16">
        <v>0.40051903114186799</v>
      </c>
      <c r="W257" s="16" t="s">
        <v>1002</v>
      </c>
      <c r="X257" s="16">
        <v>2099</v>
      </c>
      <c r="Y257" s="16">
        <v>233</v>
      </c>
    </row>
    <row r="258" spans="2:25" x14ac:dyDescent="0.2">
      <c r="B258" s="21"/>
      <c r="C258" s="21"/>
      <c r="D258" s="22"/>
      <c r="E258" s="22"/>
      <c r="F258" s="22"/>
      <c r="G258" s="21"/>
      <c r="H258" s="22"/>
      <c r="J258" s="2" t="s">
        <v>233</v>
      </c>
      <c r="K258" s="2" t="s">
        <v>236</v>
      </c>
      <c r="L258" s="5">
        <v>0.65315335988998402</v>
      </c>
      <c r="M258" s="5">
        <v>-3.7151724100112901E-2</v>
      </c>
      <c r="N258" s="5">
        <v>0.272821515798569</v>
      </c>
      <c r="O258" s="5">
        <f>EXP(M258)</f>
        <v>0.96352993354606631</v>
      </c>
      <c r="Q258" s="16" t="s">
        <v>236</v>
      </c>
      <c r="R258" s="16" t="s">
        <v>233</v>
      </c>
      <c r="S258" s="17">
        <v>1.8351058783700001E-8</v>
      </c>
      <c r="T258" s="16">
        <v>0.66857100000000003</v>
      </c>
      <c r="U258" s="16" t="s">
        <v>942</v>
      </c>
      <c r="V258" s="16">
        <v>0.61538461538461497</v>
      </c>
      <c r="W258" s="16" t="s">
        <v>1001</v>
      </c>
      <c r="X258" s="16">
        <v>2099</v>
      </c>
      <c r="Y258" s="16">
        <v>1869</v>
      </c>
    </row>
    <row r="259" spans="2:25" x14ac:dyDescent="0.2">
      <c r="B259" s="21" t="s">
        <v>233</v>
      </c>
      <c r="C259" s="21" t="s">
        <v>235</v>
      </c>
      <c r="D259" s="22">
        <v>0.94117826223373402</v>
      </c>
      <c r="E259" s="22">
        <v>1.0478903055191</v>
      </c>
      <c r="F259" s="22">
        <v>0.60226470232009899</v>
      </c>
      <c r="G259" s="21" t="s">
        <v>1113</v>
      </c>
      <c r="H259" s="22">
        <f>POWER(10,E259)</f>
        <v>11.165811851058201</v>
      </c>
      <c r="J259" s="2" t="s">
        <v>233</v>
      </c>
      <c r="K259" s="2" t="s">
        <v>235</v>
      </c>
      <c r="L259" s="5">
        <v>0.64666432142257702</v>
      </c>
      <c r="M259" s="5">
        <v>0.74200534820556596</v>
      </c>
      <c r="N259" s="5">
        <v>0.73503023386001598</v>
      </c>
      <c r="O259" s="5">
        <f>EXP(M259)</f>
        <v>2.1001428121558026</v>
      </c>
      <c r="Q259" s="16" t="s">
        <v>235</v>
      </c>
      <c r="R259" s="16" t="s">
        <v>233</v>
      </c>
      <c r="S259" s="17">
        <v>1.53500515094E-22</v>
      </c>
      <c r="T259" s="16">
        <v>0.875</v>
      </c>
      <c r="U259" s="16" t="s">
        <v>942</v>
      </c>
      <c r="V259" s="16">
        <v>0.50086505190311403</v>
      </c>
      <c r="W259" s="16" t="s">
        <v>1002</v>
      </c>
      <c r="X259" s="16">
        <v>2099</v>
      </c>
      <c r="Y259" s="16">
        <v>929</v>
      </c>
    </row>
    <row r="260" spans="2:25" x14ac:dyDescent="0.2">
      <c r="B260" s="21"/>
      <c r="C260" s="21"/>
      <c r="D260" s="22"/>
      <c r="E260" s="22"/>
      <c r="F260" s="22"/>
      <c r="G260" s="21"/>
      <c r="H260" s="22"/>
      <c r="J260" s="2" t="s">
        <v>233</v>
      </c>
      <c r="K260" s="2" t="s">
        <v>98</v>
      </c>
      <c r="L260" s="5">
        <v>0.64253395795822099</v>
      </c>
      <c r="M260" s="5">
        <v>0.321576118469238</v>
      </c>
      <c r="N260" s="5">
        <v>0.49016880989074701</v>
      </c>
      <c r="O260" s="5">
        <f>EXP(M260)</f>
        <v>1.3792999922344042</v>
      </c>
      <c r="Q260" s="16" t="s">
        <v>98</v>
      </c>
      <c r="R260" s="16" t="s">
        <v>233</v>
      </c>
      <c r="S260" s="17">
        <v>6.2868706992900002E-12</v>
      </c>
      <c r="T260" s="16">
        <v>0.82978700000000005</v>
      </c>
      <c r="U260" s="16" t="s">
        <v>942</v>
      </c>
      <c r="V260" s="16">
        <v>0.61538461538461497</v>
      </c>
      <c r="W260" s="16" t="s">
        <v>1001</v>
      </c>
      <c r="X260" s="16">
        <v>2099</v>
      </c>
      <c r="Y260" s="16">
        <v>1578</v>
      </c>
    </row>
    <row r="261" spans="2:25" x14ac:dyDescent="0.2">
      <c r="B261" s="21" t="s">
        <v>233</v>
      </c>
      <c r="C261" s="21" t="s">
        <v>21</v>
      </c>
      <c r="D261" s="22">
        <v>0.92806398868560802</v>
      </c>
      <c r="E261" s="22">
        <v>0.46130347251892101</v>
      </c>
      <c r="F261" s="22">
        <v>0.23079510033130601</v>
      </c>
      <c r="G261" s="21" t="s">
        <v>1113</v>
      </c>
      <c r="H261" s="22">
        <f>POWER(10,E261)</f>
        <v>2.8927005123964751</v>
      </c>
      <c r="J261" s="2" t="s">
        <v>233</v>
      </c>
      <c r="K261" s="2" t="s">
        <v>21</v>
      </c>
      <c r="L261" s="5">
        <v>0.64589953422546398</v>
      </c>
      <c r="M261" s="5">
        <v>0.32589650154113797</v>
      </c>
      <c r="N261" s="5">
        <v>0.21742580831050901</v>
      </c>
      <c r="O261" s="5">
        <f>EXP(M261)</f>
        <v>1.3852719879372035</v>
      </c>
      <c r="Q261" s="16" t="s">
        <v>21</v>
      </c>
      <c r="R261" s="16" t="s">
        <v>233</v>
      </c>
      <c r="S261" s="17">
        <v>9.0353607990800005E-22</v>
      </c>
      <c r="T261" s="16">
        <v>0.57236799999999999</v>
      </c>
      <c r="U261" s="16" t="s">
        <v>942</v>
      </c>
      <c r="V261" s="16">
        <v>0.40051903114186799</v>
      </c>
      <c r="W261" s="16" t="s">
        <v>1002</v>
      </c>
      <c r="X261" s="16">
        <v>2099</v>
      </c>
      <c r="Y261" s="16">
        <v>965</v>
      </c>
    </row>
    <row r="262" spans="2:25" x14ac:dyDescent="0.2">
      <c r="B262" s="21"/>
      <c r="C262" s="21"/>
      <c r="D262" s="22"/>
      <c r="E262" s="22"/>
      <c r="F262" s="22"/>
      <c r="G262" s="21"/>
      <c r="H262" s="22"/>
      <c r="J262" s="2" t="s">
        <v>233</v>
      </c>
      <c r="K262" s="2" t="s">
        <v>38</v>
      </c>
      <c r="L262" s="5">
        <v>0.64357507228851296</v>
      </c>
      <c r="M262" s="5">
        <v>-0.650110304355621</v>
      </c>
      <c r="N262" s="5">
        <v>0.44481369853019698</v>
      </c>
      <c r="O262" s="5">
        <f>EXP(M262)</f>
        <v>0.52198819601376778</v>
      </c>
      <c r="Q262" s="16" t="s">
        <v>38</v>
      </c>
      <c r="R262" s="16" t="s">
        <v>233</v>
      </c>
      <c r="S262" s="17">
        <v>1.49789338793E-12</v>
      </c>
      <c r="T262" s="16">
        <v>0.859259</v>
      </c>
      <c r="U262" s="16" t="s">
        <v>942</v>
      </c>
      <c r="V262" s="16">
        <v>0.61538461538461497</v>
      </c>
      <c r="W262" s="16" t="s">
        <v>1001</v>
      </c>
      <c r="X262" s="16">
        <v>2099</v>
      </c>
      <c r="Y262" s="16">
        <v>1513</v>
      </c>
    </row>
    <row r="263" spans="2:25" x14ac:dyDescent="0.2">
      <c r="B263" s="21"/>
      <c r="C263" s="21"/>
      <c r="D263" s="22"/>
      <c r="E263" s="22"/>
      <c r="F263" s="22"/>
      <c r="G263" s="21"/>
      <c r="H263" s="22"/>
      <c r="J263" s="2" t="s">
        <v>233</v>
      </c>
      <c r="K263" s="2" t="s">
        <v>99</v>
      </c>
      <c r="L263" s="5">
        <v>0.63109278678893999</v>
      </c>
      <c r="M263" s="5">
        <v>-0.16902813315391499</v>
      </c>
      <c r="N263" s="5">
        <v>0.66216081380844105</v>
      </c>
      <c r="O263" s="5">
        <f>EXP(M263)</f>
        <v>0.84448514502127325</v>
      </c>
      <c r="Q263" s="16" t="s">
        <v>99</v>
      </c>
      <c r="R263" s="16" t="s">
        <v>233</v>
      </c>
      <c r="S263" s="17">
        <v>8.5469695043600004E-7</v>
      </c>
      <c r="T263" s="16">
        <v>0.59615399999999996</v>
      </c>
      <c r="U263" s="16" t="s">
        <v>942</v>
      </c>
      <c r="V263" s="16">
        <v>0.61538461538461497</v>
      </c>
      <c r="W263" s="16" t="s">
        <v>1001</v>
      </c>
      <c r="X263" s="16">
        <v>2099</v>
      </c>
      <c r="Y263" s="16">
        <v>2040</v>
      </c>
    </row>
    <row r="264" spans="2:25" x14ac:dyDescent="0.2">
      <c r="B264" s="21"/>
      <c r="C264" s="21"/>
      <c r="D264" s="22"/>
      <c r="E264" s="22"/>
      <c r="F264" s="22"/>
      <c r="G264" s="21"/>
      <c r="H264" s="22"/>
      <c r="J264" s="2" t="s">
        <v>233</v>
      </c>
      <c r="K264" s="2" t="s">
        <v>237</v>
      </c>
      <c r="L264" s="5">
        <v>0.64579135179519698</v>
      </c>
      <c r="M264" s="5">
        <v>0.98424661159515403</v>
      </c>
      <c r="N264" s="5">
        <v>0.403712838888168</v>
      </c>
      <c r="O264" s="5">
        <f>EXP(M264)</f>
        <v>2.6757952117612551</v>
      </c>
      <c r="Q264" s="16" t="s">
        <v>237</v>
      </c>
      <c r="R264" s="16" t="s">
        <v>233</v>
      </c>
      <c r="S264" s="17">
        <v>8.5469695043600004E-7</v>
      </c>
      <c r="T264" s="16">
        <v>0.59615399999999996</v>
      </c>
      <c r="U264" s="16" t="s">
        <v>942</v>
      </c>
      <c r="V264" s="16">
        <v>0.61538461538461497</v>
      </c>
      <c r="W264" s="16" t="s">
        <v>1001</v>
      </c>
      <c r="X264" s="16">
        <v>2099</v>
      </c>
      <c r="Y264" s="16">
        <v>2041</v>
      </c>
    </row>
    <row r="265" spans="2:25" x14ac:dyDescent="0.2">
      <c r="J265" s="2" t="s">
        <v>233</v>
      </c>
      <c r="K265" s="2" t="s">
        <v>100</v>
      </c>
      <c r="L265" s="5">
        <v>0.64784395694732699</v>
      </c>
      <c r="M265" s="5">
        <v>8.27627703547478E-2</v>
      </c>
      <c r="N265" s="5">
        <v>0.500233054161072</v>
      </c>
      <c r="O265" s="5">
        <f>EXP(M265)</f>
        <v>1.0862840791921751</v>
      </c>
      <c r="Q265" s="16" t="s">
        <v>100</v>
      </c>
      <c r="R265" s="16" t="s">
        <v>233</v>
      </c>
      <c r="S265" s="17">
        <v>1.39352449535E-6</v>
      </c>
      <c r="T265" s="16">
        <v>0.58598700000000004</v>
      </c>
      <c r="U265" s="16" t="s">
        <v>942</v>
      </c>
      <c r="V265" s="16">
        <v>0.61538461538461497</v>
      </c>
      <c r="W265" s="16" t="s">
        <v>1001</v>
      </c>
      <c r="X265" s="16">
        <v>2099</v>
      </c>
      <c r="Y265" s="16">
        <v>2072</v>
      </c>
    </row>
    <row r="266" spans="2:25" x14ac:dyDescent="0.2">
      <c r="J266" s="2" t="s">
        <v>233</v>
      </c>
      <c r="K266" s="2" t="s">
        <v>101</v>
      </c>
      <c r="L266" s="5">
        <v>0.64460200071334794</v>
      </c>
      <c r="M266" s="5">
        <v>-0.112709745764732</v>
      </c>
      <c r="N266" s="5">
        <v>0.74836516380310103</v>
      </c>
      <c r="O266" s="5">
        <f>EXP(M266)</f>
        <v>0.89340993850435146</v>
      </c>
      <c r="Q266" s="16" t="s">
        <v>101</v>
      </c>
      <c r="R266" s="16" t="s">
        <v>233</v>
      </c>
      <c r="S266" s="17">
        <v>3.6673218262199999E-7</v>
      </c>
      <c r="T266" s="16">
        <v>0.61333300000000002</v>
      </c>
      <c r="U266" s="16" t="s">
        <v>942</v>
      </c>
      <c r="V266" s="16">
        <v>0.61538461538461497</v>
      </c>
      <c r="W266" s="16" t="s">
        <v>1001</v>
      </c>
      <c r="X266" s="16">
        <v>2099</v>
      </c>
      <c r="Y266" s="16">
        <v>1995</v>
      </c>
    </row>
    <row r="267" spans="2:25" x14ac:dyDescent="0.2">
      <c r="B267" s="21" t="s">
        <v>233</v>
      </c>
      <c r="C267" s="21" t="s">
        <v>102</v>
      </c>
      <c r="D267" s="22">
        <v>0.93911868333816495</v>
      </c>
      <c r="E267" s="22">
        <v>-0.87970346212387096</v>
      </c>
      <c r="F267" s="22">
        <v>0.91788601875305198</v>
      </c>
      <c r="G267" s="21" t="s">
        <v>1113</v>
      </c>
      <c r="H267" s="22">
        <f>POWER(10,E267)</f>
        <v>0.13191571564952886</v>
      </c>
      <c r="J267" s="2" t="s">
        <v>233</v>
      </c>
      <c r="K267" s="2" t="s">
        <v>102</v>
      </c>
      <c r="L267" s="5">
        <v>0.65838366746902499</v>
      </c>
      <c r="M267" s="5">
        <v>-0.72106474637985196</v>
      </c>
      <c r="N267" s="5">
        <v>0.91045397520065297</v>
      </c>
      <c r="O267" s="5">
        <f>EXP(M267)</f>
        <v>0.48623426407148418</v>
      </c>
      <c r="Q267" s="16" t="s">
        <v>102</v>
      </c>
      <c r="R267" s="16" t="s">
        <v>233</v>
      </c>
      <c r="S267" s="17">
        <v>3.0337562201499999E-32</v>
      </c>
      <c r="T267" s="16">
        <v>0.73333300000000001</v>
      </c>
      <c r="U267" s="16" t="s">
        <v>942</v>
      </c>
      <c r="V267" s="16">
        <v>0.50086505190311403</v>
      </c>
      <c r="W267" s="16" t="s">
        <v>1002</v>
      </c>
      <c r="X267" s="16">
        <v>2099</v>
      </c>
      <c r="Y267" s="16">
        <v>669</v>
      </c>
    </row>
    <row r="268" spans="2:25" x14ac:dyDescent="0.2">
      <c r="J268" s="2" t="s">
        <v>233</v>
      </c>
      <c r="K268" s="2" t="s">
        <v>234</v>
      </c>
      <c r="L268" s="5">
        <v>0.64763969182968095</v>
      </c>
      <c r="M268" s="5">
        <v>0.32288786768913302</v>
      </c>
      <c r="N268" s="5">
        <v>0.76477950811386097</v>
      </c>
      <c r="O268" s="5">
        <f>EXP(M268)</f>
        <v>1.3811104751133649</v>
      </c>
      <c r="Q268" s="16" t="s">
        <v>234</v>
      </c>
      <c r="R268" s="16" t="s">
        <v>233</v>
      </c>
      <c r="S268" s="17">
        <v>2.8899305171099998E-10</v>
      </c>
      <c r="T268" s="16">
        <v>0.75163400000000002</v>
      </c>
      <c r="U268" s="16" t="s">
        <v>942</v>
      </c>
      <c r="V268" s="16">
        <v>0.61538461538461497</v>
      </c>
      <c r="W268" s="16" t="s">
        <v>1001</v>
      </c>
      <c r="X268" s="16">
        <v>2099</v>
      </c>
      <c r="Y268" s="16">
        <v>1711</v>
      </c>
    </row>
    <row r="269" spans="2:25" x14ac:dyDescent="0.2">
      <c r="B269" s="21" t="s">
        <v>238</v>
      </c>
      <c r="C269" s="21" t="s">
        <v>181</v>
      </c>
      <c r="D269" s="22">
        <v>0.90908068418502797</v>
      </c>
      <c r="E269" s="22">
        <v>0.69202804565429699</v>
      </c>
      <c r="F269" s="22">
        <v>0.80927002429962203</v>
      </c>
      <c r="G269" s="21" t="s">
        <v>1113</v>
      </c>
      <c r="H269" s="22">
        <f>POWER(10,E269)</f>
        <v>4.9207131139326341</v>
      </c>
      <c r="J269" s="2" t="s">
        <v>238</v>
      </c>
      <c r="K269" s="2" t="s">
        <v>181</v>
      </c>
      <c r="L269" s="5">
        <v>0.65919524431228604</v>
      </c>
      <c r="M269" s="5">
        <v>0.79877173900604304</v>
      </c>
      <c r="N269" s="5">
        <v>0.73453223705291804</v>
      </c>
      <c r="O269" s="5">
        <f>EXP(M269)</f>
        <v>2.2228090614458593</v>
      </c>
      <c r="Q269" s="16" t="s">
        <v>181</v>
      </c>
      <c r="R269" s="16" t="s">
        <v>238</v>
      </c>
      <c r="S269" s="17">
        <v>2.0941701746199999E-49</v>
      </c>
      <c r="T269" s="16">
        <v>0.45613999999999999</v>
      </c>
      <c r="U269" s="16" t="s">
        <v>942</v>
      </c>
      <c r="V269" s="16">
        <v>0.31792318634423899</v>
      </c>
      <c r="W269" s="16" t="s">
        <v>1003</v>
      </c>
      <c r="X269" s="16">
        <v>2100</v>
      </c>
      <c r="Y269" s="16">
        <v>330</v>
      </c>
    </row>
    <row r="270" spans="2:25" x14ac:dyDescent="0.2">
      <c r="B270" s="21" t="s">
        <v>238</v>
      </c>
      <c r="C270" s="21" t="s">
        <v>236</v>
      </c>
      <c r="D270" s="22">
        <v>0.91148263216018699</v>
      </c>
      <c r="E270" s="22">
        <v>-0.14360864460468301</v>
      </c>
      <c r="F270" s="22">
        <v>0.31990504264831499</v>
      </c>
      <c r="G270" s="21" t="s">
        <v>1113</v>
      </c>
      <c r="H270" s="22">
        <f>POWER(10,E270)</f>
        <v>0.71844140811867274</v>
      </c>
      <c r="J270" s="2" t="s">
        <v>238</v>
      </c>
      <c r="K270" s="2" t="s">
        <v>236</v>
      </c>
      <c r="L270" s="5">
        <v>0.66524934768676802</v>
      </c>
      <c r="M270" s="5">
        <v>0.32614862918853799</v>
      </c>
      <c r="N270" s="5">
        <v>0.55687874555587802</v>
      </c>
      <c r="O270" s="5">
        <f>EXP(M270)</f>
        <v>1.3856212973379596</v>
      </c>
      <c r="Q270" s="16" t="s">
        <v>236</v>
      </c>
      <c r="R270" s="16" t="s">
        <v>238</v>
      </c>
      <c r="S270" s="17">
        <v>3.9592048084499997E-8</v>
      </c>
      <c r="T270" s="16">
        <v>0.65340900000000002</v>
      </c>
      <c r="U270" s="16" t="s">
        <v>942</v>
      </c>
      <c r="V270" s="16">
        <v>0.54765291607396904</v>
      </c>
      <c r="W270" s="16" t="s">
        <v>1003</v>
      </c>
      <c r="X270" s="16">
        <v>2100</v>
      </c>
      <c r="Y270" s="16">
        <v>1787</v>
      </c>
    </row>
    <row r="271" spans="2:25" x14ac:dyDescent="0.2">
      <c r="B271" s="21" t="s">
        <v>238</v>
      </c>
      <c r="C271" s="21" t="s">
        <v>98</v>
      </c>
      <c r="D271" s="22">
        <v>0.91466790437698398</v>
      </c>
      <c r="E271" s="22">
        <v>0.61340093612670898</v>
      </c>
      <c r="F271" s="22">
        <v>0.38347297906875599</v>
      </c>
      <c r="G271" s="21" t="s">
        <v>1113</v>
      </c>
      <c r="H271" s="22">
        <f>POWER(10,E271)</f>
        <v>4.1058297398524264</v>
      </c>
      <c r="J271" s="2" t="s">
        <v>238</v>
      </c>
      <c r="K271" s="2" t="s">
        <v>98</v>
      </c>
      <c r="L271" s="5">
        <v>0.65351897478103604</v>
      </c>
      <c r="M271" s="5">
        <v>0.731137275695801</v>
      </c>
      <c r="N271" s="5">
        <v>0.71011888980865501</v>
      </c>
      <c r="O271" s="5">
        <f>EXP(M271)</f>
        <v>2.0774418888754131</v>
      </c>
      <c r="Q271" s="16" t="s">
        <v>98</v>
      </c>
      <c r="R271" s="16" t="s">
        <v>238</v>
      </c>
      <c r="S271" s="17">
        <v>6.0261273640300001E-16</v>
      </c>
      <c r="T271" s="16">
        <v>0.809859</v>
      </c>
      <c r="U271" s="16" t="s">
        <v>942</v>
      </c>
      <c r="V271" s="16">
        <v>0.54765291607396904</v>
      </c>
      <c r="W271" s="16" t="s">
        <v>1003</v>
      </c>
      <c r="X271" s="16">
        <v>2100</v>
      </c>
      <c r="Y271" s="16">
        <v>1288</v>
      </c>
    </row>
    <row r="272" spans="2:25" x14ac:dyDescent="0.2">
      <c r="B272" s="21" t="s">
        <v>238</v>
      </c>
      <c r="C272" s="21" t="s">
        <v>237</v>
      </c>
      <c r="D272" s="22">
        <v>0.91926354169845603</v>
      </c>
      <c r="E272" s="22">
        <v>0.14465154707431799</v>
      </c>
      <c r="F272" s="22">
        <v>0.33277130126953097</v>
      </c>
      <c r="G272" s="21" t="s">
        <v>1113</v>
      </c>
      <c r="H272" s="22">
        <f>POWER(10,E272)</f>
        <v>1.3952484446953843</v>
      </c>
      <c r="J272" s="2" t="s">
        <v>238</v>
      </c>
      <c r="K272" s="2" t="s">
        <v>237</v>
      </c>
      <c r="L272" s="5">
        <v>0.652626812458038</v>
      </c>
      <c r="M272" s="5">
        <v>0.13854315876960799</v>
      </c>
      <c r="N272" s="5">
        <v>0.57944083213806197</v>
      </c>
      <c r="O272" s="5">
        <f>EXP(M272)</f>
        <v>1.1485992526309743</v>
      </c>
      <c r="Q272" s="16" t="s">
        <v>237</v>
      </c>
      <c r="R272" s="16" t="s">
        <v>238</v>
      </c>
      <c r="S272" s="17">
        <v>1.1270729016700001E-8</v>
      </c>
      <c r="T272" s="16">
        <v>0.65333300000000005</v>
      </c>
      <c r="U272" s="16" t="s">
        <v>942</v>
      </c>
      <c r="V272" s="16">
        <v>0.54765291607396904</v>
      </c>
      <c r="W272" s="16" t="s">
        <v>1003</v>
      </c>
      <c r="X272" s="16">
        <v>2100</v>
      </c>
      <c r="Y272" s="16">
        <v>1840</v>
      </c>
    </row>
    <row r="273" spans="2:25" x14ac:dyDescent="0.2">
      <c r="B273" s="21" t="s">
        <v>238</v>
      </c>
      <c r="C273" s="21" t="s">
        <v>100</v>
      </c>
      <c r="D273" s="22">
        <v>0.91660827398300204</v>
      </c>
      <c r="E273" s="22">
        <v>-0.19140848517417899</v>
      </c>
      <c r="F273" s="22">
        <v>0.466257154941559</v>
      </c>
      <c r="G273" s="21" t="s">
        <v>1113</v>
      </c>
      <c r="H273" s="22">
        <f>POWER(10,E273)</f>
        <v>0.64356366287378053</v>
      </c>
      <c r="J273" s="2" t="s">
        <v>238</v>
      </c>
      <c r="K273" s="2" t="s">
        <v>100</v>
      </c>
      <c r="L273" s="5">
        <v>0.66788673400878895</v>
      </c>
      <c r="M273" s="5">
        <v>0.45451247692108199</v>
      </c>
      <c r="N273" s="5">
        <v>0.66272914409637496</v>
      </c>
      <c r="O273" s="5">
        <f>EXP(M273)</f>
        <v>1.5754051494144117</v>
      </c>
      <c r="Q273" s="16" t="s">
        <v>100</v>
      </c>
      <c r="R273" s="16" t="s">
        <v>238</v>
      </c>
      <c r="S273" s="17">
        <v>4.6988825243000002E-6</v>
      </c>
      <c r="T273" s="16">
        <v>0.65333300000000005</v>
      </c>
      <c r="U273" s="16" t="s">
        <v>942</v>
      </c>
      <c r="V273" s="16">
        <v>0.54765291607396904</v>
      </c>
      <c r="W273" s="16" t="s">
        <v>1003</v>
      </c>
      <c r="X273" s="16">
        <v>2100</v>
      </c>
      <c r="Y273" s="16">
        <v>1983</v>
      </c>
    </row>
    <row r="274" spans="2:25" x14ac:dyDescent="0.2">
      <c r="B274" s="21" t="s">
        <v>238</v>
      </c>
      <c r="C274" s="21" t="s">
        <v>239</v>
      </c>
      <c r="D274" s="22">
        <v>0.91966813802719105</v>
      </c>
      <c r="E274" s="22">
        <v>-9.2806536704301799E-3</v>
      </c>
      <c r="F274" s="22">
        <v>0.545870661735535</v>
      </c>
      <c r="G274" s="21" t="s">
        <v>1113</v>
      </c>
      <c r="H274" s="22">
        <f>POWER(10,E274)</f>
        <v>0.97885721509549761</v>
      </c>
      <c r="J274" s="2" t="s">
        <v>238</v>
      </c>
      <c r="K274" s="2" t="s">
        <v>239</v>
      </c>
      <c r="L274" s="5">
        <v>0.66963291168212902</v>
      </c>
      <c r="M274" s="5">
        <v>0.21538969874382</v>
      </c>
      <c r="N274" s="5">
        <v>0.514565229415894</v>
      </c>
      <c r="O274" s="5">
        <f>EXP(M274)</f>
        <v>1.2403451637479328</v>
      </c>
      <c r="Q274" s="16" t="s">
        <v>239</v>
      </c>
      <c r="R274" s="16" t="s">
        <v>238</v>
      </c>
      <c r="S274" s="17">
        <v>3.2874115604399999E-5</v>
      </c>
      <c r="T274" s="16">
        <v>0.60408200000000001</v>
      </c>
      <c r="U274" s="16" t="s">
        <v>942</v>
      </c>
      <c r="V274" s="16">
        <v>0.11877667140825</v>
      </c>
      <c r="W274" s="16" t="s">
        <v>1003</v>
      </c>
      <c r="X274" s="16">
        <v>2100</v>
      </c>
      <c r="Y274" s="16">
        <v>2238</v>
      </c>
    </row>
    <row r="275" spans="2:25" x14ac:dyDescent="0.2">
      <c r="J275" s="2" t="s">
        <v>59</v>
      </c>
      <c r="K275" s="2" t="s">
        <v>244</v>
      </c>
      <c r="L275" s="5">
        <v>0.818745136260986</v>
      </c>
      <c r="M275" s="5">
        <v>0.24603256583213801</v>
      </c>
      <c r="N275" s="5">
        <v>0.44610774517059298</v>
      </c>
      <c r="O275" s="5">
        <f>EXP(M275)</f>
        <v>1.2789412226487369</v>
      </c>
      <c r="Q275" s="16" t="s">
        <v>244</v>
      </c>
      <c r="R275" s="16" t="s">
        <v>1006</v>
      </c>
      <c r="S275" s="17">
        <v>7.57358852067E-22</v>
      </c>
      <c r="T275" s="16">
        <v>0.57826100000000002</v>
      </c>
      <c r="U275" s="16" t="s">
        <v>942</v>
      </c>
      <c r="V275" s="16">
        <v>0.15062761506276201</v>
      </c>
      <c r="W275" s="16" t="s">
        <v>1007</v>
      </c>
      <c r="X275" s="16">
        <v>2554</v>
      </c>
      <c r="Y275" s="16">
        <v>957</v>
      </c>
    </row>
    <row r="276" spans="2:25" x14ac:dyDescent="0.2">
      <c r="J276" s="2" t="s">
        <v>59</v>
      </c>
      <c r="K276" s="2" t="s">
        <v>240</v>
      </c>
      <c r="L276" s="5">
        <v>0.770957350730896</v>
      </c>
      <c r="M276" s="5">
        <v>0.25119060277938798</v>
      </c>
      <c r="N276" s="5">
        <v>0.249284833669662</v>
      </c>
      <c r="O276" s="5">
        <f>EXP(M276)</f>
        <v>1.2855550913544123</v>
      </c>
      <c r="Q276" s="16" t="s">
        <v>240</v>
      </c>
      <c r="R276" s="16" t="s">
        <v>1006</v>
      </c>
      <c r="S276" s="17">
        <v>1.4449652585599999E-10</v>
      </c>
      <c r="T276" s="16">
        <v>0.36507899999999999</v>
      </c>
      <c r="U276" s="16" t="s">
        <v>942</v>
      </c>
      <c r="V276" s="16">
        <v>0.68412822517591898</v>
      </c>
      <c r="W276" s="16" t="s">
        <v>1008</v>
      </c>
      <c r="X276" s="16">
        <v>2554</v>
      </c>
      <c r="Y276" s="16">
        <v>1664</v>
      </c>
    </row>
    <row r="277" spans="2:25" x14ac:dyDescent="0.2">
      <c r="J277" s="2" t="s">
        <v>59</v>
      </c>
      <c r="K277" s="2" t="s">
        <v>175</v>
      </c>
      <c r="L277" s="5">
        <v>0.80346643924713101</v>
      </c>
      <c r="M277" s="5">
        <v>0.24082639813423201</v>
      </c>
      <c r="N277" s="5">
        <v>0.315754175186157</v>
      </c>
      <c r="O277" s="5">
        <f>EXP(M277)</f>
        <v>1.272300142456531</v>
      </c>
      <c r="Q277" s="16" t="s">
        <v>175</v>
      </c>
      <c r="R277" s="16" t="s">
        <v>1006</v>
      </c>
      <c r="S277" s="17">
        <v>3.0613258805299998E-13</v>
      </c>
      <c r="T277" s="16">
        <v>0.67676800000000004</v>
      </c>
      <c r="U277" s="16" t="s">
        <v>942</v>
      </c>
      <c r="V277" s="16">
        <v>0.68412822517591898</v>
      </c>
      <c r="W277" s="16" t="s">
        <v>1008</v>
      </c>
      <c r="X277" s="16">
        <v>2554</v>
      </c>
      <c r="Y277" s="16">
        <v>1463</v>
      </c>
    </row>
    <row r="278" spans="2:25" x14ac:dyDescent="0.2">
      <c r="J278" s="2" t="s">
        <v>59</v>
      </c>
      <c r="K278" s="2" t="s">
        <v>241</v>
      </c>
      <c r="L278" s="5">
        <v>0.74956810474395796</v>
      </c>
      <c r="M278" s="5">
        <v>1.46198129653931</v>
      </c>
      <c r="N278" s="5">
        <v>0.43149295449256903</v>
      </c>
      <c r="O278" s="5">
        <f>EXP(M278)</f>
        <v>4.3144993682411208</v>
      </c>
      <c r="Q278" s="16" t="s">
        <v>241</v>
      </c>
      <c r="R278" s="16" t="s">
        <v>1006</v>
      </c>
      <c r="S278" s="17">
        <v>2.29871407230999E-14</v>
      </c>
      <c r="T278" s="16">
        <v>0.58181799999999995</v>
      </c>
      <c r="U278" s="16" t="s">
        <v>942</v>
      </c>
      <c r="V278" s="16">
        <v>0.75</v>
      </c>
      <c r="W278" s="16" t="s">
        <v>1009</v>
      </c>
      <c r="X278" s="16">
        <v>2554</v>
      </c>
      <c r="Y278" s="16">
        <v>1381</v>
      </c>
    </row>
    <row r="279" spans="2:25" x14ac:dyDescent="0.2">
      <c r="J279" s="2" t="s">
        <v>59</v>
      </c>
      <c r="K279" s="2" t="s">
        <v>242</v>
      </c>
      <c r="L279" s="5">
        <v>0.767311811447144</v>
      </c>
      <c r="M279" s="5">
        <v>0.12852469086647</v>
      </c>
      <c r="N279" s="5">
        <v>0.283161401748657</v>
      </c>
      <c r="O279" s="5">
        <f>EXP(M279)</f>
        <v>1.1371494981510082</v>
      </c>
      <c r="Q279" s="16" t="s">
        <v>242</v>
      </c>
      <c r="R279" s="16" t="s">
        <v>1006</v>
      </c>
      <c r="S279" s="17">
        <v>2.8899305171099998E-10</v>
      </c>
      <c r="T279" s="16">
        <v>0.38806000000000002</v>
      </c>
      <c r="U279" s="16" t="s">
        <v>942</v>
      </c>
      <c r="V279" s="16">
        <v>0.20797498045347901</v>
      </c>
      <c r="W279" s="16" t="s">
        <v>1008</v>
      </c>
      <c r="X279" s="16">
        <v>2554</v>
      </c>
      <c r="Y279" s="16">
        <v>1705</v>
      </c>
    </row>
    <row r="280" spans="2:25" x14ac:dyDescent="0.2">
      <c r="J280" s="2" t="s">
        <v>59</v>
      </c>
      <c r="K280" s="2" t="s">
        <v>38</v>
      </c>
      <c r="L280" s="5">
        <v>0.75846409797668501</v>
      </c>
      <c r="M280" s="5">
        <v>-0.534443199634552</v>
      </c>
      <c r="N280" s="5">
        <v>0.52406591176986705</v>
      </c>
      <c r="O280" s="5">
        <f>EXP(M280)</f>
        <v>0.58599548182297356</v>
      </c>
      <c r="Q280" s="16" t="s">
        <v>38</v>
      </c>
      <c r="R280" s="16" t="s">
        <v>1006</v>
      </c>
      <c r="S280" s="17">
        <v>1.4449652585599999E-10</v>
      </c>
      <c r="T280" s="16">
        <v>0.415385</v>
      </c>
      <c r="U280" s="16" t="s">
        <v>942</v>
      </c>
      <c r="V280" s="16">
        <v>0.68412822517591898</v>
      </c>
      <c r="W280" s="16" t="s">
        <v>1008</v>
      </c>
      <c r="X280" s="16">
        <v>2554</v>
      </c>
      <c r="Y280" s="16">
        <v>619</v>
      </c>
    </row>
    <row r="281" spans="2:25" x14ac:dyDescent="0.2">
      <c r="J281" s="2" t="s">
        <v>59</v>
      </c>
      <c r="K281" s="2" t="s">
        <v>156</v>
      </c>
      <c r="L281" s="5">
        <v>0.80895298719406095</v>
      </c>
      <c r="M281" s="5">
        <v>-8.0231353640556294E-2</v>
      </c>
      <c r="N281" s="5">
        <v>0.531263947486877</v>
      </c>
      <c r="O281" s="5">
        <f>EXP(M281)</f>
        <v>0.92290280476201081</v>
      </c>
      <c r="Q281" s="16" t="s">
        <v>156</v>
      </c>
      <c r="R281" s="16" t="s">
        <v>1006</v>
      </c>
      <c r="S281" s="17">
        <v>6.6667982146800002E-97</v>
      </c>
      <c r="T281" s="16">
        <v>0.8125</v>
      </c>
      <c r="U281" s="16" t="s">
        <v>942</v>
      </c>
      <c r="V281" s="16">
        <v>0.74476987447698695</v>
      </c>
      <c r="W281" s="16" t="s">
        <v>1007</v>
      </c>
      <c r="X281" s="16">
        <v>2554</v>
      </c>
      <c r="Y281" s="16">
        <v>87</v>
      </c>
    </row>
    <row r="282" spans="2:25" x14ac:dyDescent="0.2">
      <c r="J282" s="2" t="s">
        <v>59</v>
      </c>
      <c r="K282" s="2" t="s">
        <v>101</v>
      </c>
      <c r="L282" s="5">
        <v>0.76830190420150801</v>
      </c>
      <c r="M282" s="5">
        <v>-0.72440373897552501</v>
      </c>
      <c r="N282" s="5">
        <v>0.61337989568710305</v>
      </c>
      <c r="O282" s="5">
        <f>EXP(M282)</f>
        <v>0.48461343893142173</v>
      </c>
      <c r="Q282" s="16" t="s">
        <v>101</v>
      </c>
      <c r="R282" s="16" t="s">
        <v>1006</v>
      </c>
      <c r="S282" s="17">
        <v>3.29452078951E-8</v>
      </c>
      <c r="T282" s="16">
        <v>0.53448300000000004</v>
      </c>
      <c r="U282" s="16" t="s">
        <v>942</v>
      </c>
      <c r="V282" s="16">
        <v>0.75</v>
      </c>
      <c r="W282" s="16" t="s">
        <v>1009</v>
      </c>
      <c r="X282" s="16">
        <v>2554</v>
      </c>
      <c r="Y282" s="16">
        <v>1896</v>
      </c>
    </row>
    <row r="283" spans="2:25" x14ac:dyDescent="0.2">
      <c r="J283" s="2" t="s">
        <v>59</v>
      </c>
      <c r="K283" s="2" t="s">
        <v>243</v>
      </c>
      <c r="L283" s="5">
        <v>0.790011405944824</v>
      </c>
      <c r="M283" s="5">
        <v>1.46240246295929</v>
      </c>
      <c r="N283" s="5">
        <v>0.38401490449905401</v>
      </c>
      <c r="O283" s="5">
        <f>EXP(M283)</f>
        <v>4.3163168732032124</v>
      </c>
      <c r="Q283" s="16" t="s">
        <v>243</v>
      </c>
      <c r="R283" s="16" t="s">
        <v>1006</v>
      </c>
      <c r="S283" s="17">
        <v>2.3105110362899998E-19</v>
      </c>
      <c r="T283" s="16">
        <v>0.56573700000000005</v>
      </c>
      <c r="U283" s="16" t="s">
        <v>942</v>
      </c>
      <c r="V283" s="16">
        <v>0.100418410041841</v>
      </c>
      <c r="W283" s="16" t="s">
        <v>1007</v>
      </c>
      <c r="X283" s="16">
        <v>2554</v>
      </c>
      <c r="Y283" s="16">
        <v>1074</v>
      </c>
    </row>
    <row r="284" spans="2:25" x14ac:dyDescent="0.2">
      <c r="J284" s="2" t="s">
        <v>59</v>
      </c>
      <c r="K284" s="2" t="s">
        <v>102</v>
      </c>
      <c r="L284" s="5">
        <v>0.79005950689315796</v>
      </c>
      <c r="M284" s="5">
        <v>1.2159006595611599</v>
      </c>
      <c r="N284" s="5">
        <v>0.193456575274467</v>
      </c>
      <c r="O284" s="5">
        <f>EXP(M284)</f>
        <v>3.3733309192754954</v>
      </c>
      <c r="Q284" s="16" t="s">
        <v>102</v>
      </c>
      <c r="R284" s="16" t="s">
        <v>1006</v>
      </c>
      <c r="S284" s="17">
        <v>2.45644093955E-9</v>
      </c>
      <c r="T284" s="16">
        <v>0.34545500000000001</v>
      </c>
      <c r="U284" s="16" t="s">
        <v>942</v>
      </c>
      <c r="V284" s="16">
        <v>0.75</v>
      </c>
      <c r="W284" s="16" t="s">
        <v>1009</v>
      </c>
      <c r="X284" s="16">
        <v>2554</v>
      </c>
      <c r="Y284" s="16">
        <v>1779</v>
      </c>
    </row>
    <row r="285" spans="2:25" x14ac:dyDescent="0.2">
      <c r="J285" s="2" t="s">
        <v>59</v>
      </c>
      <c r="K285" s="2" t="s">
        <v>195</v>
      </c>
      <c r="L285" s="5">
        <v>0.79135829210281405</v>
      </c>
      <c r="M285" s="5">
        <v>1.6280370950698899</v>
      </c>
      <c r="N285" s="5">
        <v>0.30080589652061501</v>
      </c>
      <c r="O285" s="5">
        <f>EXP(M285)</f>
        <v>5.0938661238625498</v>
      </c>
      <c r="Q285" s="16" t="s">
        <v>195</v>
      </c>
      <c r="R285" s="16" t="s">
        <v>1006</v>
      </c>
      <c r="S285" s="17">
        <v>2.5131190313899999E-54</v>
      </c>
      <c r="T285" s="16">
        <v>0.64822100000000005</v>
      </c>
      <c r="U285" s="16" t="s">
        <v>942</v>
      </c>
      <c r="V285" s="16">
        <v>0.15062761506276201</v>
      </c>
      <c r="W285" s="16" t="s">
        <v>1007</v>
      </c>
      <c r="X285" s="16">
        <v>2554</v>
      </c>
      <c r="Y285" s="16">
        <v>283</v>
      </c>
    </row>
    <row r="286" spans="2:25" x14ac:dyDescent="0.2">
      <c r="J286" s="2" t="s">
        <v>59</v>
      </c>
      <c r="K286" s="2" t="s">
        <v>174</v>
      </c>
      <c r="L286" s="5">
        <v>0.78945130109786998</v>
      </c>
      <c r="M286" s="5">
        <v>2.01593065261841</v>
      </c>
      <c r="N286" s="5">
        <v>0.30055397748947099</v>
      </c>
      <c r="O286" s="5">
        <f>EXP(M286)</f>
        <v>7.5077112020317625</v>
      </c>
      <c r="Q286" s="16" t="s">
        <v>174</v>
      </c>
      <c r="R286" s="16" t="s">
        <v>1006</v>
      </c>
      <c r="S286" s="17">
        <v>5.7798610342300002E-10</v>
      </c>
      <c r="T286" s="16">
        <v>0.63725500000000002</v>
      </c>
      <c r="U286" s="16" t="s">
        <v>942</v>
      </c>
      <c r="V286" s="16">
        <v>0.68412822517591898</v>
      </c>
      <c r="W286" s="16" t="s">
        <v>1008</v>
      </c>
      <c r="X286" s="16">
        <v>2554</v>
      </c>
      <c r="Y286" s="16">
        <v>1620</v>
      </c>
    </row>
    <row r="287" spans="2:25" x14ac:dyDescent="0.2">
      <c r="B287" s="21" t="s">
        <v>245</v>
      </c>
      <c r="C287" s="21" t="s">
        <v>249</v>
      </c>
      <c r="D287" s="22">
        <v>0.93129819631576505</v>
      </c>
      <c r="E287" s="22">
        <v>1.1477148532867401</v>
      </c>
      <c r="F287" s="22">
        <v>0.13011629879474601</v>
      </c>
      <c r="G287" s="21" t="s">
        <v>1113</v>
      </c>
      <c r="H287" s="22">
        <f>POWER(10,E287)</f>
        <v>14.051246520798889</v>
      </c>
      <c r="J287" s="2" t="s">
        <v>245</v>
      </c>
      <c r="K287" s="2" t="s">
        <v>249</v>
      </c>
      <c r="L287" s="5">
        <v>0.89787054061889704</v>
      </c>
      <c r="M287" s="5">
        <v>0.24580092728138001</v>
      </c>
      <c r="N287" s="5">
        <v>0.23757642507553101</v>
      </c>
      <c r="O287" s="5">
        <f>EXP(M287)</f>
        <v>1.2786450048664713</v>
      </c>
      <c r="Q287" s="16" t="s">
        <v>249</v>
      </c>
      <c r="R287" s="16" t="s">
        <v>245</v>
      </c>
      <c r="S287" s="17">
        <v>5.6301048348300002E-5</v>
      </c>
      <c r="T287" s="16">
        <v>0.55871899999999997</v>
      </c>
      <c r="U287" s="16" t="s">
        <v>942</v>
      </c>
      <c r="V287" s="16">
        <v>0.76222826086956497</v>
      </c>
      <c r="W287" s="16" t="s">
        <v>1012</v>
      </c>
      <c r="X287" s="16">
        <v>2693</v>
      </c>
      <c r="Y287" s="16">
        <v>2271</v>
      </c>
    </row>
    <row r="288" spans="2:25" x14ac:dyDescent="0.2">
      <c r="B288" s="21" t="s">
        <v>245</v>
      </c>
      <c r="C288" s="21" t="s">
        <v>156</v>
      </c>
      <c r="D288" s="22">
        <v>0.93670982122421298</v>
      </c>
      <c r="E288" s="22">
        <v>-1.3264174461364699</v>
      </c>
      <c r="F288" s="22">
        <v>0.64301329851150502</v>
      </c>
      <c r="G288" s="21" t="s">
        <v>1113</v>
      </c>
      <c r="H288" s="22">
        <f>POWER(10,E288)</f>
        <v>4.7160950979287623E-2</v>
      </c>
      <c r="J288" s="2" t="s">
        <v>245</v>
      </c>
      <c r="K288" s="2" t="s">
        <v>156</v>
      </c>
      <c r="L288" s="5">
        <v>0.90488910675048795</v>
      </c>
      <c r="M288" s="5">
        <v>0.35817113518714899</v>
      </c>
      <c r="N288" s="5">
        <v>0.133972093462944</v>
      </c>
      <c r="O288" s="5">
        <f>EXP(M288)</f>
        <v>1.4307104444299676</v>
      </c>
      <c r="Q288" s="16" t="s">
        <v>156</v>
      </c>
      <c r="R288" s="16" t="s">
        <v>245</v>
      </c>
      <c r="S288" s="17">
        <v>4.0099585714400003E-55</v>
      </c>
      <c r="T288" s="16">
        <v>0.37837799999999999</v>
      </c>
      <c r="U288" s="16" t="s">
        <v>942</v>
      </c>
      <c r="V288" s="16">
        <v>0.21467391304347799</v>
      </c>
      <c r="W288" s="16" t="s">
        <v>1012</v>
      </c>
      <c r="X288" s="16">
        <v>2693</v>
      </c>
      <c r="Y288" s="16">
        <v>274</v>
      </c>
    </row>
    <row r="289" spans="2:25" x14ac:dyDescent="0.2">
      <c r="B289" s="21" t="s">
        <v>245</v>
      </c>
      <c r="C289" s="21" t="s">
        <v>248</v>
      </c>
      <c r="D289" s="22">
        <v>0.926741242408752</v>
      </c>
      <c r="E289" s="22">
        <v>0.54134762287139904</v>
      </c>
      <c r="F289" s="22">
        <v>0.36817893385887102</v>
      </c>
      <c r="G289" s="21" t="s">
        <v>1113</v>
      </c>
      <c r="H289" s="22">
        <f>POWER(10,E289)</f>
        <v>3.478144516056461</v>
      </c>
      <c r="J289" s="2" t="s">
        <v>245</v>
      </c>
      <c r="K289" s="2" t="s">
        <v>248</v>
      </c>
      <c r="L289" s="5">
        <v>0.85682964324951205</v>
      </c>
      <c r="M289" s="5">
        <v>0.571880102157593</v>
      </c>
      <c r="N289" s="5">
        <v>0.51986509561538696</v>
      </c>
      <c r="O289" s="5">
        <f>EXP(M289)</f>
        <v>1.7715947013129849</v>
      </c>
      <c r="Q289" s="16" t="s">
        <v>248</v>
      </c>
      <c r="R289" s="16" t="s">
        <v>245</v>
      </c>
      <c r="S289" s="17">
        <v>4.9538601193800002E-34</v>
      </c>
      <c r="T289" s="16">
        <v>0.731707</v>
      </c>
      <c r="U289" s="16" t="s">
        <v>942</v>
      </c>
      <c r="V289" s="16">
        <v>0.76222826086956497</v>
      </c>
      <c r="W289" s="16" t="s">
        <v>1012</v>
      </c>
      <c r="X289" s="16">
        <v>2693</v>
      </c>
      <c r="Y289" s="16">
        <v>632</v>
      </c>
    </row>
    <row r="290" spans="2:25" x14ac:dyDescent="0.2">
      <c r="B290" s="21" t="s">
        <v>245</v>
      </c>
      <c r="C290" s="21" t="s">
        <v>246</v>
      </c>
      <c r="D290" s="22">
        <v>0.92247486114501998</v>
      </c>
      <c r="E290" s="22">
        <v>1.0894365310668901</v>
      </c>
      <c r="F290" s="22">
        <v>0.283605337142944</v>
      </c>
      <c r="G290" s="21" t="s">
        <v>1113</v>
      </c>
      <c r="H290" s="22">
        <f>POWER(10,E290)</f>
        <v>12.286736118772279</v>
      </c>
      <c r="J290" s="2" t="s">
        <v>245</v>
      </c>
      <c r="K290" s="2" t="s">
        <v>246</v>
      </c>
      <c r="L290" s="5">
        <v>0.87069553136825595</v>
      </c>
      <c r="M290" s="5">
        <v>0.55055344104766901</v>
      </c>
      <c r="N290" s="5">
        <v>0.28313153982162498</v>
      </c>
      <c r="O290" s="5">
        <f>EXP(M290)</f>
        <v>1.7342125367275494</v>
      </c>
      <c r="Q290" s="16" t="s">
        <v>246</v>
      </c>
      <c r="R290" s="16" t="s">
        <v>245</v>
      </c>
      <c r="S290" s="17">
        <v>6.0681316033099996E-6</v>
      </c>
      <c r="T290" s="16">
        <v>0.61264799999999997</v>
      </c>
      <c r="U290" s="16" t="s">
        <v>942</v>
      </c>
      <c r="V290" s="16">
        <v>0.76222826086956497</v>
      </c>
      <c r="W290" s="16" t="s">
        <v>1012</v>
      </c>
      <c r="X290" s="16">
        <v>2693</v>
      </c>
      <c r="Y290" s="16">
        <v>2160</v>
      </c>
    </row>
    <row r="291" spans="2:25" x14ac:dyDescent="0.2">
      <c r="B291" s="21" t="s">
        <v>245</v>
      </c>
      <c r="C291" s="21" t="s">
        <v>247</v>
      </c>
      <c r="D291" s="22">
        <v>0.91329222917556796</v>
      </c>
      <c r="E291" s="22">
        <v>-1.28811836242676</v>
      </c>
      <c r="F291" s="22">
        <v>0.81052523851394698</v>
      </c>
      <c r="G291" s="21" t="s">
        <v>1113</v>
      </c>
      <c r="H291" s="22">
        <f>POWER(10,E291)</f>
        <v>5.1508824352724705E-2</v>
      </c>
      <c r="J291" s="2" t="s">
        <v>245</v>
      </c>
      <c r="K291" s="2" t="s">
        <v>247</v>
      </c>
      <c r="L291" s="5">
        <v>0.86351072788238503</v>
      </c>
      <c r="M291" s="5">
        <v>-0.58598887920379605</v>
      </c>
      <c r="N291" s="5">
        <v>0.589746594429016</v>
      </c>
      <c r="O291" s="5">
        <f>EXP(M291)</f>
        <v>0.55655522371326893</v>
      </c>
      <c r="Q291" s="16" t="s">
        <v>247</v>
      </c>
      <c r="R291" s="16" t="s">
        <v>245</v>
      </c>
      <c r="S291" s="17">
        <v>2.5402489245399998E-7</v>
      </c>
      <c r="T291" s="16">
        <v>0.57721500000000003</v>
      </c>
      <c r="U291" s="16" t="s">
        <v>942</v>
      </c>
      <c r="V291" s="16">
        <v>0.76222826086956497</v>
      </c>
      <c r="W291" s="16" t="s">
        <v>1012</v>
      </c>
      <c r="X291" s="16">
        <v>2693</v>
      </c>
      <c r="Y291" s="16">
        <v>1979</v>
      </c>
    </row>
    <row r="292" spans="2:25" x14ac:dyDescent="0.2">
      <c r="B292" s="21"/>
      <c r="C292" s="21"/>
      <c r="D292" s="22"/>
      <c r="E292" s="22"/>
      <c r="F292" s="22"/>
      <c r="G292" s="21"/>
      <c r="H292" s="22"/>
      <c r="J292" s="2" t="s">
        <v>250</v>
      </c>
      <c r="K292" s="2" t="s">
        <v>26</v>
      </c>
      <c r="L292" s="5">
        <v>0.61282318830490101</v>
      </c>
      <c r="M292" s="5">
        <v>1.0380566120147701</v>
      </c>
      <c r="N292" s="5">
        <v>0.237716659903526</v>
      </c>
      <c r="O292" s="5">
        <f>EXP(M292)</f>
        <v>2.8237240871713909</v>
      </c>
      <c r="Q292" s="16" t="s">
        <v>26</v>
      </c>
      <c r="R292" s="16" t="s">
        <v>1042</v>
      </c>
      <c r="S292" s="17">
        <v>6.5651707529499993E-5</v>
      </c>
      <c r="T292" s="16">
        <v>0.608491</v>
      </c>
      <c r="U292" s="16" t="s">
        <v>942</v>
      </c>
      <c r="V292" s="16">
        <v>0.39820742637644002</v>
      </c>
      <c r="W292" s="16" t="s">
        <v>1043</v>
      </c>
      <c r="X292" s="16">
        <v>2902</v>
      </c>
      <c r="Y292" s="16">
        <v>2281</v>
      </c>
    </row>
    <row r="293" spans="2:25" x14ac:dyDescent="0.2">
      <c r="B293" s="21" t="s">
        <v>250</v>
      </c>
      <c r="C293" s="21" t="s">
        <v>17</v>
      </c>
      <c r="D293" s="22">
        <v>0.687108814716339</v>
      </c>
      <c r="E293" s="22">
        <v>0.51292818784713801</v>
      </c>
      <c r="F293" s="22">
        <v>0.59525537490844704</v>
      </c>
      <c r="G293" s="21" t="s">
        <v>1113</v>
      </c>
      <c r="H293" s="22">
        <f>POWER(10,E293)</f>
        <v>3.2578282718710967</v>
      </c>
      <c r="J293" s="2" t="s">
        <v>250</v>
      </c>
      <c r="K293" s="2" t="s">
        <v>17</v>
      </c>
      <c r="L293" s="5">
        <v>0.66883629560470603</v>
      </c>
      <c r="M293" s="5">
        <v>0.92872339487075795</v>
      </c>
      <c r="N293" s="5">
        <v>0.42074614763259899</v>
      </c>
      <c r="O293" s="5">
        <f>EXP(M293)</f>
        <v>2.5312756745940117</v>
      </c>
      <c r="Q293" s="16" t="s">
        <v>17</v>
      </c>
      <c r="R293" s="16" t="s">
        <v>1042</v>
      </c>
      <c r="S293" s="17">
        <v>5.6520132376600002E-12</v>
      </c>
      <c r="T293" s="16">
        <v>0.739645</v>
      </c>
      <c r="U293" s="16" t="s">
        <v>942</v>
      </c>
      <c r="V293" s="16">
        <v>0.39782016348773802</v>
      </c>
      <c r="W293" s="16" t="s">
        <v>1044</v>
      </c>
      <c r="X293" s="16">
        <v>2902</v>
      </c>
      <c r="Y293" s="16">
        <v>1574</v>
      </c>
    </row>
    <row r="294" spans="2:25" x14ac:dyDescent="0.2">
      <c r="B294" s="21" t="s">
        <v>250</v>
      </c>
      <c r="C294" s="21" t="s">
        <v>252</v>
      </c>
      <c r="D294" s="22">
        <v>0.68548458814621005</v>
      </c>
      <c r="E294" s="22">
        <v>1.0087635517120399</v>
      </c>
      <c r="F294" s="22">
        <v>0.19901663064956701</v>
      </c>
      <c r="G294" s="21" t="s">
        <v>1113</v>
      </c>
      <c r="H294" s="22">
        <f>POWER(10,E294)</f>
        <v>10.203837923484915</v>
      </c>
      <c r="J294" s="2" t="s">
        <v>250</v>
      </c>
      <c r="K294" s="2" t="s">
        <v>252</v>
      </c>
      <c r="L294" s="5">
        <v>0.62343114614486705</v>
      </c>
      <c r="M294" s="5">
        <v>1.2633183002471899</v>
      </c>
      <c r="N294" s="5">
        <v>0.325280010700226</v>
      </c>
      <c r="O294" s="5">
        <f>EXP(M294)</f>
        <v>3.5371393252583392</v>
      </c>
      <c r="Q294" s="16" t="s">
        <v>252</v>
      </c>
      <c r="R294" s="16" t="s">
        <v>1042</v>
      </c>
      <c r="S294" s="17">
        <v>1.87845483612E-7</v>
      </c>
      <c r="T294" s="16">
        <v>0.64317199999999997</v>
      </c>
      <c r="U294" s="16" t="s">
        <v>942</v>
      </c>
      <c r="V294" s="16">
        <v>0.39782016348773802</v>
      </c>
      <c r="W294" s="16" t="s">
        <v>1044</v>
      </c>
      <c r="X294" s="16">
        <v>2902</v>
      </c>
      <c r="Y294" s="16">
        <v>1969</v>
      </c>
    </row>
    <row r="295" spans="2:25" x14ac:dyDescent="0.2">
      <c r="B295" s="21" t="s">
        <v>250</v>
      </c>
      <c r="C295" s="21" t="s">
        <v>191</v>
      </c>
      <c r="D295" s="22">
        <v>0.74742692708969105</v>
      </c>
      <c r="E295" s="22">
        <v>0.31534442305564903</v>
      </c>
      <c r="F295" s="22">
        <v>0.31205976009368902</v>
      </c>
      <c r="G295" s="21" t="s">
        <v>1113</v>
      </c>
      <c r="H295" s="22">
        <f>POWER(10,E295)</f>
        <v>2.0670187828877049</v>
      </c>
      <c r="J295" s="2" t="s">
        <v>250</v>
      </c>
      <c r="K295" s="2" t="s">
        <v>191</v>
      </c>
      <c r="L295" s="5">
        <v>0.64034622907638605</v>
      </c>
      <c r="M295" s="5">
        <v>0.743211328983307</v>
      </c>
      <c r="N295" s="5">
        <v>0.87976264953613303</v>
      </c>
      <c r="O295" s="5">
        <f>EXP(M295)</f>
        <v>2.1026770718448589</v>
      </c>
      <c r="Q295" s="16" t="s">
        <v>191</v>
      </c>
      <c r="R295" s="16" t="s">
        <v>1042</v>
      </c>
      <c r="S295" s="17">
        <v>3.0344270429700001E-9</v>
      </c>
      <c r="T295" s="16">
        <v>0.61783399999999999</v>
      </c>
      <c r="U295" s="16" t="s">
        <v>942</v>
      </c>
      <c r="V295" s="16">
        <v>0.39782016348773802</v>
      </c>
      <c r="W295" s="16" t="s">
        <v>1044</v>
      </c>
      <c r="X295" s="16">
        <v>2902</v>
      </c>
      <c r="Y295" s="16">
        <v>1785</v>
      </c>
    </row>
    <row r="296" spans="2:25" x14ac:dyDescent="0.2">
      <c r="B296" s="21"/>
      <c r="C296" s="21"/>
      <c r="D296" s="22"/>
      <c r="E296" s="22"/>
      <c r="F296" s="22"/>
      <c r="G296" s="21"/>
      <c r="H296" s="22"/>
      <c r="J296" s="2" t="s">
        <v>250</v>
      </c>
      <c r="K296" s="2" t="s">
        <v>140</v>
      </c>
      <c r="L296" s="5">
        <v>0.62220752239227295</v>
      </c>
      <c r="M296" s="5">
        <v>1.9502946138382</v>
      </c>
      <c r="N296" s="5">
        <v>0.33568036556243902</v>
      </c>
      <c r="O296" s="5">
        <f>EXP(M296)</f>
        <v>7.0307586342804775</v>
      </c>
      <c r="Q296" s="16" t="s">
        <v>140</v>
      </c>
      <c r="R296" s="16" t="s">
        <v>1042</v>
      </c>
      <c r="S296" s="17">
        <v>4.8464134771999997E-7</v>
      </c>
      <c r="T296" s="16">
        <v>0.73933599999999999</v>
      </c>
      <c r="U296" s="16" t="s">
        <v>942</v>
      </c>
      <c r="V296" s="16">
        <v>0.178617157490397</v>
      </c>
      <c r="W296" s="16" t="s">
        <v>1043</v>
      </c>
      <c r="X296" s="16">
        <v>2902</v>
      </c>
      <c r="Y296" s="16">
        <v>2007</v>
      </c>
    </row>
    <row r="297" spans="2:25" x14ac:dyDescent="0.2">
      <c r="B297" s="21" t="s">
        <v>250</v>
      </c>
      <c r="C297" s="21" t="s">
        <v>181</v>
      </c>
      <c r="D297" s="22">
        <v>0.71038979291915905</v>
      </c>
      <c r="E297" s="22">
        <v>0.287569969892502</v>
      </c>
      <c r="F297" s="22">
        <v>0.48835945129394498</v>
      </c>
      <c r="G297" s="21" t="s">
        <v>1113</v>
      </c>
      <c r="H297" s="22">
        <f>POWER(10,E297)</f>
        <v>1.9389650006032821</v>
      </c>
      <c r="J297" s="2" t="s">
        <v>250</v>
      </c>
      <c r="K297" s="2" t="s">
        <v>181</v>
      </c>
      <c r="L297" s="5">
        <v>0.63931983709335305</v>
      </c>
      <c r="M297" s="5">
        <v>0.78591805696487405</v>
      </c>
      <c r="N297" s="5">
        <v>0.49167686700820901</v>
      </c>
      <c r="O297" s="5">
        <f>EXP(M297)</f>
        <v>2.1944206193894198</v>
      </c>
      <c r="Q297" s="16" t="s">
        <v>181</v>
      </c>
      <c r="R297" s="16" t="s">
        <v>1042</v>
      </c>
      <c r="S297" s="17">
        <v>5.2061838929799998E-14</v>
      </c>
      <c r="T297" s="16">
        <v>0.69148900000000002</v>
      </c>
      <c r="U297" s="16" t="s">
        <v>942</v>
      </c>
      <c r="V297" s="16">
        <v>0.39782016348773802</v>
      </c>
      <c r="W297" s="16" t="s">
        <v>1044</v>
      </c>
      <c r="X297" s="16">
        <v>2902</v>
      </c>
      <c r="Y297" s="16">
        <v>1402</v>
      </c>
    </row>
    <row r="298" spans="2:25" x14ac:dyDescent="0.2">
      <c r="B298" s="21" t="s">
        <v>250</v>
      </c>
      <c r="C298" s="21" t="s">
        <v>222</v>
      </c>
      <c r="D298" s="22">
        <v>0.68224233388900801</v>
      </c>
      <c r="E298" s="22">
        <v>0.79963004589080799</v>
      </c>
      <c r="F298" s="22">
        <v>0.55760681629180897</v>
      </c>
      <c r="G298" s="21" t="s">
        <v>1113</v>
      </c>
      <c r="H298" s="22">
        <f>POWER(10,E298)</f>
        <v>6.3042009181290775</v>
      </c>
      <c r="J298" s="2" t="s">
        <v>250</v>
      </c>
      <c r="K298" s="2" t="s">
        <v>222</v>
      </c>
      <c r="L298" s="5">
        <v>0.61289817094802901</v>
      </c>
      <c r="M298" s="5">
        <v>1.28082358837128</v>
      </c>
      <c r="N298" s="5">
        <v>0.51052439212799094</v>
      </c>
      <c r="O298" s="5">
        <f>EXP(M298)</f>
        <v>3.5996030963542989</v>
      </c>
      <c r="Q298" s="16" t="s">
        <v>222</v>
      </c>
      <c r="R298" s="16" t="s">
        <v>1042</v>
      </c>
      <c r="S298" s="17">
        <v>2.4827935209399998E-12</v>
      </c>
      <c r="T298" s="16">
        <v>0.623116</v>
      </c>
      <c r="U298" s="16" t="s">
        <v>942</v>
      </c>
      <c r="V298" s="16">
        <v>0.15258855585831099</v>
      </c>
      <c r="W298" s="16" t="s">
        <v>1044</v>
      </c>
      <c r="X298" s="16">
        <v>2902</v>
      </c>
      <c r="Y298" s="16">
        <v>1535</v>
      </c>
    </row>
    <row r="299" spans="2:25" x14ac:dyDescent="0.2">
      <c r="B299" s="21" t="s">
        <v>250</v>
      </c>
      <c r="C299" s="21" t="s">
        <v>217</v>
      </c>
      <c r="D299" s="22">
        <v>0.76656883955001798</v>
      </c>
      <c r="E299" s="22">
        <v>2.5050916671752899</v>
      </c>
      <c r="F299" s="22">
        <v>0.48422178626060502</v>
      </c>
      <c r="G299" s="21" t="s">
        <v>1113</v>
      </c>
      <c r="H299" s="22">
        <f>POWER(10,E299)</f>
        <v>319.95703764511308</v>
      </c>
      <c r="J299" s="2" t="s">
        <v>250</v>
      </c>
      <c r="K299" s="2" t="s">
        <v>217</v>
      </c>
      <c r="L299" s="5">
        <v>0.68765705823898304</v>
      </c>
      <c r="M299" s="5">
        <v>2.49442481994629</v>
      </c>
      <c r="N299" s="5">
        <v>0.27470490336418202</v>
      </c>
      <c r="O299" s="5">
        <f>EXP(M299)</f>
        <v>12.114763343998023</v>
      </c>
      <c r="Q299" s="16" t="s">
        <v>217</v>
      </c>
      <c r="R299" s="16" t="s">
        <v>1042</v>
      </c>
      <c r="S299" s="17">
        <v>4.9613026649100001E-5</v>
      </c>
      <c r="T299" s="16">
        <v>0.58794000000000002</v>
      </c>
      <c r="U299" s="16" t="s">
        <v>942</v>
      </c>
      <c r="V299" s="16">
        <v>0.15258855585831099</v>
      </c>
      <c r="W299" s="16" t="s">
        <v>1044</v>
      </c>
      <c r="X299" s="16">
        <v>2902</v>
      </c>
      <c r="Y299" s="16">
        <v>2264</v>
      </c>
    </row>
    <row r="300" spans="2:25" x14ac:dyDescent="0.2">
      <c r="B300" s="21" t="s">
        <v>250</v>
      </c>
      <c r="C300" s="21" t="s">
        <v>251</v>
      </c>
      <c r="D300" s="22">
        <v>0.68284720182418801</v>
      </c>
      <c r="E300" s="22">
        <v>1.0192335844039899</v>
      </c>
      <c r="F300" s="22">
        <v>0.37742432951927202</v>
      </c>
      <c r="G300" s="21" t="s">
        <v>1113</v>
      </c>
      <c r="H300" s="22">
        <f>POWER(10,E300)</f>
        <v>10.452822710020111</v>
      </c>
      <c r="J300" s="2" t="s">
        <v>250</v>
      </c>
      <c r="K300" s="2" t="s">
        <v>251</v>
      </c>
      <c r="L300" s="5">
        <v>0.650018990039825</v>
      </c>
      <c r="M300" s="5">
        <v>1.4594812393188501</v>
      </c>
      <c r="N300" s="5">
        <v>0.28681880235672003</v>
      </c>
      <c r="O300" s="5">
        <f>EXP(M300)</f>
        <v>4.3037263451411789</v>
      </c>
      <c r="Q300" s="16" t="s">
        <v>251</v>
      </c>
      <c r="R300" s="16" t="s">
        <v>1042</v>
      </c>
      <c r="S300" s="17">
        <v>1.1039534575399999E-7</v>
      </c>
      <c r="T300" s="16">
        <v>0.65771800000000002</v>
      </c>
      <c r="U300" s="16" t="s">
        <v>942</v>
      </c>
      <c r="V300" s="16">
        <v>0.39782016348773802</v>
      </c>
      <c r="W300" s="16" t="s">
        <v>1044</v>
      </c>
      <c r="X300" s="16">
        <v>2902</v>
      </c>
      <c r="Y300" s="16">
        <v>1950</v>
      </c>
    </row>
    <row r="301" spans="2:25" x14ac:dyDescent="0.2">
      <c r="B301" s="21"/>
      <c r="C301" s="21"/>
      <c r="D301" s="22"/>
      <c r="E301" s="22"/>
      <c r="F301" s="22"/>
      <c r="G301" s="21"/>
      <c r="H301" s="22"/>
      <c r="J301" s="2" t="s">
        <v>250</v>
      </c>
      <c r="K301" s="2" t="s">
        <v>141</v>
      </c>
      <c r="L301" s="5">
        <v>0.72009581327438399</v>
      </c>
      <c r="M301" s="5">
        <v>2.78577661514282</v>
      </c>
      <c r="N301" s="5">
        <v>0.71840274333953902</v>
      </c>
      <c r="O301" s="5">
        <f>EXP(M301)</f>
        <v>16.212403787208416</v>
      </c>
      <c r="Q301" s="16" t="s">
        <v>141</v>
      </c>
      <c r="R301" s="16" t="s">
        <v>1042</v>
      </c>
      <c r="S301" s="17">
        <v>1.5332332434200001E-11</v>
      </c>
      <c r="T301" s="16">
        <v>0.46808499999999997</v>
      </c>
      <c r="U301" s="16" t="s">
        <v>942</v>
      </c>
      <c r="V301" s="16">
        <v>0.178617157490397</v>
      </c>
      <c r="W301" s="16" t="s">
        <v>1043</v>
      </c>
      <c r="X301" s="16">
        <v>2902</v>
      </c>
      <c r="Y301" s="16">
        <v>1609</v>
      </c>
    </row>
    <row r="302" spans="2:25" x14ac:dyDescent="0.2">
      <c r="B302" s="21" t="s">
        <v>250</v>
      </c>
      <c r="C302" s="21" t="s">
        <v>253</v>
      </c>
      <c r="D302" s="22">
        <v>0.701651751995087</v>
      </c>
      <c r="E302" s="22">
        <v>1.2790112495422401</v>
      </c>
      <c r="F302" s="22">
        <v>0.32980221509933499</v>
      </c>
      <c r="G302" s="21" t="s">
        <v>1113</v>
      </c>
      <c r="H302" s="22">
        <f>POWER(10,E302)</f>
        <v>19.011275242455053</v>
      </c>
      <c r="J302" s="2" t="s">
        <v>250</v>
      </c>
      <c r="K302" s="2" t="s">
        <v>253</v>
      </c>
      <c r="L302" s="5">
        <v>0.62965649366378795</v>
      </c>
      <c r="M302" s="5">
        <v>1.18267834186554</v>
      </c>
      <c r="N302" s="5">
        <v>0.66654062271118197</v>
      </c>
      <c r="O302" s="5">
        <f>EXP(M302)</f>
        <v>3.2631022126428242</v>
      </c>
      <c r="Q302" s="16" t="s">
        <v>253</v>
      </c>
      <c r="R302" s="16" t="s">
        <v>1042</v>
      </c>
      <c r="S302" s="17">
        <v>1.07288670448E-6</v>
      </c>
      <c r="T302" s="16">
        <v>0.782609</v>
      </c>
      <c r="U302" s="16" t="s">
        <v>942</v>
      </c>
      <c r="V302" s="16">
        <v>0.39782016348773802</v>
      </c>
      <c r="W302" s="16" t="s">
        <v>1044</v>
      </c>
      <c r="X302" s="16">
        <v>2902</v>
      </c>
      <c r="Y302" s="16">
        <v>2048</v>
      </c>
    </row>
    <row r="303" spans="2:25" x14ac:dyDescent="0.2">
      <c r="B303" s="21" t="s">
        <v>250</v>
      </c>
      <c r="C303" s="21" t="s">
        <v>132</v>
      </c>
      <c r="D303" s="22">
        <v>0.66249793767929099</v>
      </c>
      <c r="E303" s="22">
        <v>-0.20374186336994199</v>
      </c>
      <c r="F303" s="22">
        <v>0.25911489129066501</v>
      </c>
      <c r="G303" s="21" t="s">
        <v>1113</v>
      </c>
      <c r="H303" s="22">
        <f>POWER(10,E303)</f>
        <v>0.62554439434912779</v>
      </c>
      <c r="J303" s="2" t="s">
        <v>250</v>
      </c>
      <c r="K303" s="2" t="s">
        <v>132</v>
      </c>
      <c r="L303" s="5">
        <v>0.62951052188873302</v>
      </c>
      <c r="M303" s="5">
        <v>0.36205410957336398</v>
      </c>
      <c r="N303" s="5">
        <v>0.73823893070221003</v>
      </c>
      <c r="O303" s="5">
        <f>EXP(M303)</f>
        <v>1.4362766561748896</v>
      </c>
      <c r="Q303" s="16" t="s">
        <v>132</v>
      </c>
      <c r="R303" s="16" t="s">
        <v>1042</v>
      </c>
      <c r="S303" s="17">
        <v>4.5697459791400001E-5</v>
      </c>
      <c r="T303" s="16">
        <v>0.66489399999999999</v>
      </c>
      <c r="U303" s="16" t="s">
        <v>942</v>
      </c>
      <c r="V303" s="16">
        <v>0.39782016348773802</v>
      </c>
      <c r="W303" s="16" t="s">
        <v>1044</v>
      </c>
      <c r="X303" s="16">
        <v>2902</v>
      </c>
      <c r="Y303" s="16">
        <v>2262</v>
      </c>
    </row>
    <row r="304" spans="2:25" x14ac:dyDescent="0.2">
      <c r="B304" s="21" t="s">
        <v>250</v>
      </c>
      <c r="C304" s="21" t="s">
        <v>226</v>
      </c>
      <c r="D304" s="22">
        <v>0.679143607616425</v>
      </c>
      <c r="E304" s="22">
        <v>0.91756939888000499</v>
      </c>
      <c r="F304" s="22">
        <v>0.26115620136260997</v>
      </c>
      <c r="G304" s="21" t="s">
        <v>1113</v>
      </c>
      <c r="H304" s="22">
        <f>POWER(10,E304)</f>
        <v>8.2712166942616943</v>
      </c>
      <c r="J304" s="2" t="s">
        <v>250</v>
      </c>
      <c r="K304" s="2" t="s">
        <v>226</v>
      </c>
      <c r="L304" s="5">
        <v>0.61473417282104503</v>
      </c>
      <c r="M304" s="5">
        <v>1.27038490772247</v>
      </c>
      <c r="N304" s="5">
        <v>0.76619112491607699</v>
      </c>
      <c r="O304" s="5">
        <f>EXP(M304)</f>
        <v>3.5622234258163896</v>
      </c>
      <c r="Q304" s="16" t="s">
        <v>226</v>
      </c>
      <c r="R304" s="16" t="s">
        <v>1042</v>
      </c>
      <c r="S304" s="17">
        <v>1.0593862916E-14</v>
      </c>
      <c r="T304" s="16">
        <v>0.68131900000000001</v>
      </c>
      <c r="U304" s="16" t="s">
        <v>942</v>
      </c>
      <c r="V304" s="16">
        <v>0.39782016348773802</v>
      </c>
      <c r="W304" s="16" t="s">
        <v>1044</v>
      </c>
      <c r="X304" s="16">
        <v>2902</v>
      </c>
      <c r="Y304" s="16">
        <v>1360</v>
      </c>
    </row>
    <row r="305" spans="2:25" x14ac:dyDescent="0.2">
      <c r="B305" s="21" t="s">
        <v>250</v>
      </c>
      <c r="C305" s="21" t="s">
        <v>154</v>
      </c>
      <c r="D305" s="22">
        <v>0.694876909255981</v>
      </c>
      <c r="E305" s="22">
        <v>1.7055817842483501</v>
      </c>
      <c r="F305" s="22">
        <v>0.18948532640933999</v>
      </c>
      <c r="G305" s="21" t="s">
        <v>1113</v>
      </c>
      <c r="H305" s="22">
        <f>POWER(10,E305)</f>
        <v>50.767033206340351</v>
      </c>
      <c r="J305" s="2" t="s">
        <v>250</v>
      </c>
      <c r="K305" s="2" t="s">
        <v>154</v>
      </c>
      <c r="L305" s="5">
        <v>0.63198745250701904</v>
      </c>
      <c r="M305" s="5">
        <v>1.6370278596878101</v>
      </c>
      <c r="N305" s="5">
        <v>0.123434521257877</v>
      </c>
      <c r="O305" s="5">
        <f>EXP(M305)</f>
        <v>5.1398703719691872</v>
      </c>
      <c r="Q305" s="16" t="s">
        <v>154</v>
      </c>
      <c r="R305" s="16" t="s">
        <v>1042</v>
      </c>
      <c r="S305" s="17">
        <v>4.0528096579000001E-5</v>
      </c>
      <c r="T305" s="16">
        <v>0.56435599999999997</v>
      </c>
      <c r="U305" s="16" t="s">
        <v>942</v>
      </c>
      <c r="V305" s="16">
        <v>0.39782016348773802</v>
      </c>
      <c r="W305" s="16" t="s">
        <v>1044</v>
      </c>
      <c r="X305" s="16">
        <v>2902</v>
      </c>
      <c r="Y305" s="16">
        <v>2253</v>
      </c>
    </row>
    <row r="306" spans="2:25" x14ac:dyDescent="0.2">
      <c r="B306" s="21" t="s">
        <v>250</v>
      </c>
      <c r="C306" s="21" t="s">
        <v>192</v>
      </c>
      <c r="D306" s="22">
        <v>0.65132039785385099</v>
      </c>
      <c r="E306" s="22">
        <v>1.66628706455231</v>
      </c>
      <c r="F306" s="22">
        <v>0.47889816761016801</v>
      </c>
      <c r="G306" s="21" t="s">
        <v>1113</v>
      </c>
      <c r="H306" s="22">
        <f>POWER(10,E306)</f>
        <v>46.375335503903806</v>
      </c>
      <c r="J306" s="2" t="s">
        <v>250</v>
      </c>
      <c r="K306" s="2" t="s">
        <v>192</v>
      </c>
      <c r="L306" s="5">
        <v>0.65375137329101596</v>
      </c>
      <c r="M306" s="5">
        <v>0.45870605111122098</v>
      </c>
      <c r="N306" s="5">
        <v>0.36464142799377403</v>
      </c>
      <c r="O306" s="5">
        <f>EXP(M306)</f>
        <v>1.5820255997605546</v>
      </c>
      <c r="Q306" s="16" t="s">
        <v>192</v>
      </c>
      <c r="R306" s="16" t="s">
        <v>1042</v>
      </c>
      <c r="S306" s="17">
        <v>1.0548246387499999E-8</v>
      </c>
      <c r="T306" s="16">
        <v>0.55897399999999997</v>
      </c>
      <c r="U306" s="16" t="s">
        <v>942</v>
      </c>
      <c r="V306" s="16">
        <v>0.39782016348773802</v>
      </c>
      <c r="W306" s="16" t="s">
        <v>1044</v>
      </c>
      <c r="X306" s="16">
        <v>2902</v>
      </c>
      <c r="Y306" s="16">
        <v>1835</v>
      </c>
    </row>
    <row r="307" spans="2:25" x14ac:dyDescent="0.2">
      <c r="J307" s="2" t="s">
        <v>61</v>
      </c>
      <c r="K307" s="2" t="s">
        <v>255</v>
      </c>
      <c r="L307" s="5">
        <v>0.71497672796249401</v>
      </c>
      <c r="M307" s="5">
        <v>-0.506772041320801</v>
      </c>
      <c r="N307" s="5">
        <v>0.77056264877319303</v>
      </c>
      <c r="O307" s="5">
        <f>EXP(M307)</f>
        <v>0.60243708559371756</v>
      </c>
      <c r="Q307" s="16" t="s">
        <v>255</v>
      </c>
      <c r="R307" s="16" t="s">
        <v>61</v>
      </c>
      <c r="S307" s="17">
        <v>2.7428670599099899E-16</v>
      </c>
      <c r="T307" s="16">
        <v>0.72222200000000003</v>
      </c>
      <c r="U307" s="16" t="s">
        <v>942</v>
      </c>
      <c r="V307" s="16">
        <v>0.77027027027026995</v>
      </c>
      <c r="W307" s="16" t="s">
        <v>1013</v>
      </c>
      <c r="X307" s="16">
        <v>3269</v>
      </c>
      <c r="Y307" s="16">
        <v>1266</v>
      </c>
    </row>
    <row r="308" spans="2:25" x14ac:dyDescent="0.2">
      <c r="J308" s="2" t="s">
        <v>61</v>
      </c>
      <c r="K308" s="2" t="s">
        <v>191</v>
      </c>
      <c r="L308" s="5">
        <v>0.70363807678222701</v>
      </c>
      <c r="M308" s="5">
        <v>-0.64159995317459095</v>
      </c>
      <c r="N308" s="5">
        <v>0.81189823150634799</v>
      </c>
      <c r="O308" s="5">
        <f>EXP(M308)</f>
        <v>0.52644945539027199</v>
      </c>
      <c r="Q308" s="16" t="s">
        <v>191</v>
      </c>
      <c r="R308" s="16" t="s">
        <v>61</v>
      </c>
      <c r="S308" s="17">
        <v>1.01147568099E-9</v>
      </c>
      <c r="T308" s="16">
        <v>0.53921600000000003</v>
      </c>
      <c r="U308" s="16" t="s">
        <v>942</v>
      </c>
      <c r="V308" s="16">
        <v>1</v>
      </c>
      <c r="W308" s="16" t="s">
        <v>1014</v>
      </c>
      <c r="X308" s="16">
        <v>3269</v>
      </c>
      <c r="Y308" s="16">
        <v>1747</v>
      </c>
    </row>
    <row r="309" spans="2:25" x14ac:dyDescent="0.2">
      <c r="J309" s="2" t="s">
        <v>61</v>
      </c>
      <c r="K309" s="2" t="s">
        <v>58</v>
      </c>
      <c r="L309" s="5">
        <v>0.713179230690002</v>
      </c>
      <c r="M309" s="5">
        <v>-0.32476073503494302</v>
      </c>
      <c r="N309" s="5">
        <v>0.85787755250930797</v>
      </c>
      <c r="O309" s="5">
        <f>EXP(M309)</f>
        <v>0.72270024980726666</v>
      </c>
      <c r="Q309" s="16" t="s">
        <v>58</v>
      </c>
      <c r="R309" s="16" t="s">
        <v>61</v>
      </c>
      <c r="S309" s="17">
        <v>4.3753259036100003E-5</v>
      </c>
      <c r="T309" s="16">
        <v>0.32926800000000001</v>
      </c>
      <c r="U309" s="16" t="s">
        <v>942</v>
      </c>
      <c r="V309" s="16">
        <v>0.18269230769230799</v>
      </c>
      <c r="W309" s="16" t="s">
        <v>1015</v>
      </c>
      <c r="X309" s="16">
        <v>3269</v>
      </c>
      <c r="Y309" s="16">
        <v>2259</v>
      </c>
    </row>
    <row r="310" spans="2:25" x14ac:dyDescent="0.2">
      <c r="J310" s="2" t="s">
        <v>61</v>
      </c>
      <c r="K310" s="2" t="s">
        <v>198</v>
      </c>
      <c r="L310" s="5">
        <v>0.71119093894958496</v>
      </c>
      <c r="M310" s="5">
        <v>0.103593021631241</v>
      </c>
      <c r="N310" s="5">
        <v>0.30668202042579701</v>
      </c>
      <c r="O310" s="5">
        <f>EXP(M310)</f>
        <v>1.1091489634123362</v>
      </c>
      <c r="Q310" s="16" t="s">
        <v>198</v>
      </c>
      <c r="R310" s="16" t="s">
        <v>61</v>
      </c>
      <c r="S310" s="17">
        <v>8.8585329134099999E-5</v>
      </c>
      <c r="T310" s="16">
        <v>0.35714299999999999</v>
      </c>
      <c r="U310" s="16" t="s">
        <v>942</v>
      </c>
      <c r="V310" s="16">
        <v>0.135135135135135</v>
      </c>
      <c r="W310" s="16" t="s">
        <v>1013</v>
      </c>
      <c r="X310" s="16">
        <v>3269</v>
      </c>
      <c r="Y310" s="16">
        <v>2311</v>
      </c>
    </row>
    <row r="311" spans="2:25" x14ac:dyDescent="0.2">
      <c r="J311" s="2" t="s">
        <v>61</v>
      </c>
      <c r="K311" s="2" t="s">
        <v>254</v>
      </c>
      <c r="L311" s="5">
        <v>0.68649142980575595</v>
      </c>
      <c r="M311" s="5">
        <v>-0.49360489845275901</v>
      </c>
      <c r="N311" s="5">
        <v>0.34588310122489901</v>
      </c>
      <c r="O311" s="5">
        <f>EXP(M311)</f>
        <v>0.61042191409465518</v>
      </c>
      <c r="Q311" s="16" t="s">
        <v>254</v>
      </c>
      <c r="R311" s="16" t="s">
        <v>61</v>
      </c>
      <c r="S311" s="17">
        <v>2.8439188841300001E-11</v>
      </c>
      <c r="T311" s="16">
        <v>0.63013699999999995</v>
      </c>
      <c r="U311" s="16" t="s">
        <v>942</v>
      </c>
      <c r="V311" s="16">
        <v>0.135135135135135</v>
      </c>
      <c r="W311" s="16" t="s">
        <v>1013</v>
      </c>
      <c r="X311" s="16">
        <v>3269</v>
      </c>
      <c r="Y311" s="16">
        <v>1632</v>
      </c>
    </row>
    <row r="312" spans="2:25" x14ac:dyDescent="0.2">
      <c r="B312" s="21" t="s">
        <v>63</v>
      </c>
      <c r="C312" s="21" t="s">
        <v>257</v>
      </c>
      <c r="D312" s="22">
        <v>0.80678957700729403</v>
      </c>
      <c r="E312" s="22">
        <v>0.46868878602981601</v>
      </c>
      <c r="F312" s="22">
        <v>0.87967497110366799</v>
      </c>
      <c r="G312" s="21" t="s">
        <v>1113</v>
      </c>
      <c r="H312" s="22">
        <f>POWER(10,E312)</f>
        <v>2.9423124269398189</v>
      </c>
      <c r="J312" s="2" t="s">
        <v>63</v>
      </c>
      <c r="K312" s="2" t="s">
        <v>257</v>
      </c>
      <c r="L312" s="5">
        <v>0.85727322101592995</v>
      </c>
      <c r="M312" s="5">
        <v>0.66505330801010099</v>
      </c>
      <c r="N312" s="5">
        <v>0.77882844209670998</v>
      </c>
      <c r="O312" s="5">
        <f>EXP(M312)</f>
        <v>1.9445941810201048</v>
      </c>
      <c r="Q312" s="16" t="s">
        <v>257</v>
      </c>
      <c r="R312" s="16" t="s">
        <v>63</v>
      </c>
      <c r="S312" s="17">
        <v>7.1506843296399997E-11</v>
      </c>
      <c r="T312" s="16">
        <v>0.375</v>
      </c>
      <c r="U312" s="16" t="s">
        <v>942</v>
      </c>
      <c r="V312" s="16">
        <v>0.76249999999999996</v>
      </c>
      <c r="W312" s="16" t="s">
        <v>1016</v>
      </c>
      <c r="X312" s="16">
        <v>3274</v>
      </c>
      <c r="Y312" s="16">
        <v>1655</v>
      </c>
    </row>
    <row r="313" spans="2:25" x14ac:dyDescent="0.2">
      <c r="B313" s="21" t="s">
        <v>63</v>
      </c>
      <c r="C313" s="21" t="s">
        <v>54</v>
      </c>
      <c r="D313" s="22">
        <v>0.82023984193801902</v>
      </c>
      <c r="E313" s="22">
        <v>-0.62416064739227295</v>
      </c>
      <c r="F313" s="22">
        <v>0.45803630352020303</v>
      </c>
      <c r="G313" s="21" t="s">
        <v>1113</v>
      </c>
      <c r="H313" s="22">
        <f>POWER(10,E313)</f>
        <v>0.23759612457951124</v>
      </c>
      <c r="J313" s="2" t="s">
        <v>63</v>
      </c>
      <c r="K313" s="2" t="s">
        <v>54</v>
      </c>
      <c r="L313" s="5">
        <v>0.85195410251617398</v>
      </c>
      <c r="M313" s="5">
        <v>-0.60515576601028398</v>
      </c>
      <c r="N313" s="5">
        <v>0.59980440139770497</v>
      </c>
      <c r="O313" s="5">
        <f>EXP(M313)</f>
        <v>0.54598937342932519</v>
      </c>
      <c r="Q313" s="16" t="s">
        <v>54</v>
      </c>
      <c r="R313" s="16" t="s">
        <v>63</v>
      </c>
      <c r="S313" s="17">
        <v>1.4449652585599999E-10</v>
      </c>
      <c r="T313" s="16">
        <v>0.40963899999999998</v>
      </c>
      <c r="U313" s="16" t="s">
        <v>942</v>
      </c>
      <c r="V313" s="16">
        <v>0.76249999999999996</v>
      </c>
      <c r="W313" s="16" t="s">
        <v>1016</v>
      </c>
      <c r="X313" s="16">
        <v>3274</v>
      </c>
      <c r="Y313" s="16">
        <v>1660</v>
      </c>
    </row>
    <row r="314" spans="2:25" x14ac:dyDescent="0.2">
      <c r="B314" s="21"/>
      <c r="C314" s="21"/>
      <c r="D314" s="22"/>
      <c r="E314" s="22"/>
      <c r="F314" s="22"/>
      <c r="G314" s="21"/>
      <c r="H314" s="22"/>
      <c r="J314" s="2" t="s">
        <v>63</v>
      </c>
      <c r="K314" s="2" t="s">
        <v>256</v>
      </c>
      <c r="L314" s="5">
        <v>0.84449291229248102</v>
      </c>
      <c r="M314" s="5">
        <v>-9.5772773027420002E-2</v>
      </c>
      <c r="N314" s="5">
        <v>0.50626862049102805</v>
      </c>
      <c r="O314" s="5">
        <f>EXP(M314)</f>
        <v>0.90867046705150289</v>
      </c>
      <c r="Q314" s="16" t="s">
        <v>256</v>
      </c>
      <c r="R314" s="16" t="s">
        <v>63</v>
      </c>
      <c r="S314" s="17">
        <v>5.2018749307999997E-9</v>
      </c>
      <c r="T314" s="16">
        <v>0.32727299999999998</v>
      </c>
      <c r="U314" s="16" t="s">
        <v>942</v>
      </c>
      <c r="V314" s="16">
        <v>0.5</v>
      </c>
      <c r="W314" s="16" t="s">
        <v>1017</v>
      </c>
      <c r="X314" s="16">
        <v>3274</v>
      </c>
      <c r="Y314" s="16">
        <v>1809</v>
      </c>
    </row>
    <row r="315" spans="2:25" x14ac:dyDescent="0.2">
      <c r="B315" s="21"/>
      <c r="C315" s="21"/>
      <c r="D315" s="22"/>
      <c r="E315" s="22"/>
      <c r="F315" s="22"/>
      <c r="G315" s="21"/>
      <c r="H315" s="22"/>
      <c r="J315" s="2" t="s">
        <v>63</v>
      </c>
      <c r="K315" s="2" t="s">
        <v>215</v>
      </c>
      <c r="L315" s="5">
        <v>0.83316129446029696</v>
      </c>
      <c r="M315" s="5">
        <v>0.30683395266532898</v>
      </c>
      <c r="N315" s="5">
        <v>0.448971748352051</v>
      </c>
      <c r="O315" s="5">
        <f>EXP(M315)</f>
        <v>1.3591152718659685</v>
      </c>
      <c r="Q315" s="16" t="s">
        <v>215</v>
      </c>
      <c r="R315" s="16" t="s">
        <v>63</v>
      </c>
      <c r="S315" s="17">
        <v>5.96163766375E-6</v>
      </c>
      <c r="T315" s="16">
        <v>0.346939</v>
      </c>
      <c r="U315" s="16" t="s">
        <v>942</v>
      </c>
      <c r="V315" s="16">
        <v>1</v>
      </c>
      <c r="W315" s="16" t="s">
        <v>1018</v>
      </c>
      <c r="X315" s="16">
        <v>3274</v>
      </c>
      <c r="Y315" s="16">
        <v>2157</v>
      </c>
    </row>
    <row r="316" spans="2:25" x14ac:dyDescent="0.2">
      <c r="B316" s="21" t="s">
        <v>63</v>
      </c>
      <c r="C316" s="21" t="s">
        <v>258</v>
      </c>
      <c r="D316" s="22">
        <v>0.80912399291992199</v>
      </c>
      <c r="E316" s="22">
        <v>1.50373995304108</v>
      </c>
      <c r="F316" s="22">
        <v>0.164004817605019</v>
      </c>
      <c r="G316" s="21" t="s">
        <v>1113</v>
      </c>
      <c r="H316" s="22">
        <f>POWER(10,E316)</f>
        <v>31.896273972918134</v>
      </c>
      <c r="J316" s="2" t="s">
        <v>63</v>
      </c>
      <c r="K316" s="2" t="s">
        <v>258</v>
      </c>
      <c r="L316" s="5">
        <v>0.83606195449829102</v>
      </c>
      <c r="M316" s="5">
        <v>1.11026835441589</v>
      </c>
      <c r="N316" s="5">
        <v>0.237664610147476</v>
      </c>
      <c r="O316" s="5">
        <f>EXP(M316)</f>
        <v>3.0351727871782725</v>
      </c>
      <c r="Q316" s="16" t="s">
        <v>258</v>
      </c>
      <c r="R316" s="16" t="s">
        <v>63</v>
      </c>
      <c r="S316" s="17">
        <v>6.9286084147799997E-7</v>
      </c>
      <c r="T316" s="16">
        <v>0.33333299999999999</v>
      </c>
      <c r="U316" s="16" t="s">
        <v>942</v>
      </c>
      <c r="V316" s="16">
        <v>0.2</v>
      </c>
      <c r="W316" s="16" t="s">
        <v>1016</v>
      </c>
      <c r="X316" s="16">
        <v>3274</v>
      </c>
      <c r="Y316" s="16">
        <v>2028</v>
      </c>
    </row>
    <row r="317" spans="2:25" x14ac:dyDescent="0.2">
      <c r="B317" s="21" t="s">
        <v>63</v>
      </c>
      <c r="C317" s="21" t="s">
        <v>34</v>
      </c>
      <c r="D317" s="22">
        <v>0.813421189785004</v>
      </c>
      <c r="E317" s="22">
        <v>0.98790061473846402</v>
      </c>
      <c r="F317" s="22">
        <v>0.87355673313140902</v>
      </c>
      <c r="G317" s="21" t="s">
        <v>1113</v>
      </c>
      <c r="H317" s="22">
        <f>POWER(10,E317)</f>
        <v>9.7252464283196876</v>
      </c>
      <c r="J317" s="2" t="s">
        <v>63</v>
      </c>
      <c r="K317" s="2" t="s">
        <v>34</v>
      </c>
      <c r="L317" s="5">
        <v>0.84472507238388095</v>
      </c>
      <c r="M317" s="5">
        <v>0.383966743946075</v>
      </c>
      <c r="N317" s="5">
        <v>0.85680478811264005</v>
      </c>
      <c r="O317" s="5">
        <f>EXP(M317)</f>
        <v>1.4680966177698609</v>
      </c>
      <c r="Q317" s="16" t="s">
        <v>34</v>
      </c>
      <c r="R317" s="16" t="s">
        <v>63</v>
      </c>
      <c r="S317" s="17">
        <v>9.5721831545099998E-33</v>
      </c>
      <c r="T317" s="16">
        <v>0.59195399999999998</v>
      </c>
      <c r="U317" s="16" t="s">
        <v>942</v>
      </c>
      <c r="V317" s="16">
        <v>0.76249999999999996</v>
      </c>
      <c r="W317" s="16" t="s">
        <v>1016</v>
      </c>
      <c r="X317" s="16">
        <v>3274</v>
      </c>
      <c r="Y317" s="16">
        <v>657</v>
      </c>
    </row>
    <row r="318" spans="2:25" x14ac:dyDescent="0.2">
      <c r="B318" s="21" t="s">
        <v>64</v>
      </c>
      <c r="C318" s="21" t="s">
        <v>229</v>
      </c>
      <c r="D318" s="22">
        <v>0.80280631780624401</v>
      </c>
      <c r="E318" s="22">
        <v>-0.87595450878143299</v>
      </c>
      <c r="F318" s="22">
        <v>0.89796668291091897</v>
      </c>
      <c r="G318" s="21" t="s">
        <v>1113</v>
      </c>
      <c r="H318" s="22">
        <f>POWER(10,E318)</f>
        <v>0.13305937869206402</v>
      </c>
      <c r="J318" s="2" t="s">
        <v>64</v>
      </c>
      <c r="K318" s="2" t="s">
        <v>229</v>
      </c>
      <c r="L318" s="5">
        <v>0.78759235143661499</v>
      </c>
      <c r="M318" s="5">
        <v>0.355653285980225</v>
      </c>
      <c r="N318" s="5">
        <v>0.72381675243377697</v>
      </c>
      <c r="O318" s="5">
        <f>EXP(M318)</f>
        <v>1.4271126625089974</v>
      </c>
      <c r="Q318" s="16" t="s">
        <v>229</v>
      </c>
      <c r="R318" s="16" t="s">
        <v>64</v>
      </c>
      <c r="S318" s="17">
        <v>2.05507659105E-11</v>
      </c>
      <c r="T318" s="16">
        <v>0.77305000000000001</v>
      </c>
      <c r="U318" s="16" t="s">
        <v>942</v>
      </c>
      <c r="V318" s="16">
        <v>0.61272217025257203</v>
      </c>
      <c r="W318" s="16" t="s">
        <v>1019</v>
      </c>
      <c r="X318" s="16">
        <v>11255</v>
      </c>
      <c r="Y318" s="16">
        <v>1618</v>
      </c>
    </row>
    <row r="319" spans="2:25" x14ac:dyDescent="0.2">
      <c r="B319" s="21" t="s">
        <v>64</v>
      </c>
      <c r="C319" s="21" t="s">
        <v>16</v>
      </c>
      <c r="D319" s="22">
        <v>0.82990449666976895</v>
      </c>
      <c r="E319" s="22">
        <v>0.63075888156890902</v>
      </c>
      <c r="F319" s="22">
        <v>0.12302626669406901</v>
      </c>
      <c r="G319" s="21" t="s">
        <v>1113</v>
      </c>
      <c r="H319" s="22">
        <f>POWER(10,E319)</f>
        <v>4.2732557095782902</v>
      </c>
      <c r="J319" s="2" t="s">
        <v>64</v>
      </c>
      <c r="K319" s="2" t="s">
        <v>16</v>
      </c>
      <c r="L319" s="5">
        <v>0.78399324417114302</v>
      </c>
      <c r="M319" s="5">
        <v>0.87157297134399403</v>
      </c>
      <c r="N319" s="5">
        <v>0.269328743219376</v>
      </c>
      <c r="O319" s="5">
        <f>EXP(M319)</f>
        <v>2.3906683503402015</v>
      </c>
      <c r="Q319" s="16" t="s">
        <v>16</v>
      </c>
      <c r="R319" s="16" t="s">
        <v>64</v>
      </c>
      <c r="S319" s="17">
        <v>1.22340668582E-27</v>
      </c>
      <c r="T319" s="16">
        <v>0.625</v>
      </c>
      <c r="U319" s="16" t="s">
        <v>942</v>
      </c>
      <c r="V319" s="16">
        <v>0.61272217025257203</v>
      </c>
      <c r="W319" s="16" t="s">
        <v>1019</v>
      </c>
      <c r="X319" s="16">
        <v>11255</v>
      </c>
      <c r="Y319" s="16">
        <v>774</v>
      </c>
    </row>
    <row r="320" spans="2:25" x14ac:dyDescent="0.2">
      <c r="B320" s="21" t="s">
        <v>64</v>
      </c>
      <c r="C320" s="21" t="s">
        <v>260</v>
      </c>
      <c r="D320" s="22">
        <v>0.82139313220977805</v>
      </c>
      <c r="E320" s="22">
        <v>-0.84891718626022294</v>
      </c>
      <c r="F320" s="22">
        <v>0.92646145820617698</v>
      </c>
      <c r="G320" s="21" t="s">
        <v>1113</v>
      </c>
      <c r="H320" s="22">
        <f>POWER(10,E320)</f>
        <v>0.1416063777302079</v>
      </c>
      <c r="J320" s="2" t="s">
        <v>64</v>
      </c>
      <c r="K320" s="2" t="s">
        <v>260</v>
      </c>
      <c r="L320" s="5">
        <v>0.76966917514801003</v>
      </c>
      <c r="M320" s="5">
        <v>-0.98345273733139005</v>
      </c>
      <c r="N320" s="5">
        <v>0.92940235137939498</v>
      </c>
      <c r="O320" s="5">
        <f>EXP(M320)</f>
        <v>0.37401748275295021</v>
      </c>
      <c r="Q320" s="16" t="s">
        <v>260</v>
      </c>
      <c r="R320" s="16" t="s">
        <v>64</v>
      </c>
      <c r="S320" s="17">
        <v>9.5945693168199993E-8</v>
      </c>
      <c r="T320" s="16">
        <v>0.60897400000000002</v>
      </c>
      <c r="U320" s="16" t="s">
        <v>942</v>
      </c>
      <c r="V320" s="16">
        <v>0.61272217025257203</v>
      </c>
      <c r="W320" s="16" t="s">
        <v>1019</v>
      </c>
      <c r="X320" s="16">
        <v>11255</v>
      </c>
      <c r="Y320" s="16">
        <v>1946</v>
      </c>
    </row>
    <row r="321" spans="2:25" x14ac:dyDescent="0.2">
      <c r="B321" s="21" t="s">
        <v>64</v>
      </c>
      <c r="C321" s="21" t="s">
        <v>54</v>
      </c>
      <c r="D321" s="22">
        <v>0.83808326721191395</v>
      </c>
      <c r="E321" s="22">
        <v>-1.5090254545211801</v>
      </c>
      <c r="F321" s="22">
        <v>0.57836681604385398</v>
      </c>
      <c r="G321" s="21" t="s">
        <v>1113</v>
      </c>
      <c r="H321" s="22">
        <f>POWER(10,E321)</f>
        <v>3.0972377610715311E-2</v>
      </c>
      <c r="J321" s="2" t="s">
        <v>64</v>
      </c>
      <c r="K321" s="2" t="s">
        <v>54</v>
      </c>
      <c r="L321" s="5">
        <v>0.77813732624053999</v>
      </c>
      <c r="M321" s="5">
        <v>-1.0065169334411599</v>
      </c>
      <c r="N321" s="5">
        <v>0.54728490114212003</v>
      </c>
      <c r="O321" s="5">
        <f>EXP(M321)</f>
        <v>0.36548979039393958</v>
      </c>
      <c r="Q321" s="16" t="s">
        <v>54</v>
      </c>
      <c r="R321" s="16" t="s">
        <v>64</v>
      </c>
      <c r="S321" s="17">
        <v>6.68513390272E-17</v>
      </c>
      <c r="T321" s="16">
        <v>0.36666700000000002</v>
      </c>
      <c r="U321" s="16" t="s">
        <v>942</v>
      </c>
      <c r="V321" s="16">
        <v>0.61272217025257203</v>
      </c>
      <c r="W321" s="16" t="s">
        <v>1019</v>
      </c>
      <c r="X321" s="16">
        <v>11255</v>
      </c>
      <c r="Y321" s="16">
        <v>1229</v>
      </c>
    </row>
    <row r="322" spans="2:25" x14ac:dyDescent="0.2">
      <c r="B322" s="21" t="s">
        <v>64</v>
      </c>
      <c r="C322" s="21" t="s">
        <v>230</v>
      </c>
      <c r="D322" s="22">
        <v>0.81067401170730602</v>
      </c>
      <c r="E322" s="22">
        <v>-1.11863470077515</v>
      </c>
      <c r="F322" s="22">
        <v>0.92513543367385898</v>
      </c>
      <c r="G322" s="21" t="s">
        <v>1113</v>
      </c>
      <c r="H322" s="22">
        <f>POWER(10,E322)</f>
        <v>7.6096608116240513E-2</v>
      </c>
      <c r="J322" s="2" t="s">
        <v>64</v>
      </c>
      <c r="K322" s="2" t="s">
        <v>230</v>
      </c>
      <c r="L322" s="5">
        <v>0.78061574697494496</v>
      </c>
      <c r="M322" s="5">
        <v>-0.85401171445846602</v>
      </c>
      <c r="N322" s="5">
        <v>0.83007329702377297</v>
      </c>
      <c r="O322" s="5">
        <f>EXP(M322)</f>
        <v>0.42570370006832747</v>
      </c>
      <c r="Q322" s="16" t="s">
        <v>230</v>
      </c>
      <c r="R322" s="16" t="s">
        <v>64</v>
      </c>
      <c r="S322" s="17">
        <v>2.5769977471000001E-14</v>
      </c>
      <c r="T322" s="16">
        <v>0.75362300000000004</v>
      </c>
      <c r="U322" s="16" t="s">
        <v>942</v>
      </c>
      <c r="V322" s="16">
        <v>0.61272217025257203</v>
      </c>
      <c r="W322" s="16" t="s">
        <v>1019</v>
      </c>
      <c r="X322" s="16">
        <v>11255</v>
      </c>
      <c r="Y322" s="16">
        <v>1382</v>
      </c>
    </row>
    <row r="323" spans="2:25" x14ac:dyDescent="0.2">
      <c r="B323" s="21"/>
      <c r="C323" s="21"/>
      <c r="D323" s="22"/>
      <c r="E323" s="22"/>
      <c r="F323" s="22"/>
      <c r="G323" s="21"/>
      <c r="H323" s="22"/>
      <c r="J323" s="2" t="s">
        <v>64</v>
      </c>
      <c r="K323" s="2" t="s">
        <v>261</v>
      </c>
      <c r="L323" s="5">
        <v>0.62316840887069702</v>
      </c>
      <c r="M323" s="5">
        <v>-0.360362708568573</v>
      </c>
      <c r="N323" s="5">
        <v>0.42043361067771901</v>
      </c>
      <c r="O323" s="5">
        <f>EXP(M323)</f>
        <v>0.69742331877620523</v>
      </c>
      <c r="Q323" s="16" t="s">
        <v>261</v>
      </c>
      <c r="R323" s="16" t="s">
        <v>64</v>
      </c>
      <c r="S323" s="17">
        <v>1.8336609131099999E-7</v>
      </c>
      <c r="T323" s="16">
        <v>0.58715600000000001</v>
      </c>
      <c r="U323" s="16" t="s">
        <v>942</v>
      </c>
      <c r="V323" s="16">
        <v>0.87320574162679399</v>
      </c>
      <c r="W323" s="16" t="s">
        <v>1020</v>
      </c>
      <c r="X323" s="16">
        <v>11255</v>
      </c>
      <c r="Y323" s="16">
        <v>1967</v>
      </c>
    </row>
    <row r="324" spans="2:25" x14ac:dyDescent="0.2">
      <c r="B324" s="21" t="s">
        <v>64</v>
      </c>
      <c r="C324" s="21" t="s">
        <v>259</v>
      </c>
      <c r="D324" s="22">
        <v>0.79380893707275402</v>
      </c>
      <c r="E324" s="22">
        <v>-1.7011129856109599</v>
      </c>
      <c r="F324" s="22">
        <v>0.73958629369735696</v>
      </c>
      <c r="G324" s="21" t="s">
        <v>1113</v>
      </c>
      <c r="H324" s="22">
        <f>POWER(10,E324)</f>
        <v>1.9901555147960243E-2</v>
      </c>
      <c r="J324" s="2" t="s">
        <v>64</v>
      </c>
      <c r="K324" s="2" t="s">
        <v>259</v>
      </c>
      <c r="L324" s="5">
        <v>0.74204236268997203</v>
      </c>
      <c r="M324" s="5">
        <v>-1.65297031402588</v>
      </c>
      <c r="N324" s="5">
        <v>0.70997792482376099</v>
      </c>
      <c r="O324" s="5">
        <f>EXP(M324)</f>
        <v>0.19148030645095476</v>
      </c>
      <c r="Q324" s="16" t="s">
        <v>259</v>
      </c>
      <c r="R324" s="16" t="s">
        <v>64</v>
      </c>
      <c r="S324" s="17">
        <v>3.20568912445E-20</v>
      </c>
      <c r="T324" s="16">
        <v>0.4</v>
      </c>
      <c r="U324" s="16" t="s">
        <v>942</v>
      </c>
      <c r="V324" s="16">
        <v>0.61272217025257203</v>
      </c>
      <c r="W324" s="16" t="s">
        <v>1019</v>
      </c>
      <c r="X324" s="16">
        <v>11255</v>
      </c>
      <c r="Y324" s="16">
        <v>1038</v>
      </c>
    </row>
    <row r="325" spans="2:25" x14ac:dyDescent="0.2">
      <c r="B325" s="21" t="s">
        <v>67</v>
      </c>
      <c r="C325" s="21" t="s">
        <v>18</v>
      </c>
      <c r="D325" s="22">
        <v>0.80864399671554599</v>
      </c>
      <c r="E325" s="22">
        <v>0.19217862188816101</v>
      </c>
      <c r="F325" s="22">
        <v>0.27029168605804399</v>
      </c>
      <c r="G325" s="21" t="s">
        <v>1113</v>
      </c>
      <c r="H325" s="22">
        <f>POWER(10,E325)</f>
        <v>1.5566057195950407</v>
      </c>
      <c r="J325" s="2" t="s">
        <v>67</v>
      </c>
      <c r="K325" s="2" t="s">
        <v>18</v>
      </c>
      <c r="L325" s="5">
        <v>0.76581525802612305</v>
      </c>
      <c r="M325" s="5">
        <v>9.42205339670181E-2</v>
      </c>
      <c r="N325" s="5">
        <v>0.33066043257713301</v>
      </c>
      <c r="O325" s="5">
        <f>EXP(M325)</f>
        <v>1.0988020423722644</v>
      </c>
      <c r="Q325" s="16" t="s">
        <v>18</v>
      </c>
      <c r="R325" s="16" t="s">
        <v>1021</v>
      </c>
      <c r="S325" s="17">
        <v>9.8376390487699896E-51</v>
      </c>
      <c r="T325" s="16">
        <v>0.72555199999999997</v>
      </c>
      <c r="U325" s="16" t="s">
        <v>942</v>
      </c>
      <c r="V325" s="16">
        <v>0.93380782918149496</v>
      </c>
      <c r="W325" s="16" t="s">
        <v>1022</v>
      </c>
      <c r="X325" s="16">
        <v>3350</v>
      </c>
      <c r="Y325" s="16">
        <v>313</v>
      </c>
    </row>
    <row r="326" spans="2:25" x14ac:dyDescent="0.2">
      <c r="J326" s="2" t="s">
        <v>67</v>
      </c>
      <c r="K326" s="2" t="s">
        <v>66</v>
      </c>
      <c r="L326" s="5">
        <v>0.73179548978805498</v>
      </c>
      <c r="M326" s="5">
        <v>-1.63913857936859</v>
      </c>
      <c r="N326" s="5">
        <v>0.83230078220367398</v>
      </c>
      <c r="O326" s="5">
        <f>EXP(M326)</f>
        <v>0.19414721269308244</v>
      </c>
      <c r="Q326" s="16" t="s">
        <v>66</v>
      </c>
      <c r="R326" s="16" t="s">
        <v>1021</v>
      </c>
      <c r="S326" s="17">
        <v>5.0757012198299997E-20</v>
      </c>
      <c r="T326" s="16">
        <v>0.41935499999999998</v>
      </c>
      <c r="U326" s="16" t="s">
        <v>942</v>
      </c>
      <c r="V326" s="16">
        <v>0.94805653710247395</v>
      </c>
      <c r="W326" s="16" t="s">
        <v>1023</v>
      </c>
      <c r="X326" s="16">
        <v>3350</v>
      </c>
      <c r="Y326" s="16">
        <v>1048</v>
      </c>
    </row>
    <row r="327" spans="2:25" x14ac:dyDescent="0.2">
      <c r="J327" s="2" t="s">
        <v>67</v>
      </c>
      <c r="K327" s="2" t="s">
        <v>191</v>
      </c>
      <c r="L327" s="5">
        <v>0.78616541624069203</v>
      </c>
      <c r="M327" s="5">
        <v>-1.6439284086227399</v>
      </c>
      <c r="N327" s="5">
        <v>0.89396595954894997</v>
      </c>
      <c r="O327" s="5">
        <f>EXP(M327)</f>
        <v>0.19321950425029188</v>
      </c>
      <c r="Q327" s="16" t="s">
        <v>191</v>
      </c>
      <c r="R327" s="16" t="s">
        <v>1021</v>
      </c>
      <c r="S327" s="17">
        <v>5.5496907147500001E-26</v>
      </c>
      <c r="T327" s="16">
        <v>0.83593799999999996</v>
      </c>
      <c r="U327" s="16" t="s">
        <v>942</v>
      </c>
      <c r="V327" s="16">
        <v>0.94805653710247395</v>
      </c>
      <c r="W327" s="16" t="s">
        <v>1023</v>
      </c>
      <c r="X327" s="16">
        <v>3350</v>
      </c>
      <c r="Y327" s="16">
        <v>833</v>
      </c>
    </row>
    <row r="328" spans="2:25" x14ac:dyDescent="0.2">
      <c r="J328" s="2" t="s">
        <v>67</v>
      </c>
      <c r="K328" s="2" t="s">
        <v>181</v>
      </c>
      <c r="L328" s="5">
        <v>0.78368514776229903</v>
      </c>
      <c r="M328" s="5">
        <v>0.75804179906845104</v>
      </c>
      <c r="N328" s="5">
        <v>0.47206774353981001</v>
      </c>
      <c r="O328" s="5">
        <f>EXP(M328)</f>
        <v>2.1340931429997436</v>
      </c>
      <c r="Q328" s="16" t="s">
        <v>181</v>
      </c>
      <c r="R328" s="16" t="s">
        <v>1021</v>
      </c>
      <c r="S328" s="17">
        <v>1.9762789841300001E-6</v>
      </c>
      <c r="T328" s="16">
        <v>0.43636399999999997</v>
      </c>
      <c r="U328" s="16" t="s">
        <v>942</v>
      </c>
      <c r="V328" s="16">
        <v>0.94805653710247395</v>
      </c>
      <c r="W328" s="16" t="s">
        <v>1023</v>
      </c>
      <c r="X328" s="16">
        <v>3350</v>
      </c>
      <c r="Y328" s="16">
        <v>2089</v>
      </c>
    </row>
    <row r="329" spans="2:25" x14ac:dyDescent="0.2">
      <c r="J329" s="2" t="s">
        <v>67</v>
      </c>
      <c r="K329" s="2" t="s">
        <v>21</v>
      </c>
      <c r="L329" s="5">
        <v>0.76043993234634399</v>
      </c>
      <c r="M329" s="5">
        <v>-2.20979750156403E-2</v>
      </c>
      <c r="N329" s="5">
        <v>0.41623291373252902</v>
      </c>
      <c r="O329" s="5">
        <f>EXP(M329)</f>
        <v>0.97814439664384234</v>
      </c>
      <c r="Q329" s="16" t="s">
        <v>21</v>
      </c>
      <c r="R329" s="16" t="s">
        <v>1021</v>
      </c>
      <c r="S329" s="17">
        <v>4.3207830571900001E-50</v>
      </c>
      <c r="T329" s="16">
        <v>0.75265000000000004</v>
      </c>
      <c r="U329" s="16" t="s">
        <v>942</v>
      </c>
      <c r="V329" s="16">
        <v>0.93380782918149496</v>
      </c>
      <c r="W329" s="16" t="s">
        <v>1022</v>
      </c>
      <c r="X329" s="16">
        <v>3350</v>
      </c>
      <c r="Y329" s="16">
        <v>321</v>
      </c>
    </row>
    <row r="330" spans="2:25" x14ac:dyDescent="0.2">
      <c r="B330" s="21" t="s">
        <v>67</v>
      </c>
      <c r="C330" s="21" t="s">
        <v>128</v>
      </c>
      <c r="D330" s="22">
        <v>0.83505171537399303</v>
      </c>
      <c r="E330" s="22">
        <v>-1.1318955421447801</v>
      </c>
      <c r="F330" s="22">
        <v>0.82922279834747303</v>
      </c>
      <c r="G330" s="21" t="s">
        <v>1114</v>
      </c>
      <c r="H330" s="22">
        <f>POWER(10,E330)</f>
        <v>7.3808173448833156E-2</v>
      </c>
      <c r="J330" s="2" t="s">
        <v>67</v>
      </c>
      <c r="K330" s="2" t="s">
        <v>128</v>
      </c>
      <c r="L330" s="5">
        <v>0.783114373683929</v>
      </c>
      <c r="M330" s="5">
        <v>-0.92701596021652199</v>
      </c>
      <c r="N330" s="5">
        <v>0.719662845134735</v>
      </c>
      <c r="O330" s="5">
        <f>EXP(M330)</f>
        <v>0.39573283273913884</v>
      </c>
      <c r="Q330" s="16" t="s">
        <v>128</v>
      </c>
      <c r="R330" s="16" t="s">
        <v>1021</v>
      </c>
      <c r="S330" s="17">
        <v>2.04728031093E-13</v>
      </c>
      <c r="T330" s="16">
        <v>0.645038</v>
      </c>
      <c r="U330" s="16" t="s">
        <v>942</v>
      </c>
      <c r="V330" s="16">
        <v>0.93380782918149496</v>
      </c>
      <c r="W330" s="16" t="s">
        <v>1022</v>
      </c>
      <c r="X330" s="16">
        <v>3350</v>
      </c>
      <c r="Y330" s="16">
        <v>1049</v>
      </c>
    </row>
    <row r="331" spans="2:25" x14ac:dyDescent="0.2">
      <c r="B331" s="21"/>
      <c r="C331" s="21"/>
      <c r="D331" s="22"/>
      <c r="E331" s="22"/>
      <c r="F331" s="22"/>
      <c r="G331" s="21"/>
      <c r="H331" s="22"/>
      <c r="J331" s="2" t="s">
        <v>68</v>
      </c>
      <c r="K331" s="2" t="s">
        <v>26</v>
      </c>
      <c r="L331" s="5">
        <v>0.76457822322845503</v>
      </c>
      <c r="M331" s="5">
        <v>-1.3850468397140501</v>
      </c>
      <c r="N331" s="5">
        <v>0.86681276559829701</v>
      </c>
      <c r="O331" s="5">
        <f>EXP(M331)</f>
        <v>0.2503120749710897</v>
      </c>
      <c r="Q331" s="16" t="s">
        <v>26</v>
      </c>
      <c r="R331" s="16" t="s">
        <v>1024</v>
      </c>
      <c r="S331" s="17">
        <v>9.1032811289099996E-9</v>
      </c>
      <c r="T331" s="16">
        <v>0.63841800000000004</v>
      </c>
      <c r="U331" s="16" t="s">
        <v>942</v>
      </c>
      <c r="V331" s="16">
        <v>0.92395833333333299</v>
      </c>
      <c r="W331" s="16" t="s">
        <v>1025</v>
      </c>
      <c r="X331" s="16">
        <v>3356</v>
      </c>
      <c r="Y331" s="16">
        <v>1831</v>
      </c>
    </row>
    <row r="332" spans="2:25" x14ac:dyDescent="0.2">
      <c r="B332" s="21"/>
      <c r="C332" s="21"/>
      <c r="D332" s="22"/>
      <c r="E332" s="22"/>
      <c r="F332" s="22"/>
      <c r="G332" s="21"/>
      <c r="H332" s="22"/>
      <c r="J332" s="2" t="s">
        <v>68</v>
      </c>
      <c r="K332" s="2" t="s">
        <v>27</v>
      </c>
      <c r="L332" s="5">
        <v>0.75724524259567305</v>
      </c>
      <c r="M332" s="5">
        <v>-0.66023564338684104</v>
      </c>
      <c r="N332" s="5">
        <v>0.90931367874145497</v>
      </c>
      <c r="O332" s="5">
        <f>EXP(M332)</f>
        <v>0.51672955624142947</v>
      </c>
      <c r="Q332" s="16" t="s">
        <v>27</v>
      </c>
      <c r="R332" s="16" t="s">
        <v>1024</v>
      </c>
      <c r="S332" s="17">
        <v>2.6736848664699898E-15</v>
      </c>
      <c r="T332" s="16">
        <v>0.59074099999999996</v>
      </c>
      <c r="U332" s="16" t="s">
        <v>942</v>
      </c>
      <c r="V332" s="16">
        <v>0.98947368421052595</v>
      </c>
      <c r="W332" s="16" t="s">
        <v>1026</v>
      </c>
      <c r="X332" s="16">
        <v>3356</v>
      </c>
      <c r="Y332" s="16">
        <v>1322</v>
      </c>
    </row>
    <row r="333" spans="2:25" x14ac:dyDescent="0.2">
      <c r="B333" s="21" t="s">
        <v>68</v>
      </c>
      <c r="C333" s="21" t="s">
        <v>220</v>
      </c>
      <c r="D333" s="22">
        <v>0.94675821065902699</v>
      </c>
      <c r="E333" s="22">
        <v>-2.0629715919494598</v>
      </c>
      <c r="F333" s="22">
        <v>0.92216455936431896</v>
      </c>
      <c r="G333" s="21" t="s">
        <v>1113</v>
      </c>
      <c r="H333" s="22">
        <f>POWER(10,E333)</f>
        <v>8.6502449986766289E-3</v>
      </c>
      <c r="J333" s="2" t="s">
        <v>68</v>
      </c>
      <c r="K333" s="2" t="s">
        <v>220</v>
      </c>
      <c r="L333" s="5">
        <v>0.792183578014374</v>
      </c>
      <c r="M333" s="5">
        <v>-1.8633185625076301</v>
      </c>
      <c r="N333" s="5">
        <v>0.91387814283371005</v>
      </c>
      <c r="O333" s="5">
        <f>EXP(M333)</f>
        <v>0.15515687726617355</v>
      </c>
      <c r="Q333" s="16" t="s">
        <v>220</v>
      </c>
      <c r="R333" s="16" t="s">
        <v>1024</v>
      </c>
      <c r="S333" s="17">
        <v>4.62172137949E-6</v>
      </c>
      <c r="T333" s="16">
        <v>0.46875</v>
      </c>
      <c r="U333" s="16" t="s">
        <v>942</v>
      </c>
      <c r="V333" s="16">
        <v>0.89137380191693305</v>
      </c>
      <c r="W333" s="16" t="s">
        <v>1027</v>
      </c>
      <c r="X333" s="16">
        <v>3356</v>
      </c>
      <c r="Y333" s="16">
        <v>828</v>
      </c>
    </row>
    <row r="334" spans="2:25" x14ac:dyDescent="0.2">
      <c r="B334" s="21" t="s">
        <v>68</v>
      </c>
      <c r="C334" s="21" t="s">
        <v>224</v>
      </c>
      <c r="D334" s="22">
        <v>0.93821185827255305</v>
      </c>
      <c r="E334" s="22">
        <v>-1.6249634027481099</v>
      </c>
      <c r="F334" s="22">
        <v>0.94825261831283603</v>
      </c>
      <c r="G334" s="21" t="s">
        <v>1113</v>
      </c>
      <c r="H334" s="22">
        <f>POWER(10,E334)</f>
        <v>2.3715735456807996E-2</v>
      </c>
      <c r="J334" s="2" t="s">
        <v>68</v>
      </c>
      <c r="K334" s="2" t="s">
        <v>224</v>
      </c>
      <c r="L334" s="5">
        <v>0.78268110752105702</v>
      </c>
      <c r="M334" s="5">
        <v>-1.3357310295105</v>
      </c>
      <c r="N334" s="5">
        <v>0.92721587419509899</v>
      </c>
      <c r="O334" s="5">
        <f>EXP(M334)</f>
        <v>0.26296586936311955</v>
      </c>
      <c r="Q334" s="16" t="s">
        <v>224</v>
      </c>
      <c r="R334" s="16" t="s">
        <v>1024</v>
      </c>
      <c r="S334" s="17">
        <v>3.40106069489E-16</v>
      </c>
      <c r="T334" s="16">
        <v>0.52083299999999999</v>
      </c>
      <c r="U334" s="16" t="s">
        <v>942</v>
      </c>
      <c r="V334" s="16">
        <v>0.89137380191693305</v>
      </c>
      <c r="W334" s="16" t="s">
        <v>1027</v>
      </c>
      <c r="X334" s="16">
        <v>3356</v>
      </c>
      <c r="Y334" s="16">
        <v>1052</v>
      </c>
    </row>
    <row r="335" spans="2:25" x14ac:dyDescent="0.2">
      <c r="B335" s="21"/>
      <c r="C335" s="21"/>
      <c r="D335" s="22"/>
      <c r="E335" s="22"/>
      <c r="F335" s="22"/>
      <c r="G335" s="21"/>
      <c r="H335" s="22"/>
      <c r="J335" s="2" t="s">
        <v>68</v>
      </c>
      <c r="K335" s="2" t="s">
        <v>193</v>
      </c>
      <c r="L335" s="5">
        <v>0.76611304283142101</v>
      </c>
      <c r="M335" s="5">
        <v>2.65682792663574</v>
      </c>
      <c r="N335" s="5">
        <v>0.63519501686096203</v>
      </c>
      <c r="O335" s="5">
        <f>EXP(M335)</f>
        <v>14.25101206981353</v>
      </c>
      <c r="Q335" s="16" t="s">
        <v>193</v>
      </c>
      <c r="R335" s="16" t="s">
        <v>1024</v>
      </c>
      <c r="S335" s="17">
        <v>1.12292952270999E-15</v>
      </c>
      <c r="T335" s="16">
        <v>0.640625</v>
      </c>
      <c r="U335" s="16" t="s">
        <v>942</v>
      </c>
      <c r="V335" s="16">
        <v>0.92395833333333299</v>
      </c>
      <c r="W335" s="16" t="s">
        <v>1025</v>
      </c>
      <c r="X335" s="16">
        <v>3356</v>
      </c>
      <c r="Y335" s="16">
        <v>1300</v>
      </c>
    </row>
    <row r="336" spans="2:25" x14ac:dyDescent="0.2">
      <c r="B336" s="21" t="s">
        <v>68</v>
      </c>
      <c r="C336" s="21" t="s">
        <v>73</v>
      </c>
      <c r="D336" s="22">
        <v>0.96700042486190796</v>
      </c>
      <c r="E336" s="22">
        <v>1.8751312494278001</v>
      </c>
      <c r="F336" s="22">
        <v>0.46316912770271301</v>
      </c>
      <c r="G336" s="21" t="s">
        <v>1113</v>
      </c>
      <c r="H336" s="22">
        <f>POWER(10,E336)</f>
        <v>75.012087134145631</v>
      </c>
      <c r="J336" s="2" t="s">
        <v>68</v>
      </c>
      <c r="K336" s="2" t="s">
        <v>73</v>
      </c>
      <c r="L336" s="5">
        <v>0.80372709035873402</v>
      </c>
      <c r="M336" s="5">
        <v>1.8258317708969101</v>
      </c>
      <c r="N336" s="5">
        <v>0.48527863621711698</v>
      </c>
      <c r="O336" s="5">
        <f>EXP(M336)</f>
        <v>6.2079564697558975</v>
      </c>
      <c r="Q336" s="16" t="s">
        <v>73</v>
      </c>
      <c r="R336" s="16" t="s">
        <v>1024</v>
      </c>
      <c r="S336" s="17">
        <v>5.5769301133200001E-5</v>
      </c>
      <c r="T336" s="16">
        <v>0.65</v>
      </c>
      <c r="U336" s="16" t="s">
        <v>942</v>
      </c>
      <c r="V336" s="16">
        <v>0.89137380191693305</v>
      </c>
      <c r="W336" s="16" t="s">
        <v>1027</v>
      </c>
      <c r="X336" s="16">
        <v>3356</v>
      </c>
      <c r="Y336" s="16">
        <v>535</v>
      </c>
    </row>
    <row r="337" spans="2:25" x14ac:dyDescent="0.2">
      <c r="B337" s="21"/>
      <c r="C337" s="21"/>
      <c r="D337" s="22"/>
      <c r="E337" s="22"/>
      <c r="F337" s="22"/>
      <c r="G337" s="21"/>
      <c r="H337" s="22"/>
      <c r="J337" s="2" t="s">
        <v>68</v>
      </c>
      <c r="K337" s="2" t="s">
        <v>223</v>
      </c>
      <c r="L337" s="5">
        <v>0.77833032608032204</v>
      </c>
      <c r="M337" s="5">
        <v>1.2205823659896899</v>
      </c>
      <c r="N337" s="5">
        <v>0.53503113985061701</v>
      </c>
      <c r="O337" s="5">
        <f>EXP(M337)</f>
        <v>3.3891608910522142</v>
      </c>
      <c r="Q337" s="16" t="s">
        <v>223</v>
      </c>
      <c r="R337" s="16" t="s">
        <v>1024</v>
      </c>
      <c r="S337" s="17">
        <v>4.1903992498099996E-9</v>
      </c>
      <c r="T337" s="16">
        <v>0.56074800000000002</v>
      </c>
      <c r="U337" s="16" t="s">
        <v>942</v>
      </c>
      <c r="V337" s="16">
        <v>0.98947368421052595</v>
      </c>
      <c r="W337" s="16" t="s">
        <v>1026</v>
      </c>
      <c r="X337" s="16">
        <v>3356</v>
      </c>
      <c r="Y337" s="16">
        <v>1796</v>
      </c>
    </row>
    <row r="338" spans="2:25" x14ac:dyDescent="0.2">
      <c r="B338" s="21"/>
      <c r="C338" s="21"/>
      <c r="D338" s="22"/>
      <c r="E338" s="22"/>
      <c r="F338" s="22"/>
      <c r="G338" s="21"/>
      <c r="H338" s="22"/>
      <c r="J338" s="2" t="s">
        <v>68</v>
      </c>
      <c r="K338" s="2" t="s">
        <v>138</v>
      </c>
      <c r="L338" s="5">
        <v>0.76082611083984397</v>
      </c>
      <c r="M338" s="5">
        <v>2.3600716590881299</v>
      </c>
      <c r="N338" s="5">
        <v>0.30162155628204301</v>
      </c>
      <c r="O338" s="5">
        <f>EXP(M338)</f>
        <v>10.591710417550338</v>
      </c>
      <c r="Q338" s="16" t="s">
        <v>138</v>
      </c>
      <c r="R338" s="16" t="s">
        <v>1024</v>
      </c>
      <c r="S338" s="17">
        <v>1.28254681501E-11</v>
      </c>
      <c r="T338" s="16">
        <v>0.68817200000000001</v>
      </c>
      <c r="U338" s="16" t="s">
        <v>942</v>
      </c>
      <c r="V338" s="16">
        <v>0.92395833333333299</v>
      </c>
      <c r="W338" s="16" t="s">
        <v>1025</v>
      </c>
      <c r="X338" s="16">
        <v>3356</v>
      </c>
      <c r="Y338" s="16">
        <v>1603</v>
      </c>
    </row>
    <row r="339" spans="2:25" x14ac:dyDescent="0.2">
      <c r="B339" s="21" t="s">
        <v>68</v>
      </c>
      <c r="C339" s="21" t="s">
        <v>49</v>
      </c>
      <c r="D339" s="22">
        <v>0.96434515714645397</v>
      </c>
      <c r="E339" s="22">
        <v>2.4826726913452202</v>
      </c>
      <c r="F339" s="22">
        <v>0.43795260787010198</v>
      </c>
      <c r="G339" s="21" t="s">
        <v>1113</v>
      </c>
      <c r="H339" s="22">
        <f>POWER(10,E339)</f>
        <v>303.85941077327561</v>
      </c>
      <c r="J339" s="2" t="s">
        <v>68</v>
      </c>
      <c r="K339" s="2" t="s">
        <v>49</v>
      </c>
      <c r="L339" s="5">
        <v>0.79689794778823897</v>
      </c>
      <c r="M339" s="5">
        <v>1.8418613672256501</v>
      </c>
      <c r="N339" s="5">
        <v>0.73747825622558605</v>
      </c>
      <c r="O339" s="5">
        <f>EXP(M339)</f>
        <v>6.3082693455218388</v>
      </c>
      <c r="Q339" s="16" t="s">
        <v>49</v>
      </c>
      <c r="R339" s="16" t="s">
        <v>1024</v>
      </c>
      <c r="S339" s="17">
        <v>1.24946145907E-6</v>
      </c>
      <c r="T339" s="16">
        <v>0.64705900000000005</v>
      </c>
      <c r="U339" s="16" t="s">
        <v>942</v>
      </c>
      <c r="V339" s="16">
        <v>0.89137380191693305</v>
      </c>
      <c r="W339" s="16" t="s">
        <v>1027</v>
      </c>
      <c r="X339" s="16">
        <v>3356</v>
      </c>
      <c r="Y339" s="16">
        <v>744</v>
      </c>
    </row>
    <row r="340" spans="2:25" x14ac:dyDescent="0.2">
      <c r="B340" s="21"/>
      <c r="C340" s="21"/>
      <c r="D340" s="22"/>
      <c r="E340" s="22"/>
      <c r="F340" s="22"/>
      <c r="G340" s="21"/>
      <c r="H340" s="22"/>
      <c r="J340" s="2" t="s">
        <v>68</v>
      </c>
      <c r="K340" s="2" t="s">
        <v>12</v>
      </c>
      <c r="L340" s="5">
        <v>0.745624840259552</v>
      </c>
      <c r="M340" s="5">
        <v>-0.13541594147682201</v>
      </c>
      <c r="N340" s="5">
        <v>0.90447258949279796</v>
      </c>
      <c r="O340" s="5">
        <f>EXP(M340)</f>
        <v>0.87335257257054699</v>
      </c>
      <c r="Q340" s="16" t="s">
        <v>12</v>
      </c>
      <c r="R340" s="16" t="s">
        <v>1024</v>
      </c>
      <c r="S340" s="17">
        <v>2.4495051063100002E-6</v>
      </c>
      <c r="T340" s="16">
        <v>0.55772600000000006</v>
      </c>
      <c r="U340" s="16" t="s">
        <v>942</v>
      </c>
      <c r="V340" s="16">
        <v>0.98947368421052595</v>
      </c>
      <c r="W340" s="16" t="s">
        <v>1026</v>
      </c>
      <c r="X340" s="16">
        <v>3356</v>
      </c>
      <c r="Y340" s="16">
        <v>2108</v>
      </c>
    </row>
    <row r="341" spans="2:25" x14ac:dyDescent="0.2">
      <c r="J341" s="2" t="s">
        <v>68</v>
      </c>
      <c r="K341" s="2" t="s">
        <v>13</v>
      </c>
      <c r="L341" s="5">
        <v>0.756516933441162</v>
      </c>
      <c r="M341" s="5">
        <v>-0.45632493495941201</v>
      </c>
      <c r="N341" s="5">
        <v>0.84190028905868497</v>
      </c>
      <c r="O341" s="5">
        <f>EXP(M341)</f>
        <v>0.63360792228138973</v>
      </c>
      <c r="Q341" s="16" t="s">
        <v>13</v>
      </c>
      <c r="R341" s="16" t="s">
        <v>1024</v>
      </c>
      <c r="S341" s="17">
        <v>3.2795219311900002E-12</v>
      </c>
      <c r="T341" s="16">
        <v>0.580762</v>
      </c>
      <c r="U341" s="16" t="s">
        <v>942</v>
      </c>
      <c r="V341" s="16">
        <v>0.98947368421052595</v>
      </c>
      <c r="W341" s="16" t="s">
        <v>1026</v>
      </c>
      <c r="X341" s="16">
        <v>3356</v>
      </c>
      <c r="Y341" s="16">
        <v>1546</v>
      </c>
    </row>
    <row r="342" spans="2:25" x14ac:dyDescent="0.2">
      <c r="J342" s="2" t="s">
        <v>68</v>
      </c>
      <c r="K342" s="2" t="s">
        <v>131</v>
      </c>
      <c r="L342" s="5">
        <v>0.74378663301467896</v>
      </c>
      <c r="M342" s="5">
        <v>0.790521800518036</v>
      </c>
      <c r="N342" s="5">
        <v>0.71283972263336204</v>
      </c>
      <c r="O342" s="5">
        <f>EXP(M342)</f>
        <v>2.2045464596705178</v>
      </c>
      <c r="Q342" s="16" t="s">
        <v>131</v>
      </c>
      <c r="R342" s="16" t="s">
        <v>1024</v>
      </c>
      <c r="S342" s="17">
        <v>4.4887953470099999E-14</v>
      </c>
      <c r="T342" s="16">
        <v>0.59574499999999997</v>
      </c>
      <c r="U342" s="16" t="s">
        <v>942</v>
      </c>
      <c r="V342" s="16">
        <v>0.92395833333333299</v>
      </c>
      <c r="W342" s="16" t="s">
        <v>1025</v>
      </c>
      <c r="X342" s="16">
        <v>3356</v>
      </c>
      <c r="Y342" s="16">
        <v>1396</v>
      </c>
    </row>
    <row r="343" spans="2:25" x14ac:dyDescent="0.2">
      <c r="B343" s="21" t="s">
        <v>68</v>
      </c>
      <c r="C343" s="21" t="s">
        <v>127</v>
      </c>
      <c r="D343" s="22">
        <v>0.96387016773223899</v>
      </c>
      <c r="E343" s="22">
        <v>-0.39818248152732899</v>
      </c>
      <c r="F343" s="22">
        <v>0.94662207365036</v>
      </c>
      <c r="G343" s="21" t="s">
        <v>1113</v>
      </c>
      <c r="H343" s="22">
        <f>POWER(10,E343)</f>
        <v>0.39977673657856927</v>
      </c>
      <c r="J343" s="2" t="s">
        <v>68</v>
      </c>
      <c r="K343" s="2" t="s">
        <v>127</v>
      </c>
      <c r="L343" s="5">
        <v>0.78696727752685602</v>
      </c>
      <c r="M343" s="5">
        <v>-0.29925477504730202</v>
      </c>
      <c r="N343" s="5">
        <v>0.94131028652191195</v>
      </c>
      <c r="O343" s="5">
        <f>EXP(M343)</f>
        <v>0.74137050266678173</v>
      </c>
      <c r="Q343" s="16" t="s">
        <v>127</v>
      </c>
      <c r="R343" s="16" t="s">
        <v>1024</v>
      </c>
      <c r="S343" s="17">
        <v>1.25519797115E-5</v>
      </c>
      <c r="T343" s="16">
        <v>0.67547199999999996</v>
      </c>
      <c r="U343" s="16" t="s">
        <v>942</v>
      </c>
      <c r="V343" s="16">
        <v>0.89137380191693305</v>
      </c>
      <c r="W343" s="16" t="s">
        <v>1027</v>
      </c>
      <c r="X343" s="16">
        <v>3356</v>
      </c>
      <c r="Y343" s="16">
        <v>2195</v>
      </c>
    </row>
    <row r="344" spans="2:25" x14ac:dyDescent="0.2">
      <c r="J344" s="2" t="s">
        <v>71</v>
      </c>
      <c r="K344" s="2" t="s">
        <v>229</v>
      </c>
      <c r="L344" s="5">
        <v>0.71870249509811401</v>
      </c>
      <c r="M344" s="5">
        <v>1.73126125335693</v>
      </c>
      <c r="N344" s="5">
        <v>0.32659098505973799</v>
      </c>
      <c r="O344" s="5">
        <f>EXP(M344)</f>
        <v>5.6477726904557821</v>
      </c>
      <c r="Q344" s="16" t="s">
        <v>229</v>
      </c>
      <c r="R344" s="16" t="s">
        <v>1028</v>
      </c>
      <c r="S344" s="17">
        <v>1.5347842990299999E-5</v>
      </c>
      <c r="T344" s="16">
        <v>0.65644199999999997</v>
      </c>
      <c r="U344" s="16" t="s">
        <v>942</v>
      </c>
      <c r="V344" s="16">
        <v>0.93777292576419202</v>
      </c>
      <c r="W344" s="16" t="s">
        <v>1029</v>
      </c>
      <c r="X344" s="16">
        <v>3357</v>
      </c>
      <c r="Y344" s="16">
        <v>2208</v>
      </c>
    </row>
    <row r="345" spans="2:25" x14ac:dyDescent="0.2">
      <c r="B345" s="21" t="s">
        <v>71</v>
      </c>
      <c r="C345" s="21" t="s">
        <v>111</v>
      </c>
      <c r="D345" s="22">
        <v>0.91852760314941395</v>
      </c>
      <c r="E345" s="22">
        <v>1.27481424808502</v>
      </c>
      <c r="F345" s="22">
        <v>0.87304997444152799</v>
      </c>
      <c r="G345" s="21" t="s">
        <v>1113</v>
      </c>
      <c r="H345" s="22">
        <f>POWER(10,E345)</f>
        <v>18.828436069778022</v>
      </c>
      <c r="J345" s="2" t="s">
        <v>71</v>
      </c>
      <c r="K345" s="2" t="s">
        <v>111</v>
      </c>
      <c r="L345" s="5">
        <v>0.78533118963241599</v>
      </c>
      <c r="M345" s="5">
        <v>0.97124552726745605</v>
      </c>
      <c r="N345" s="5">
        <v>0.84227329492569003</v>
      </c>
      <c r="O345" s="5">
        <f>EXP(M345)</f>
        <v>2.6412321381300687</v>
      </c>
      <c r="Q345" s="16" t="s">
        <v>111</v>
      </c>
      <c r="R345" s="16" t="s">
        <v>1028</v>
      </c>
      <c r="S345" s="17">
        <v>4.4892152161600002E-18</v>
      </c>
      <c r="T345" s="16">
        <v>0.71794899999999995</v>
      </c>
      <c r="U345" s="16" t="s">
        <v>942</v>
      </c>
      <c r="V345" s="16">
        <v>0.91950464396284803</v>
      </c>
      <c r="W345" s="16" t="s">
        <v>1030</v>
      </c>
      <c r="X345" s="16">
        <v>3357</v>
      </c>
      <c r="Y345" s="16">
        <v>1148</v>
      </c>
    </row>
    <row r="346" spans="2:25" x14ac:dyDescent="0.2">
      <c r="J346" s="2" t="s">
        <v>71</v>
      </c>
      <c r="K346" s="2" t="s">
        <v>27</v>
      </c>
      <c r="L346" s="5">
        <v>0.73187988996505704</v>
      </c>
      <c r="M346" s="5">
        <v>-0.92716592550277699</v>
      </c>
      <c r="N346" s="5">
        <v>0.945445597171783</v>
      </c>
      <c r="O346" s="5">
        <f>EXP(M346)</f>
        <v>0.39567349100130822</v>
      </c>
      <c r="Q346" s="16" t="s">
        <v>27</v>
      </c>
      <c r="R346" s="16" t="s">
        <v>1028</v>
      </c>
      <c r="S346" s="17">
        <v>2.6736848664699898E-15</v>
      </c>
      <c r="T346" s="16">
        <v>0.59074099999999996</v>
      </c>
      <c r="U346" s="16" t="s">
        <v>942</v>
      </c>
      <c r="V346" s="16">
        <v>0.98947368421052595</v>
      </c>
      <c r="W346" s="16" t="s">
        <v>1031</v>
      </c>
      <c r="X346" s="16">
        <v>3357</v>
      </c>
      <c r="Y346" s="16">
        <v>1323</v>
      </c>
    </row>
    <row r="347" spans="2:25" x14ac:dyDescent="0.2">
      <c r="J347" s="2" t="s">
        <v>71</v>
      </c>
      <c r="K347" s="2" t="s">
        <v>220</v>
      </c>
      <c r="L347" s="5">
        <v>0.747328221797943</v>
      </c>
      <c r="M347" s="5">
        <v>-1.21326911449432</v>
      </c>
      <c r="N347" s="5">
        <v>0.75058305263519298</v>
      </c>
      <c r="O347" s="5">
        <f>EXP(M347)</f>
        <v>0.29722403008008275</v>
      </c>
      <c r="Q347" s="16" t="s">
        <v>220</v>
      </c>
      <c r="R347" s="16" t="s">
        <v>1028</v>
      </c>
      <c r="S347" s="17">
        <v>4.9059187977599996E-24</v>
      </c>
      <c r="T347" s="16">
        <v>0.491228</v>
      </c>
      <c r="U347" s="16" t="s">
        <v>942</v>
      </c>
      <c r="V347" s="16">
        <v>0.93777292576419202</v>
      </c>
      <c r="W347" s="16" t="s">
        <v>1029</v>
      </c>
      <c r="X347" s="16">
        <v>3357</v>
      </c>
      <c r="Y347" s="16">
        <v>878</v>
      </c>
    </row>
    <row r="348" spans="2:25" x14ac:dyDescent="0.2">
      <c r="J348" s="2" t="s">
        <v>71</v>
      </c>
      <c r="K348" s="2" t="s">
        <v>181</v>
      </c>
      <c r="L348" s="5">
        <v>0.748632311820984</v>
      </c>
      <c r="M348" s="5">
        <v>0.442370384931564</v>
      </c>
      <c r="N348" s="5">
        <v>0.56209588050842296</v>
      </c>
      <c r="O348" s="5">
        <f>EXP(M348)</f>
        <v>1.5563920978711203</v>
      </c>
      <c r="Q348" s="16" t="s">
        <v>181</v>
      </c>
      <c r="R348" s="16" t="s">
        <v>1028</v>
      </c>
      <c r="S348" s="17">
        <v>6.8223816974399999E-14</v>
      </c>
      <c r="T348" s="16">
        <v>0.51063800000000004</v>
      </c>
      <c r="U348" s="16" t="s">
        <v>942</v>
      </c>
      <c r="V348" s="16">
        <v>0.93777292576419202</v>
      </c>
      <c r="W348" s="16" t="s">
        <v>1029</v>
      </c>
      <c r="X348" s="16">
        <v>3357</v>
      </c>
      <c r="Y348" s="16">
        <v>269</v>
      </c>
    </row>
    <row r="349" spans="2:25" x14ac:dyDescent="0.2">
      <c r="J349" s="2" t="s">
        <v>71</v>
      </c>
      <c r="K349" s="2" t="s">
        <v>129</v>
      </c>
      <c r="L349" s="5">
        <v>0.722162485122681</v>
      </c>
      <c r="M349" s="5">
        <v>6.1189576983451802E-2</v>
      </c>
      <c r="N349" s="5">
        <v>0.69334512948989901</v>
      </c>
      <c r="O349" s="5">
        <f>EXP(M349)</f>
        <v>1.06310043445826</v>
      </c>
      <c r="Q349" s="16" t="s">
        <v>129</v>
      </c>
      <c r="R349" s="16" t="s">
        <v>1028</v>
      </c>
      <c r="S349" s="17">
        <v>1.1811320925799999E-15</v>
      </c>
      <c r="T349" s="16">
        <v>0.61745000000000005</v>
      </c>
      <c r="U349" s="16" t="s">
        <v>942</v>
      </c>
      <c r="V349" s="16">
        <v>0.93777292576419202</v>
      </c>
      <c r="W349" s="16" t="s">
        <v>1029</v>
      </c>
      <c r="X349" s="16">
        <v>3357</v>
      </c>
      <c r="Y349" s="16">
        <v>1301</v>
      </c>
    </row>
    <row r="350" spans="2:25" x14ac:dyDescent="0.2">
      <c r="B350" s="21" t="s">
        <v>71</v>
      </c>
      <c r="C350" s="21" t="s">
        <v>224</v>
      </c>
      <c r="D350" s="22">
        <v>0.90771579742431596</v>
      </c>
      <c r="E350" s="22">
        <v>-0.56267595291137695</v>
      </c>
      <c r="F350" s="22">
        <v>0.86978071928024303</v>
      </c>
      <c r="G350" s="21" t="s">
        <v>1113</v>
      </c>
      <c r="H350" s="22">
        <f>POWER(10,E350)</f>
        <v>0.27373103977117352</v>
      </c>
      <c r="J350" s="2" t="s">
        <v>71</v>
      </c>
      <c r="K350" s="2" t="s">
        <v>224</v>
      </c>
      <c r="L350" s="5">
        <v>0.77843946218490601</v>
      </c>
      <c r="M350" s="5">
        <v>-0.47975137829780601</v>
      </c>
      <c r="N350" s="5">
        <v>0.83414494991302501</v>
      </c>
      <c r="O350" s="5">
        <f>EXP(M350)</f>
        <v>0.61893725391223786</v>
      </c>
      <c r="Q350" s="16" t="s">
        <v>224</v>
      </c>
      <c r="R350" s="16" t="s">
        <v>1028</v>
      </c>
      <c r="S350" s="17">
        <v>1.4449652585599999E-10</v>
      </c>
      <c r="T350" s="16">
        <v>0.40740700000000002</v>
      </c>
      <c r="U350" s="16" t="s">
        <v>942</v>
      </c>
      <c r="V350" s="16">
        <v>0.91950464396284803</v>
      </c>
      <c r="W350" s="16" t="s">
        <v>1030</v>
      </c>
      <c r="X350" s="16">
        <v>3357</v>
      </c>
      <c r="Y350" s="16">
        <v>1053</v>
      </c>
    </row>
    <row r="351" spans="2:25" x14ac:dyDescent="0.2">
      <c r="J351" s="2" t="s">
        <v>71</v>
      </c>
      <c r="K351" s="2" t="s">
        <v>193</v>
      </c>
      <c r="L351" s="5">
        <v>0.74863761663436901</v>
      </c>
      <c r="M351" s="5">
        <v>0.90352433919906605</v>
      </c>
      <c r="N351" s="5">
        <v>0.90466111898422197</v>
      </c>
      <c r="O351" s="5">
        <f>EXP(M351)</f>
        <v>2.468286880100989</v>
      </c>
      <c r="Q351" s="16" t="s">
        <v>193</v>
      </c>
      <c r="R351" s="16" t="s">
        <v>1028</v>
      </c>
      <c r="S351" s="17">
        <v>1.53831001426E-6</v>
      </c>
      <c r="T351" s="16">
        <v>0.6</v>
      </c>
      <c r="U351" s="16" t="s">
        <v>942</v>
      </c>
      <c r="V351" s="16">
        <v>0.93777292576419202</v>
      </c>
      <c r="W351" s="16" t="s">
        <v>1029</v>
      </c>
      <c r="X351" s="16">
        <v>3357</v>
      </c>
      <c r="Y351" s="16">
        <v>2080</v>
      </c>
    </row>
    <row r="352" spans="2:25" x14ac:dyDescent="0.2">
      <c r="J352" s="2" t="s">
        <v>71</v>
      </c>
      <c r="K352" s="2" t="s">
        <v>10</v>
      </c>
      <c r="L352" s="5">
        <v>0.73103553056716897</v>
      </c>
      <c r="M352" s="5">
        <v>0.443701922893524</v>
      </c>
      <c r="N352" s="5">
        <v>0.81925421953201305</v>
      </c>
      <c r="O352" s="5">
        <f>EXP(M352)</f>
        <v>1.5584658733821399</v>
      </c>
      <c r="Q352" s="16" t="s">
        <v>10</v>
      </c>
      <c r="R352" s="16" t="s">
        <v>1028</v>
      </c>
      <c r="S352" s="17">
        <v>3.0389220392300002E-17</v>
      </c>
      <c r="T352" s="16">
        <v>0.61658000000000002</v>
      </c>
      <c r="U352" s="16" t="s">
        <v>942</v>
      </c>
      <c r="V352" s="16">
        <v>0.98947368421052595</v>
      </c>
      <c r="W352" s="16" t="s">
        <v>1031</v>
      </c>
      <c r="X352" s="16">
        <v>3357</v>
      </c>
      <c r="Y352" s="16">
        <v>1205</v>
      </c>
    </row>
    <row r="353" spans="2:25" x14ac:dyDescent="0.2">
      <c r="J353" s="2" t="s">
        <v>71</v>
      </c>
      <c r="K353" s="2" t="s">
        <v>230</v>
      </c>
      <c r="L353" s="5">
        <v>0.75135493278503396</v>
      </c>
      <c r="M353" s="5">
        <v>1.65311968326569</v>
      </c>
      <c r="N353" s="5">
        <v>0.54181432723999001</v>
      </c>
      <c r="O353" s="5">
        <f>EXP(M353)</f>
        <v>5.2232493196480538</v>
      </c>
      <c r="Q353" s="16" t="s">
        <v>230</v>
      </c>
      <c r="R353" s="16" t="s">
        <v>1028</v>
      </c>
      <c r="S353" s="17">
        <v>5.2731117180500003E-6</v>
      </c>
      <c r="T353" s="16">
        <v>0.69032300000000002</v>
      </c>
      <c r="U353" s="16" t="s">
        <v>942</v>
      </c>
      <c r="V353" s="16">
        <v>0.93777292576419202</v>
      </c>
      <c r="W353" s="16" t="s">
        <v>1029</v>
      </c>
      <c r="X353" s="16">
        <v>3357</v>
      </c>
      <c r="Y353" s="16">
        <v>2149</v>
      </c>
    </row>
    <row r="354" spans="2:25" x14ac:dyDescent="0.2">
      <c r="J354" s="2" t="s">
        <v>71</v>
      </c>
      <c r="K354" s="2" t="s">
        <v>126</v>
      </c>
      <c r="L354" s="5">
        <v>0.76894295215606701</v>
      </c>
      <c r="M354" s="5">
        <v>1.0698816776275599</v>
      </c>
      <c r="N354" s="5">
        <v>0.45159420371055597</v>
      </c>
      <c r="O354" s="5">
        <f>EXP(M354)</f>
        <v>2.915034565765116</v>
      </c>
      <c r="Q354" s="16" t="s">
        <v>126</v>
      </c>
      <c r="R354" s="16" t="s">
        <v>1028</v>
      </c>
      <c r="S354" s="17">
        <v>4.68493191772E-11</v>
      </c>
      <c r="T354" s="16">
        <v>0.491228</v>
      </c>
      <c r="U354" s="16" t="s">
        <v>942</v>
      </c>
      <c r="V354" s="16">
        <v>0.93777292576419202</v>
      </c>
      <c r="W354" s="16" t="s">
        <v>1029</v>
      </c>
      <c r="X354" s="16">
        <v>3357</v>
      </c>
      <c r="Y354" s="16">
        <v>1645</v>
      </c>
    </row>
    <row r="355" spans="2:25" x14ac:dyDescent="0.2">
      <c r="B355" s="21" t="s">
        <v>71</v>
      </c>
      <c r="C355" s="21" t="s">
        <v>138</v>
      </c>
      <c r="D355" s="22">
        <v>0.92558538913726796</v>
      </c>
      <c r="E355" s="22">
        <v>0.59586268663406405</v>
      </c>
      <c r="F355" s="22">
        <v>0.82911980152130105</v>
      </c>
      <c r="G355" s="21" t="s">
        <v>1113</v>
      </c>
      <c r="H355" s="22">
        <f>POWER(10,E355)</f>
        <v>3.9433260397223244</v>
      </c>
      <c r="J355" s="2" t="s">
        <v>71</v>
      </c>
      <c r="K355" s="2" t="s">
        <v>138</v>
      </c>
      <c r="L355" s="5">
        <v>0.79141867160797097</v>
      </c>
      <c r="M355" s="5">
        <v>0.74645680189132702</v>
      </c>
      <c r="N355" s="5">
        <v>0.76486647129058805</v>
      </c>
      <c r="O355" s="5">
        <f>EXP(M355)</f>
        <v>2.1095123391535724</v>
      </c>
      <c r="Q355" s="16" t="s">
        <v>138</v>
      </c>
      <c r="R355" s="16" t="s">
        <v>1028</v>
      </c>
      <c r="S355" s="17">
        <v>2.4674660244699999E-5</v>
      </c>
      <c r="T355" s="16">
        <v>0.58415799999999996</v>
      </c>
      <c r="U355" s="16" t="s">
        <v>942</v>
      </c>
      <c r="V355" s="16">
        <v>0.91950464396284803</v>
      </c>
      <c r="W355" s="16" t="s">
        <v>1030</v>
      </c>
      <c r="X355" s="16">
        <v>3357</v>
      </c>
      <c r="Y355" s="16">
        <v>2227</v>
      </c>
    </row>
    <row r="356" spans="2:25" x14ac:dyDescent="0.2">
      <c r="J356" s="2" t="s">
        <v>71</v>
      </c>
      <c r="K356" s="2" t="s">
        <v>49</v>
      </c>
      <c r="L356" s="5">
        <v>0.77148830890655495</v>
      </c>
      <c r="M356" s="5">
        <v>0.66179019212722801</v>
      </c>
      <c r="N356" s="5">
        <v>0.86275464296340898</v>
      </c>
      <c r="O356" s="5">
        <f>EXP(M356)</f>
        <v>1.9382590865572564</v>
      </c>
      <c r="Q356" s="16" t="s">
        <v>49</v>
      </c>
      <c r="R356" s="16" t="s">
        <v>1028</v>
      </c>
      <c r="S356" s="17">
        <v>4.2607906445900003E-17</v>
      </c>
      <c r="T356" s="16">
        <v>0.64347799999999999</v>
      </c>
      <c r="U356" s="16" t="s">
        <v>942</v>
      </c>
      <c r="V356" s="16">
        <v>0.93777292576419202</v>
      </c>
      <c r="W356" s="16" t="s">
        <v>1029</v>
      </c>
      <c r="X356" s="16">
        <v>3357</v>
      </c>
      <c r="Y356" s="16">
        <v>1217</v>
      </c>
    </row>
    <row r="357" spans="2:25" x14ac:dyDescent="0.2">
      <c r="J357" s="2" t="s">
        <v>71</v>
      </c>
      <c r="K357" s="2" t="s">
        <v>12</v>
      </c>
      <c r="L357" s="5">
        <v>0.70904058218002297</v>
      </c>
      <c r="M357" s="5">
        <v>0.141151383519173</v>
      </c>
      <c r="N357" s="5">
        <v>0.95060402154922496</v>
      </c>
      <c r="O357" s="5">
        <f>EXP(M357)</f>
        <v>1.1515989678942664</v>
      </c>
      <c r="Q357" s="16" t="s">
        <v>12</v>
      </c>
      <c r="R357" s="16" t="s">
        <v>1028</v>
      </c>
      <c r="S357" s="17">
        <v>2.4495051063100002E-6</v>
      </c>
      <c r="T357" s="16">
        <v>0.55772600000000006</v>
      </c>
      <c r="U357" s="16" t="s">
        <v>942</v>
      </c>
      <c r="V357" s="16">
        <v>0.98947368421052595</v>
      </c>
      <c r="W357" s="16" t="s">
        <v>1031</v>
      </c>
      <c r="X357" s="16">
        <v>3357</v>
      </c>
      <c r="Y357" s="16">
        <v>2109</v>
      </c>
    </row>
    <row r="358" spans="2:25" x14ac:dyDescent="0.2">
      <c r="J358" s="2" t="s">
        <v>71</v>
      </c>
      <c r="K358" s="2" t="s">
        <v>13</v>
      </c>
      <c r="L358" s="5">
        <v>0.73596650362014804</v>
      </c>
      <c r="M358" s="5">
        <v>-1.6106250286102299</v>
      </c>
      <c r="N358" s="5">
        <v>0.89397948980331399</v>
      </c>
      <c r="O358" s="5">
        <f>EXP(M358)</f>
        <v>0.19976271763350761</v>
      </c>
      <c r="Q358" s="16" t="s">
        <v>13</v>
      </c>
      <c r="R358" s="16" t="s">
        <v>1028</v>
      </c>
      <c r="S358" s="17">
        <v>3.2795219311900002E-12</v>
      </c>
      <c r="T358" s="16">
        <v>0.580762</v>
      </c>
      <c r="U358" s="16" t="s">
        <v>942</v>
      </c>
      <c r="V358" s="16">
        <v>0.98947368421052595</v>
      </c>
      <c r="W358" s="16" t="s">
        <v>1031</v>
      </c>
      <c r="X358" s="16">
        <v>3357</v>
      </c>
      <c r="Y358" s="16">
        <v>1547</v>
      </c>
    </row>
    <row r="359" spans="2:25" x14ac:dyDescent="0.2">
      <c r="J359" s="2" t="s">
        <v>71</v>
      </c>
      <c r="K359" s="2" t="s">
        <v>131</v>
      </c>
      <c r="L359" s="5">
        <v>0.73140132427215598</v>
      </c>
      <c r="M359" s="5">
        <v>0.32793432474136402</v>
      </c>
      <c r="N359" s="5">
        <v>0.76876813173294101</v>
      </c>
      <c r="O359" s="5">
        <f>EXP(M359)</f>
        <v>1.3880978056133519</v>
      </c>
      <c r="Q359" s="16" t="s">
        <v>131</v>
      </c>
      <c r="R359" s="16" t="s">
        <v>1028</v>
      </c>
      <c r="S359" s="17">
        <v>1.8986843497400001E-7</v>
      </c>
      <c r="T359" s="16">
        <v>0.58503400000000005</v>
      </c>
      <c r="U359" s="16" t="s">
        <v>942</v>
      </c>
      <c r="V359" s="16">
        <v>0.93777292576419202</v>
      </c>
      <c r="W359" s="16" t="s">
        <v>1029</v>
      </c>
      <c r="X359" s="16">
        <v>3357</v>
      </c>
      <c r="Y359" s="16">
        <v>1970</v>
      </c>
    </row>
    <row r="360" spans="2:25" x14ac:dyDescent="0.2">
      <c r="J360" s="2" t="s">
        <v>75</v>
      </c>
      <c r="K360" s="2" t="s">
        <v>229</v>
      </c>
      <c r="L360" s="5">
        <v>0.72844314575195301</v>
      </c>
      <c r="M360" s="5">
        <v>2.3230714797973602</v>
      </c>
      <c r="N360" s="5">
        <v>0.26918193697929399</v>
      </c>
      <c r="O360" s="5">
        <f>EXP(M360)</f>
        <v>10.206976731904341</v>
      </c>
      <c r="Q360" s="16" t="s">
        <v>229</v>
      </c>
      <c r="R360" s="16" t="s">
        <v>1032</v>
      </c>
      <c r="S360" s="17">
        <v>1.3865886621100001E-6</v>
      </c>
      <c r="T360" s="16">
        <v>0.65644199999999997</v>
      </c>
      <c r="U360" s="16" t="s">
        <v>942</v>
      </c>
      <c r="V360" s="16">
        <v>0.92068683565004095</v>
      </c>
      <c r="W360" s="16" t="s">
        <v>1033</v>
      </c>
      <c r="X360" s="16">
        <v>3358</v>
      </c>
      <c r="Y360" s="16">
        <v>2071</v>
      </c>
    </row>
    <row r="361" spans="2:25" x14ac:dyDescent="0.2">
      <c r="J361" s="2" t="s">
        <v>75</v>
      </c>
      <c r="K361" s="2" t="s">
        <v>26</v>
      </c>
      <c r="L361" s="5">
        <v>0.76557356119155895</v>
      </c>
      <c r="M361" s="5">
        <v>-1.2243468761444101</v>
      </c>
      <c r="N361" s="5">
        <v>0.88339459896087702</v>
      </c>
      <c r="O361" s="5">
        <f>EXP(M361)</f>
        <v>0.29394962315324424</v>
      </c>
      <c r="Q361" s="16" t="s">
        <v>26</v>
      </c>
      <c r="R361" s="16" t="s">
        <v>1032</v>
      </c>
      <c r="S361" s="17">
        <v>1.3968003133199999E-13</v>
      </c>
      <c r="T361" s="16">
        <v>0.63841800000000004</v>
      </c>
      <c r="U361" s="16" t="s">
        <v>942</v>
      </c>
      <c r="V361" s="16">
        <v>0.92068683565004095</v>
      </c>
      <c r="W361" s="16" t="s">
        <v>1033</v>
      </c>
      <c r="X361" s="16">
        <v>3358</v>
      </c>
      <c r="Y361" s="16">
        <v>1433</v>
      </c>
    </row>
    <row r="362" spans="2:25" x14ac:dyDescent="0.2">
      <c r="B362" s="21" t="s">
        <v>75</v>
      </c>
      <c r="C362" s="21" t="s">
        <v>111</v>
      </c>
      <c r="D362" s="22">
        <v>0.83770716190338101</v>
      </c>
      <c r="E362" s="22">
        <v>0.77600455284118697</v>
      </c>
      <c r="F362" s="22">
        <v>0.62240946292877197</v>
      </c>
      <c r="G362" s="21" t="s">
        <v>1113</v>
      </c>
      <c r="H362" s="22">
        <f>POWER(10,E362)</f>
        <v>5.9704154551920006</v>
      </c>
      <c r="J362" s="2" t="s">
        <v>75</v>
      </c>
      <c r="K362" s="2" t="s">
        <v>111</v>
      </c>
      <c r="L362" s="5">
        <v>0.76516193151473999</v>
      </c>
      <c r="M362" s="5">
        <v>0.53497314453125</v>
      </c>
      <c r="N362" s="5">
        <v>0.62772405147552501</v>
      </c>
      <c r="O362" s="5">
        <f>EXP(M362)</f>
        <v>1.7074023885470135</v>
      </c>
      <c r="Q362" s="16" t="s">
        <v>111</v>
      </c>
      <c r="R362" s="16" t="s">
        <v>1032</v>
      </c>
      <c r="S362" s="17">
        <v>8.6697915513399995E-10</v>
      </c>
      <c r="T362" s="16">
        <v>0.71794899999999995</v>
      </c>
      <c r="U362" s="16" t="s">
        <v>942</v>
      </c>
      <c r="V362" s="16">
        <v>0.88973384030418201</v>
      </c>
      <c r="W362" s="16" t="s">
        <v>1034</v>
      </c>
      <c r="X362" s="16">
        <v>3358</v>
      </c>
      <c r="Y362" s="16">
        <v>1741</v>
      </c>
    </row>
    <row r="363" spans="2:25" x14ac:dyDescent="0.2">
      <c r="J363" s="2" t="s">
        <v>75</v>
      </c>
      <c r="K363" s="2" t="s">
        <v>27</v>
      </c>
      <c r="L363" s="5">
        <v>0.74417042732238803</v>
      </c>
      <c r="M363" s="5">
        <v>-0.86433172225952204</v>
      </c>
      <c r="N363" s="5">
        <v>0.84187918901443504</v>
      </c>
      <c r="O363" s="5">
        <f>EXP(M363)</f>
        <v>0.42133302604827116</v>
      </c>
      <c r="Q363" s="16" t="s">
        <v>27</v>
      </c>
      <c r="R363" s="16" t="s">
        <v>1032</v>
      </c>
      <c r="S363" s="17">
        <v>5.7681202286099998E-15</v>
      </c>
      <c r="T363" s="16">
        <v>0.59074099999999996</v>
      </c>
      <c r="U363" s="16" t="s">
        <v>942</v>
      </c>
      <c r="V363" s="16">
        <v>0.98958333333333304</v>
      </c>
      <c r="W363" s="16" t="s">
        <v>1035</v>
      </c>
      <c r="X363" s="16">
        <v>3358</v>
      </c>
      <c r="Y363" s="16">
        <v>1342</v>
      </c>
    </row>
    <row r="364" spans="2:25" x14ac:dyDescent="0.2">
      <c r="J364" s="2" t="s">
        <v>75</v>
      </c>
      <c r="K364" s="2" t="s">
        <v>58</v>
      </c>
      <c r="L364" s="5">
        <v>0.748768091201782</v>
      </c>
      <c r="M364" s="5">
        <v>-4.9761649221181897E-2</v>
      </c>
      <c r="N364" s="5">
        <v>0.91330713033676203</v>
      </c>
      <c r="O364" s="5">
        <f>EXP(M364)</f>
        <v>0.95145617779721736</v>
      </c>
      <c r="Q364" s="16" t="s">
        <v>58</v>
      </c>
      <c r="R364" s="16" t="s">
        <v>1032</v>
      </c>
      <c r="S364" s="17">
        <v>9.1293012139999994E-42</v>
      </c>
      <c r="T364" s="16">
        <v>0.46428599999999998</v>
      </c>
      <c r="U364" s="16" t="s">
        <v>942</v>
      </c>
      <c r="V364" s="16">
        <v>0.98958333333333304</v>
      </c>
      <c r="W364" s="16" t="s">
        <v>1035</v>
      </c>
      <c r="X364" s="16">
        <v>3358</v>
      </c>
      <c r="Y364" s="16">
        <v>431</v>
      </c>
    </row>
    <row r="365" spans="2:25" x14ac:dyDescent="0.2">
      <c r="J365" s="2" t="s">
        <v>75</v>
      </c>
      <c r="K365" s="2" t="s">
        <v>220</v>
      </c>
      <c r="L365" s="5">
        <v>0.77601003646850597</v>
      </c>
      <c r="M365" s="5">
        <v>-1.6864662170410201</v>
      </c>
      <c r="N365" s="5">
        <v>0.87807464599609397</v>
      </c>
      <c r="O365" s="5">
        <f>EXP(M365)</f>
        <v>0.18517272940580465</v>
      </c>
      <c r="Q365" s="16" t="s">
        <v>220</v>
      </c>
      <c r="R365" s="16" t="s">
        <v>1032</v>
      </c>
      <c r="S365" s="17">
        <v>2.9192760787400002E-16</v>
      </c>
      <c r="T365" s="16">
        <v>0.4375</v>
      </c>
      <c r="U365" s="16" t="s">
        <v>942</v>
      </c>
      <c r="V365" s="16">
        <v>0.98958333333333304</v>
      </c>
      <c r="W365" s="16" t="s">
        <v>1035</v>
      </c>
      <c r="X365" s="16">
        <v>3358</v>
      </c>
      <c r="Y365" s="16">
        <v>793</v>
      </c>
    </row>
    <row r="366" spans="2:25" x14ac:dyDescent="0.2">
      <c r="J366" s="2" t="s">
        <v>75</v>
      </c>
      <c r="K366" s="2" t="s">
        <v>181</v>
      </c>
      <c r="L366" s="5">
        <v>0.75108337402343806</v>
      </c>
      <c r="M366" s="5">
        <v>0.42042550444603</v>
      </c>
      <c r="N366" s="5">
        <v>0.69365364313125599</v>
      </c>
      <c r="O366" s="5">
        <f>EXP(M366)</f>
        <v>1.5226092948254195</v>
      </c>
      <c r="Q366" s="16" t="s">
        <v>181</v>
      </c>
      <c r="R366" s="16" t="s">
        <v>1032</v>
      </c>
      <c r="S366" s="17">
        <v>1.0149871873699999E-15</v>
      </c>
      <c r="T366" s="16">
        <v>0.51063800000000004</v>
      </c>
      <c r="U366" s="16" t="s">
        <v>942</v>
      </c>
      <c r="V366" s="16">
        <v>0.92068683565004095</v>
      </c>
      <c r="W366" s="16" t="s">
        <v>1033</v>
      </c>
      <c r="X366" s="16">
        <v>3358</v>
      </c>
      <c r="Y366" s="16">
        <v>281</v>
      </c>
    </row>
    <row r="367" spans="2:25" x14ac:dyDescent="0.2">
      <c r="J367" s="2" t="s">
        <v>75</v>
      </c>
      <c r="K367" s="2" t="s">
        <v>69</v>
      </c>
      <c r="L367" s="5">
        <v>0.77110135555267301</v>
      </c>
      <c r="M367" s="5">
        <v>1.9862796068191499</v>
      </c>
      <c r="N367" s="5">
        <v>0.44699057936668402</v>
      </c>
      <c r="O367" s="5">
        <f>EXP(M367)</f>
        <v>7.288367666000279</v>
      </c>
      <c r="Q367" s="16" t="s">
        <v>69</v>
      </c>
      <c r="R367" s="16" t="s">
        <v>1032</v>
      </c>
      <c r="S367" s="17">
        <v>5.7798610342300002E-10</v>
      </c>
      <c r="T367" s="16">
        <v>0.64646499999999996</v>
      </c>
      <c r="U367" s="16" t="s">
        <v>942</v>
      </c>
      <c r="V367" s="16">
        <v>0.92068683565004095</v>
      </c>
      <c r="W367" s="16" t="s">
        <v>1033</v>
      </c>
      <c r="X367" s="16">
        <v>3358</v>
      </c>
      <c r="Y367" s="16">
        <v>1728</v>
      </c>
    </row>
    <row r="368" spans="2:25" x14ac:dyDescent="0.2">
      <c r="J368" s="2" t="s">
        <v>75</v>
      </c>
      <c r="K368" s="2" t="s">
        <v>129</v>
      </c>
      <c r="L368" s="5">
        <v>0.74192094802856501</v>
      </c>
      <c r="M368" s="5">
        <v>0.98689436912536599</v>
      </c>
      <c r="N368" s="5">
        <v>0.62633025646209695</v>
      </c>
      <c r="O368" s="5">
        <f>EXP(M368)</f>
        <v>2.6828894564578216</v>
      </c>
      <c r="Q368" s="16" t="s">
        <v>129</v>
      </c>
      <c r="R368" s="16" t="s">
        <v>1032</v>
      </c>
      <c r="S368" s="17">
        <v>6.4484983879499997E-28</v>
      </c>
      <c r="T368" s="16">
        <v>0.61745000000000005</v>
      </c>
      <c r="U368" s="16" t="s">
        <v>942</v>
      </c>
      <c r="V368" s="16">
        <v>0.92068683565004095</v>
      </c>
      <c r="W368" s="16" t="s">
        <v>1033</v>
      </c>
      <c r="X368" s="16">
        <v>3358</v>
      </c>
      <c r="Y368" s="16">
        <v>761</v>
      </c>
    </row>
    <row r="369" spans="2:25" x14ac:dyDescent="0.2">
      <c r="B369" s="21" t="s">
        <v>75</v>
      </c>
      <c r="C369" s="21" t="s">
        <v>224</v>
      </c>
      <c r="D369" s="22">
        <v>0.828097283840179</v>
      </c>
      <c r="E369" s="22">
        <v>-0.52626156806945801</v>
      </c>
      <c r="F369" s="22">
        <v>0.85743087530136097</v>
      </c>
      <c r="G369" s="21" t="s">
        <v>1113</v>
      </c>
      <c r="H369" s="22">
        <f>POWER(10,E369)</f>
        <v>0.29767230605120548</v>
      </c>
      <c r="J369" s="2" t="s">
        <v>75</v>
      </c>
      <c r="K369" s="2" t="s">
        <v>224</v>
      </c>
      <c r="L369" s="5">
        <v>0.769703328609467</v>
      </c>
      <c r="M369" s="5">
        <v>-0.52476263046264704</v>
      </c>
      <c r="N369" s="5">
        <v>0.84785169363021895</v>
      </c>
      <c r="O369" s="5">
        <f>EXP(M369)</f>
        <v>0.59169579825667784</v>
      </c>
      <c r="Q369" s="16" t="s">
        <v>224</v>
      </c>
      <c r="R369" s="16" t="s">
        <v>1032</v>
      </c>
      <c r="S369" s="17">
        <v>5.7798610342300002E-10</v>
      </c>
      <c r="T369" s="16">
        <v>0.47916700000000001</v>
      </c>
      <c r="U369" s="16" t="s">
        <v>942</v>
      </c>
      <c r="V369" s="16">
        <v>0.88973384030418201</v>
      </c>
      <c r="W369" s="16" t="s">
        <v>1034</v>
      </c>
      <c r="X369" s="16">
        <v>3358</v>
      </c>
      <c r="Y369" s="16">
        <v>1070</v>
      </c>
    </row>
    <row r="370" spans="2:25" x14ac:dyDescent="0.2">
      <c r="J370" s="2" t="s">
        <v>75</v>
      </c>
      <c r="K370" s="2" t="s">
        <v>193</v>
      </c>
      <c r="L370" s="5">
        <v>0.77477318048477195</v>
      </c>
      <c r="M370" s="5">
        <v>2.1673436164856001</v>
      </c>
      <c r="N370" s="5">
        <v>0.90504646301269498</v>
      </c>
      <c r="O370" s="5">
        <f>EXP(M370)</f>
        <v>8.7350495529183885</v>
      </c>
      <c r="Q370" s="16" t="s">
        <v>193</v>
      </c>
      <c r="R370" s="16" t="s">
        <v>1032</v>
      </c>
      <c r="S370" s="17">
        <v>2.3118850631900001E-17</v>
      </c>
      <c r="T370" s="16">
        <v>0.640625</v>
      </c>
      <c r="U370" s="16" t="s">
        <v>942</v>
      </c>
      <c r="V370" s="16">
        <v>0.92068683565004095</v>
      </c>
      <c r="W370" s="16" t="s">
        <v>1033</v>
      </c>
      <c r="X370" s="16">
        <v>3358</v>
      </c>
      <c r="Y370" s="16">
        <v>1202</v>
      </c>
    </row>
    <row r="371" spans="2:25" x14ac:dyDescent="0.2">
      <c r="J371" s="2" t="s">
        <v>75</v>
      </c>
      <c r="K371" s="2" t="s">
        <v>10</v>
      </c>
      <c r="L371" s="5">
        <v>0.77117937803268399</v>
      </c>
      <c r="M371" s="5">
        <v>-0.194167405366898</v>
      </c>
      <c r="N371" s="5">
        <v>0.81555634737014804</v>
      </c>
      <c r="O371" s="5">
        <f>EXP(M371)</f>
        <v>0.82352003105559424</v>
      </c>
      <c r="Q371" s="16" t="s">
        <v>10</v>
      </c>
      <c r="R371" s="16" t="s">
        <v>1032</v>
      </c>
      <c r="S371" s="17">
        <v>4.4215936911800001E-8</v>
      </c>
      <c r="T371" s="16">
        <v>0.58499999999999996</v>
      </c>
      <c r="U371" s="16" t="s">
        <v>942</v>
      </c>
      <c r="V371" s="16">
        <v>0.92068683565004095</v>
      </c>
      <c r="W371" s="16" t="s">
        <v>1033</v>
      </c>
      <c r="X371" s="16">
        <v>3358</v>
      </c>
      <c r="Y371" s="16">
        <v>1230</v>
      </c>
    </row>
    <row r="372" spans="2:25" x14ac:dyDescent="0.2">
      <c r="J372" s="2" t="s">
        <v>75</v>
      </c>
      <c r="K372" s="2" t="s">
        <v>73</v>
      </c>
      <c r="L372" s="5">
        <v>0.77810496091842696</v>
      </c>
      <c r="M372" s="5">
        <v>0.80557113885879505</v>
      </c>
      <c r="N372" s="5">
        <v>0.71796435117721602</v>
      </c>
      <c r="O372" s="5">
        <f>EXP(M372)</f>
        <v>2.2379743279800022</v>
      </c>
      <c r="Q372" s="16" t="s">
        <v>73</v>
      </c>
      <c r="R372" s="16" t="s">
        <v>1032</v>
      </c>
      <c r="S372" s="17">
        <v>6.4263614005200002E-40</v>
      </c>
      <c r="T372" s="16">
        <v>0.70491800000000004</v>
      </c>
      <c r="U372" s="16" t="s">
        <v>942</v>
      </c>
      <c r="V372" s="16">
        <v>0.92068683565004095</v>
      </c>
      <c r="W372" s="16" t="s">
        <v>1033</v>
      </c>
      <c r="X372" s="16">
        <v>3358</v>
      </c>
      <c r="Y372" s="16">
        <v>483</v>
      </c>
    </row>
    <row r="373" spans="2:25" x14ac:dyDescent="0.2">
      <c r="J373" s="2" t="s">
        <v>75</v>
      </c>
      <c r="K373" s="2" t="s">
        <v>223</v>
      </c>
      <c r="L373" s="5">
        <v>0.77600491046905495</v>
      </c>
      <c r="M373" s="5">
        <v>0.74981206655502297</v>
      </c>
      <c r="N373" s="5">
        <v>0.60955286026000999</v>
      </c>
      <c r="O373" s="5">
        <f>EXP(M373)</f>
        <v>2.1166021988893347</v>
      </c>
      <c r="Q373" s="16" t="s">
        <v>223</v>
      </c>
      <c r="R373" s="16" t="s">
        <v>1032</v>
      </c>
      <c r="S373" s="17">
        <v>7.0803297669300003E-9</v>
      </c>
      <c r="T373" s="16">
        <v>0.56074800000000002</v>
      </c>
      <c r="U373" s="16" t="s">
        <v>942</v>
      </c>
      <c r="V373" s="16">
        <v>0.98958333333333304</v>
      </c>
      <c r="W373" s="16" t="s">
        <v>1035</v>
      </c>
      <c r="X373" s="16">
        <v>3358</v>
      </c>
      <c r="Y373" s="16">
        <v>1825</v>
      </c>
    </row>
    <row r="374" spans="2:25" x14ac:dyDescent="0.2">
      <c r="J374" s="2" t="s">
        <v>75</v>
      </c>
      <c r="K374" s="2" t="s">
        <v>230</v>
      </c>
      <c r="L374" s="5">
        <v>0.78253614902496305</v>
      </c>
      <c r="M374" s="5">
        <v>0.847939252853394</v>
      </c>
      <c r="N374" s="5">
        <v>0.54190438985824596</v>
      </c>
      <c r="O374" s="5">
        <f>EXP(M374)</f>
        <v>2.3348303958054175</v>
      </c>
      <c r="Q374" s="16" t="s">
        <v>230</v>
      </c>
      <c r="R374" s="16" t="s">
        <v>1032</v>
      </c>
      <c r="S374" s="17">
        <v>7.3421574717799998E-6</v>
      </c>
      <c r="T374" s="16">
        <v>0.69032300000000002</v>
      </c>
      <c r="U374" s="16" t="s">
        <v>942</v>
      </c>
      <c r="V374" s="16">
        <v>0.92068683565004095</v>
      </c>
      <c r="W374" s="16" t="s">
        <v>1033</v>
      </c>
      <c r="X374" s="16">
        <v>3358</v>
      </c>
      <c r="Y374" s="16">
        <v>2169</v>
      </c>
    </row>
    <row r="375" spans="2:25" x14ac:dyDescent="0.2">
      <c r="J375" s="2" t="s">
        <v>75</v>
      </c>
      <c r="K375" s="2" t="s">
        <v>126</v>
      </c>
      <c r="L375" s="5">
        <v>0.756527900695801</v>
      </c>
      <c r="M375" s="5">
        <v>2.3050320148468</v>
      </c>
      <c r="N375" s="5">
        <v>0.45084911584854098</v>
      </c>
      <c r="O375" s="5">
        <f>EXP(M375)</f>
        <v>10.024499180093196</v>
      </c>
      <c r="Q375" s="16" t="s">
        <v>126</v>
      </c>
      <c r="R375" s="16" t="s">
        <v>1032</v>
      </c>
      <c r="S375" s="17">
        <v>1.6328107421700002E-8</v>
      </c>
      <c r="T375" s="16">
        <v>0.491228</v>
      </c>
      <c r="U375" s="16" t="s">
        <v>942</v>
      </c>
      <c r="V375" s="16">
        <v>0.92068683565004095</v>
      </c>
      <c r="W375" s="16" t="s">
        <v>1033</v>
      </c>
      <c r="X375" s="16">
        <v>3358</v>
      </c>
      <c r="Y375" s="16">
        <v>1861</v>
      </c>
    </row>
    <row r="376" spans="2:25" x14ac:dyDescent="0.2">
      <c r="J376" s="2" t="s">
        <v>75</v>
      </c>
      <c r="K376" s="2" t="s">
        <v>138</v>
      </c>
      <c r="L376" s="5">
        <v>0.78526508808135997</v>
      </c>
      <c r="M376" s="5">
        <v>1.0608731508255</v>
      </c>
      <c r="N376" s="5">
        <v>0.54256457090377797</v>
      </c>
      <c r="O376" s="5">
        <f>EXP(M376)</f>
        <v>2.8888923270738429</v>
      </c>
      <c r="Q376" s="16" t="s">
        <v>138</v>
      </c>
      <c r="R376" s="16" t="s">
        <v>1032</v>
      </c>
      <c r="S376" s="17">
        <v>7.8732382815099905E-14</v>
      </c>
      <c r="T376" s="16">
        <v>0.68817200000000001</v>
      </c>
      <c r="U376" s="16" t="s">
        <v>942</v>
      </c>
      <c r="V376" s="16">
        <v>0.92068683565004095</v>
      </c>
      <c r="W376" s="16" t="s">
        <v>1033</v>
      </c>
      <c r="X376" s="16">
        <v>3358</v>
      </c>
      <c r="Y376" s="16">
        <v>1413</v>
      </c>
    </row>
    <row r="377" spans="2:25" x14ac:dyDescent="0.2">
      <c r="J377" s="2" t="s">
        <v>75</v>
      </c>
      <c r="K377" s="2" t="s">
        <v>49</v>
      </c>
      <c r="L377" s="5">
        <v>0.78082031011581399</v>
      </c>
      <c r="M377" s="5">
        <v>1.0409809350967401</v>
      </c>
      <c r="N377" s="5">
        <v>0.85880845785141002</v>
      </c>
      <c r="O377" s="5">
        <f>EXP(M377)</f>
        <v>2.8319936542463449</v>
      </c>
      <c r="Q377" s="16" t="s">
        <v>49</v>
      </c>
      <c r="R377" s="16" t="s">
        <v>1032</v>
      </c>
      <c r="S377" s="17">
        <v>1.22514864777999E-33</v>
      </c>
      <c r="T377" s="16">
        <v>0.64705900000000005</v>
      </c>
      <c r="U377" s="16" t="s">
        <v>942</v>
      </c>
      <c r="V377" s="16">
        <v>0.92068683565004095</v>
      </c>
      <c r="W377" s="16" t="s">
        <v>1033</v>
      </c>
      <c r="X377" s="16">
        <v>3358</v>
      </c>
      <c r="Y377" s="16">
        <v>637</v>
      </c>
    </row>
    <row r="378" spans="2:25" x14ac:dyDescent="0.2">
      <c r="J378" s="2" t="s">
        <v>75</v>
      </c>
      <c r="K378" s="2" t="s">
        <v>70</v>
      </c>
      <c r="L378" s="5">
        <v>0.77580451965331998</v>
      </c>
      <c r="M378" s="5">
        <v>2.9858536720275901</v>
      </c>
      <c r="N378" s="5">
        <v>0.44820952415466297</v>
      </c>
      <c r="O378" s="5">
        <f>EXP(M378)</f>
        <v>19.803400631670829</v>
      </c>
      <c r="Q378" s="16" t="s">
        <v>70</v>
      </c>
      <c r="R378" s="16" t="s">
        <v>1032</v>
      </c>
      <c r="S378" s="17">
        <v>5.7798610342300002E-10</v>
      </c>
      <c r="T378" s="16">
        <v>0.64646499999999996</v>
      </c>
      <c r="U378" s="16" t="s">
        <v>942</v>
      </c>
      <c r="V378" s="16">
        <v>0.92068683565004095</v>
      </c>
      <c r="W378" s="16" t="s">
        <v>1033</v>
      </c>
      <c r="X378" s="16">
        <v>3358</v>
      </c>
      <c r="Y378" s="16">
        <v>1732</v>
      </c>
    </row>
    <row r="379" spans="2:25" x14ac:dyDescent="0.2">
      <c r="J379" s="2" t="s">
        <v>75</v>
      </c>
      <c r="K379" s="2" t="s">
        <v>12</v>
      </c>
      <c r="L379" s="5">
        <v>0.75476741790771495</v>
      </c>
      <c r="M379" s="5">
        <v>0.22769486904144301</v>
      </c>
      <c r="N379" s="5">
        <v>0.86367851495742798</v>
      </c>
      <c r="O379" s="5">
        <f>EXP(M379)</f>
        <v>1.2557021133808692</v>
      </c>
      <c r="Q379" s="16" t="s">
        <v>12</v>
      </c>
      <c r="R379" s="16" t="s">
        <v>1032</v>
      </c>
      <c r="S379" s="17">
        <v>3.81037338681E-6</v>
      </c>
      <c r="T379" s="16">
        <v>0.55772600000000006</v>
      </c>
      <c r="U379" s="16" t="s">
        <v>942</v>
      </c>
      <c r="V379" s="16">
        <v>0.98958333333333304</v>
      </c>
      <c r="W379" s="16" t="s">
        <v>1035</v>
      </c>
      <c r="X379" s="16">
        <v>3358</v>
      </c>
      <c r="Y379" s="16">
        <v>2131</v>
      </c>
    </row>
    <row r="380" spans="2:25" x14ac:dyDescent="0.2">
      <c r="J380" s="2" t="s">
        <v>75</v>
      </c>
      <c r="K380" s="2" t="s">
        <v>13</v>
      </c>
      <c r="L380" s="5">
        <v>0.72701984643936202</v>
      </c>
      <c r="M380" s="5">
        <v>-1.2378545999527</v>
      </c>
      <c r="N380" s="5">
        <v>0.80068945884704601</v>
      </c>
      <c r="O380" s="5">
        <f>EXP(M380)</f>
        <v>0.29000572931078011</v>
      </c>
      <c r="Q380" s="16" t="s">
        <v>13</v>
      </c>
      <c r="R380" s="16" t="s">
        <v>1032</v>
      </c>
      <c r="S380" s="17">
        <v>6.3208276199800001E-12</v>
      </c>
      <c r="T380" s="16">
        <v>0.580762</v>
      </c>
      <c r="U380" s="16" t="s">
        <v>942</v>
      </c>
      <c r="V380" s="16">
        <v>0.98958333333333304</v>
      </c>
      <c r="W380" s="16" t="s">
        <v>1035</v>
      </c>
      <c r="X380" s="16">
        <v>3358</v>
      </c>
      <c r="Y380" s="16">
        <v>1579</v>
      </c>
    </row>
    <row r="381" spans="2:25" x14ac:dyDescent="0.2">
      <c r="J381" s="2" t="s">
        <v>75</v>
      </c>
      <c r="K381" s="2" t="s">
        <v>131</v>
      </c>
      <c r="L381" s="5">
        <v>0.76696598529815696</v>
      </c>
      <c r="M381" s="5">
        <v>0.30068928003311202</v>
      </c>
      <c r="N381" s="5">
        <v>0.65103179216384899</v>
      </c>
      <c r="O381" s="5">
        <f>EXP(M381)</f>
        <v>1.3507895590369341</v>
      </c>
      <c r="Q381" s="16" t="s">
        <v>131</v>
      </c>
      <c r="R381" s="16" t="s">
        <v>1032</v>
      </c>
      <c r="S381" s="17">
        <v>7.2430732983700003E-17</v>
      </c>
      <c r="T381" s="16">
        <v>0.59574499999999997</v>
      </c>
      <c r="U381" s="16" t="s">
        <v>942</v>
      </c>
      <c r="V381" s="16">
        <v>0.92068683565004095</v>
      </c>
      <c r="W381" s="16" t="s">
        <v>1033</v>
      </c>
      <c r="X381" s="16">
        <v>3358</v>
      </c>
      <c r="Y381" s="16">
        <v>1231</v>
      </c>
    </row>
    <row r="382" spans="2:25" x14ac:dyDescent="0.2">
      <c r="B382" s="21" t="s">
        <v>75</v>
      </c>
      <c r="C382" s="21" t="s">
        <v>127</v>
      </c>
      <c r="D382" s="22">
        <v>0.85503262281417902</v>
      </c>
      <c r="E382" s="22">
        <v>-0.48533380031585699</v>
      </c>
      <c r="F382" s="22">
        <v>0.93848943710327204</v>
      </c>
      <c r="G382" s="21" t="s">
        <v>1113</v>
      </c>
      <c r="H382" s="22">
        <f>POWER(10,E382)</f>
        <v>0.32708919629581573</v>
      </c>
      <c r="J382" s="2" t="s">
        <v>75</v>
      </c>
      <c r="K382" s="2" t="s">
        <v>127</v>
      </c>
      <c r="L382" s="5">
        <v>0.77808606624603305</v>
      </c>
      <c r="M382" s="5">
        <v>-0.59731161594390902</v>
      </c>
      <c r="N382" s="5">
        <v>0.92776250839233398</v>
      </c>
      <c r="O382" s="5">
        <f>EXP(M382)</f>
        <v>0.55028903756776681</v>
      </c>
      <c r="Q382" s="16" t="s">
        <v>127</v>
      </c>
      <c r="R382" s="16" t="s">
        <v>1032</v>
      </c>
      <c r="S382" s="17">
        <v>8.62644259358E-7</v>
      </c>
      <c r="T382" s="16">
        <v>0.62890599999999997</v>
      </c>
      <c r="U382" s="16" t="s">
        <v>942</v>
      </c>
      <c r="V382" s="16">
        <v>0.88973384030418201</v>
      </c>
      <c r="W382" s="16" t="s">
        <v>1034</v>
      </c>
      <c r="X382" s="16">
        <v>3358</v>
      </c>
      <c r="Y382" s="16">
        <v>2042</v>
      </c>
    </row>
    <row r="383" spans="2:25" x14ac:dyDescent="0.2">
      <c r="J383" s="2" t="s">
        <v>75</v>
      </c>
      <c r="K383" s="2" t="s">
        <v>130</v>
      </c>
      <c r="L383" s="5">
        <v>0.76353579759597801</v>
      </c>
      <c r="M383" s="5">
        <v>2.37388372421265</v>
      </c>
      <c r="N383" s="5">
        <v>0.93244636058807395</v>
      </c>
      <c r="O383" s="5">
        <f>EXP(M383)</f>
        <v>10.739018786141862</v>
      </c>
      <c r="Q383" s="16" t="s">
        <v>130</v>
      </c>
      <c r="R383" s="16" t="s">
        <v>1032</v>
      </c>
      <c r="S383" s="17">
        <v>3.9817462664800003E-6</v>
      </c>
      <c r="T383" s="16">
        <v>0.58620700000000003</v>
      </c>
      <c r="U383" s="16" t="s">
        <v>942</v>
      </c>
      <c r="V383" s="16">
        <v>0.92068683565004095</v>
      </c>
      <c r="W383" s="16" t="s">
        <v>1033</v>
      </c>
      <c r="X383" s="16">
        <v>3358</v>
      </c>
      <c r="Y383" s="16">
        <v>2133</v>
      </c>
    </row>
    <row r="384" spans="2:25" x14ac:dyDescent="0.2">
      <c r="B384" s="21" t="s">
        <v>76</v>
      </c>
      <c r="C384" s="21" t="s">
        <v>264</v>
      </c>
      <c r="D384" s="22">
        <v>0.71077162027358998</v>
      </c>
      <c r="E384" s="22">
        <v>0.72331792116165206</v>
      </c>
      <c r="F384" s="22">
        <v>0.20145455002784701</v>
      </c>
      <c r="G384" s="21" t="s">
        <v>1113</v>
      </c>
      <c r="H384" s="22">
        <f>POWER(10,E384)</f>
        <v>5.2883223674313902</v>
      </c>
      <c r="J384" s="2" t="s">
        <v>76</v>
      </c>
      <c r="K384" s="2" t="s">
        <v>264</v>
      </c>
      <c r="L384" s="5">
        <v>0.81005555391311701</v>
      </c>
      <c r="M384" s="5">
        <v>-0.63720124959945701</v>
      </c>
      <c r="N384" s="5">
        <v>0.84001833200454701</v>
      </c>
      <c r="O384" s="5">
        <f>EXP(M384)</f>
        <v>0.52877025099577835</v>
      </c>
      <c r="Q384" s="16" t="s">
        <v>264</v>
      </c>
      <c r="R384" s="16" t="s">
        <v>1036</v>
      </c>
      <c r="S384" s="17">
        <v>5.0796698070400002E-26</v>
      </c>
      <c r="T384" s="16">
        <v>0.5</v>
      </c>
      <c r="U384" s="16" t="s">
        <v>942</v>
      </c>
      <c r="V384" s="16">
        <v>0.84771573604060901</v>
      </c>
      <c r="W384" s="16" t="s">
        <v>1037</v>
      </c>
      <c r="X384" s="16">
        <v>3359</v>
      </c>
      <c r="Y384" s="16">
        <v>832</v>
      </c>
    </row>
    <row r="385" spans="2:25" x14ac:dyDescent="0.2">
      <c r="B385" s="21"/>
      <c r="C385" s="21"/>
      <c r="D385" s="22"/>
      <c r="E385" s="22"/>
      <c r="F385" s="22"/>
      <c r="G385" s="21"/>
      <c r="H385" s="22"/>
      <c r="J385" s="2" t="s">
        <v>76</v>
      </c>
      <c r="K385" s="2" t="s">
        <v>262</v>
      </c>
      <c r="L385" s="5">
        <v>0.83240097761154197</v>
      </c>
      <c r="M385" s="5">
        <v>-1.312504529953</v>
      </c>
      <c r="N385" s="5">
        <v>0.66172206401824996</v>
      </c>
      <c r="O385" s="5">
        <f>EXP(M385)</f>
        <v>0.26914512951163549</v>
      </c>
      <c r="Q385" s="16" t="s">
        <v>262</v>
      </c>
      <c r="R385" s="16" t="s">
        <v>1036</v>
      </c>
      <c r="S385" s="17">
        <v>1.4449652585599999E-10</v>
      </c>
      <c r="T385" s="16">
        <v>0.56060600000000005</v>
      </c>
      <c r="U385" s="16" t="s">
        <v>942</v>
      </c>
      <c r="V385" s="16">
        <v>0.92514395393474103</v>
      </c>
      <c r="W385" s="16" t="s">
        <v>1038</v>
      </c>
      <c r="X385" s="16">
        <v>3359</v>
      </c>
      <c r="Y385" s="16">
        <v>1662</v>
      </c>
    </row>
    <row r="386" spans="2:25" x14ac:dyDescent="0.2">
      <c r="B386" s="21"/>
      <c r="C386" s="21"/>
      <c r="D386" s="22"/>
      <c r="E386" s="22"/>
      <c r="F386" s="22"/>
      <c r="G386" s="21"/>
      <c r="H386" s="22"/>
      <c r="J386" s="2" t="s">
        <v>76</v>
      </c>
      <c r="K386" s="2" t="s">
        <v>249</v>
      </c>
      <c r="L386" s="5">
        <v>0.80729800462722801</v>
      </c>
      <c r="M386" s="5">
        <v>-0.33205279707908603</v>
      </c>
      <c r="N386" s="5">
        <v>0.54227644205093395</v>
      </c>
      <c r="O386" s="5">
        <f>EXP(M386)</f>
        <v>0.71744944261950705</v>
      </c>
      <c r="Q386" s="16" t="s">
        <v>249</v>
      </c>
      <c r="R386" s="16" t="s">
        <v>1036</v>
      </c>
      <c r="S386" s="17">
        <v>1.46130501802E-13</v>
      </c>
      <c r="T386" s="16">
        <v>0.55369100000000004</v>
      </c>
      <c r="U386" s="16" t="s">
        <v>942</v>
      </c>
      <c r="V386" s="16">
        <v>1</v>
      </c>
      <c r="W386" s="16" t="s">
        <v>1039</v>
      </c>
      <c r="X386" s="16">
        <v>3359</v>
      </c>
      <c r="Y386" s="16">
        <v>571</v>
      </c>
    </row>
    <row r="387" spans="2:25" x14ac:dyDescent="0.2">
      <c r="B387" s="21" t="s">
        <v>76</v>
      </c>
      <c r="C387" s="21" t="s">
        <v>256</v>
      </c>
      <c r="D387" s="22">
        <v>0.71963995695114102</v>
      </c>
      <c r="E387" s="22">
        <v>0.56262511014938399</v>
      </c>
      <c r="F387" s="22">
        <v>0.25219902396202099</v>
      </c>
      <c r="G387" s="21" t="s">
        <v>1113</v>
      </c>
      <c r="H387" s="22">
        <f>POWER(10,E387)</f>
        <v>3.6527934059009319</v>
      </c>
      <c r="J387" s="2" t="s">
        <v>76</v>
      </c>
      <c r="K387" s="2" t="s">
        <v>256</v>
      </c>
      <c r="L387" s="5">
        <v>0.817146897315979</v>
      </c>
      <c r="M387" s="5">
        <v>1.65336978435516</v>
      </c>
      <c r="N387" s="5">
        <v>0.217501655220985</v>
      </c>
      <c r="O387" s="5">
        <f>EXP(M387)</f>
        <v>5.2245558233656624</v>
      </c>
      <c r="Q387" s="16" t="s">
        <v>256</v>
      </c>
      <c r="R387" s="16" t="s">
        <v>1036</v>
      </c>
      <c r="S387" s="17">
        <v>2.0633118902099999E-12</v>
      </c>
      <c r="T387" s="16">
        <v>0.48571399999999998</v>
      </c>
      <c r="U387" s="16" t="s">
        <v>942</v>
      </c>
      <c r="V387" s="16">
        <v>0.84771573604060901</v>
      </c>
      <c r="W387" s="16" t="s">
        <v>1037</v>
      </c>
      <c r="X387" s="16">
        <v>3359</v>
      </c>
      <c r="Y387" s="16">
        <v>1528</v>
      </c>
    </row>
    <row r="388" spans="2:25" x14ac:dyDescent="0.2">
      <c r="B388" s="21" t="s">
        <v>76</v>
      </c>
      <c r="C388" s="21" t="s">
        <v>246</v>
      </c>
      <c r="D388" s="22">
        <v>0.744140625</v>
      </c>
      <c r="E388" s="22">
        <v>-0.39750078320503202</v>
      </c>
      <c r="F388" s="22">
        <v>0.60314714908599898</v>
      </c>
      <c r="G388" s="21" t="s">
        <v>1113</v>
      </c>
      <c r="H388" s="22">
        <f>POWER(10,E388)</f>
        <v>0.40040474624148475</v>
      </c>
      <c r="J388" s="2" t="s">
        <v>76</v>
      </c>
      <c r="K388" s="2" t="s">
        <v>246</v>
      </c>
      <c r="L388" s="5">
        <v>0.79037135839462302</v>
      </c>
      <c r="M388" s="5">
        <v>-0.42224520444870001</v>
      </c>
      <c r="N388" s="5">
        <v>0.69417363405227706</v>
      </c>
      <c r="O388" s="5">
        <f>EXP(M388)</f>
        <v>0.65557327020128453</v>
      </c>
      <c r="Q388" s="16" t="s">
        <v>246</v>
      </c>
      <c r="R388" s="16" t="s">
        <v>1036</v>
      </c>
      <c r="S388" s="17">
        <v>6.0006761935100003E-16</v>
      </c>
      <c r="T388" s="16">
        <v>0.63559299999999996</v>
      </c>
      <c r="U388" s="16" t="s">
        <v>942</v>
      </c>
      <c r="V388" s="16">
        <v>0.84771573604060901</v>
      </c>
      <c r="W388" s="16" t="s">
        <v>1037</v>
      </c>
      <c r="X388" s="16">
        <v>3359</v>
      </c>
      <c r="Y388" s="16">
        <v>304</v>
      </c>
    </row>
    <row r="389" spans="2:25" x14ac:dyDescent="0.2">
      <c r="B389" s="21" t="s">
        <v>76</v>
      </c>
      <c r="C389" s="21" t="s">
        <v>263</v>
      </c>
      <c r="D389" s="22">
        <v>0.71153467893600497</v>
      </c>
      <c r="E389" s="22">
        <v>-0.37564051151275601</v>
      </c>
      <c r="F389" s="22">
        <v>0.59984618425369296</v>
      </c>
      <c r="G389" s="21" t="s">
        <v>1113</v>
      </c>
      <c r="H389" s="22">
        <f>POWER(10,E389)</f>
        <v>0.42107503021792514</v>
      </c>
      <c r="J389" s="2" t="s">
        <v>76</v>
      </c>
      <c r="K389" s="2" t="s">
        <v>263</v>
      </c>
      <c r="L389" s="5">
        <v>0.81178992986679099</v>
      </c>
      <c r="M389" s="5">
        <v>-0.40546441078186002</v>
      </c>
      <c r="N389" s="5">
        <v>0.48521563410759</v>
      </c>
      <c r="O389" s="5">
        <f>EXP(M389)</f>
        <v>0.66666713155103163</v>
      </c>
      <c r="Q389" s="16" t="s">
        <v>263</v>
      </c>
      <c r="R389" s="16" t="s">
        <v>1036</v>
      </c>
      <c r="S389" s="17">
        <v>1.7468299976E-16</v>
      </c>
      <c r="T389" s="16">
        <v>0.41176499999999999</v>
      </c>
      <c r="U389" s="16" t="s">
        <v>942</v>
      </c>
      <c r="V389" s="16">
        <v>0.84771573604060901</v>
      </c>
      <c r="W389" s="16" t="s">
        <v>1037</v>
      </c>
      <c r="X389" s="16">
        <v>3359</v>
      </c>
      <c r="Y389" s="16">
        <v>1257</v>
      </c>
    </row>
    <row r="390" spans="2:25" x14ac:dyDescent="0.2">
      <c r="B390" s="21"/>
      <c r="C390" s="21"/>
      <c r="D390" s="22"/>
      <c r="E390" s="22"/>
      <c r="F390" s="22"/>
      <c r="G390" s="21"/>
      <c r="H390" s="22"/>
      <c r="J390" s="2" t="s">
        <v>76</v>
      </c>
      <c r="K390" s="2" t="s">
        <v>14</v>
      </c>
      <c r="L390" s="5">
        <v>0.826069176197052</v>
      </c>
      <c r="M390" s="5">
        <v>0.20415860414504999</v>
      </c>
      <c r="N390" s="5">
        <v>0.72853982448577903</v>
      </c>
      <c r="O390" s="5">
        <f>EXP(M390)</f>
        <v>1.2264926648511649</v>
      </c>
      <c r="Q390" s="16" t="s">
        <v>14</v>
      </c>
      <c r="R390" s="16" t="s">
        <v>1036</v>
      </c>
      <c r="S390" s="17">
        <v>7.2248262927799995E-10</v>
      </c>
      <c r="T390" s="16">
        <v>0.61224500000000004</v>
      </c>
      <c r="U390" s="16" t="s">
        <v>942</v>
      </c>
      <c r="V390" s="16">
        <v>0.92514395393474103</v>
      </c>
      <c r="W390" s="16" t="s">
        <v>1038</v>
      </c>
      <c r="X390" s="16">
        <v>3359</v>
      </c>
      <c r="Y390" s="16">
        <v>1739</v>
      </c>
    </row>
    <row r="391" spans="2:25" x14ac:dyDescent="0.2">
      <c r="B391" s="21" t="s">
        <v>265</v>
      </c>
      <c r="C391" s="21" t="s">
        <v>186</v>
      </c>
      <c r="D391" s="22">
        <v>0.80681794881820701</v>
      </c>
      <c r="E391" s="22">
        <v>1.3740479946136499</v>
      </c>
      <c r="F391" s="22">
        <v>0.107939645648003</v>
      </c>
      <c r="G391" s="21" t="s">
        <v>1113</v>
      </c>
      <c r="H391" s="22">
        <f>POWER(10,E391)</f>
        <v>23.66181173698671</v>
      </c>
      <c r="J391" s="2" t="s">
        <v>265</v>
      </c>
      <c r="K391" s="2" t="s">
        <v>186</v>
      </c>
      <c r="L391" s="5">
        <v>0.83015787601471003</v>
      </c>
      <c r="M391" s="5">
        <v>1.2260999679565401</v>
      </c>
      <c r="N391" s="5">
        <v>0.140013873577118</v>
      </c>
      <c r="O391" s="5">
        <f>EXP(M391)</f>
        <v>3.4079126165564211</v>
      </c>
      <c r="Q391" s="16" t="s">
        <v>186</v>
      </c>
      <c r="R391" s="16" t="s">
        <v>265</v>
      </c>
      <c r="S391" s="17">
        <v>5.49566774004E-30</v>
      </c>
      <c r="T391" s="16">
        <v>0.43037999999999998</v>
      </c>
      <c r="U391" s="16" t="s">
        <v>942</v>
      </c>
      <c r="V391" s="16">
        <v>0.164609053497942</v>
      </c>
      <c r="W391" s="16" t="s">
        <v>1045</v>
      </c>
      <c r="X391" s="16">
        <v>4886</v>
      </c>
      <c r="Y391" s="16">
        <v>721</v>
      </c>
    </row>
    <row r="392" spans="2:25" x14ac:dyDescent="0.2">
      <c r="B392" s="21" t="s">
        <v>265</v>
      </c>
      <c r="C392" s="21" t="s">
        <v>7</v>
      </c>
      <c r="D392" s="22">
        <v>0.80044394731521595</v>
      </c>
      <c r="E392" s="22">
        <v>-0.49869167804718001</v>
      </c>
      <c r="F392" s="22">
        <v>0.77122306823730502</v>
      </c>
      <c r="G392" s="21" t="s">
        <v>1113</v>
      </c>
      <c r="H392" s="22">
        <f>POWER(10,E392)</f>
        <v>0.31718184568849606</v>
      </c>
      <c r="J392" s="2" t="s">
        <v>265</v>
      </c>
      <c r="K392" s="2" t="s">
        <v>7</v>
      </c>
      <c r="L392" s="5">
        <v>0.83023959398269698</v>
      </c>
      <c r="M392" s="5">
        <v>-0.490990340709686</v>
      </c>
      <c r="N392" s="5">
        <v>0.725990891456604</v>
      </c>
      <c r="O392" s="5">
        <f>EXP(M392)</f>
        <v>0.61201998565151805</v>
      </c>
      <c r="Q392" s="16" t="s">
        <v>7</v>
      </c>
      <c r="R392" s="16" t="s">
        <v>265</v>
      </c>
      <c r="S392" s="17">
        <v>7.6932923840299993E-18</v>
      </c>
      <c r="T392" s="16">
        <v>0.58974400000000005</v>
      </c>
      <c r="U392" s="16" t="s">
        <v>942</v>
      </c>
      <c r="V392" s="16">
        <v>0.50617283950617298</v>
      </c>
      <c r="W392" s="16" t="s">
        <v>1045</v>
      </c>
      <c r="X392" s="16">
        <v>4886</v>
      </c>
      <c r="Y392" s="16">
        <v>1165</v>
      </c>
    </row>
    <row r="393" spans="2:25" x14ac:dyDescent="0.2">
      <c r="B393" s="21" t="s">
        <v>266</v>
      </c>
      <c r="C393" s="21" t="s">
        <v>127</v>
      </c>
      <c r="D393" s="22">
        <v>0.81832522153854403</v>
      </c>
      <c r="E393" s="22">
        <v>2.58389043807983</v>
      </c>
      <c r="F393" s="22">
        <v>4.0758099406957599E-2</v>
      </c>
      <c r="G393" s="21" t="s">
        <v>1113</v>
      </c>
      <c r="H393" s="22">
        <f>POWER(10,E393)</f>
        <v>383.61045770887364</v>
      </c>
      <c r="J393" s="2" t="s">
        <v>266</v>
      </c>
      <c r="K393" s="2" t="s">
        <v>127</v>
      </c>
      <c r="L393" s="5">
        <v>0.82633888721466098</v>
      </c>
      <c r="M393" s="5">
        <v>1.4796717166900599</v>
      </c>
      <c r="N393" s="5">
        <v>3.3774174749851199E-2</v>
      </c>
      <c r="O393" s="5">
        <f>EXP(M393)</f>
        <v>4.3915037868580642</v>
      </c>
      <c r="Q393" s="16" t="s">
        <v>127</v>
      </c>
      <c r="R393" s="16" t="s">
        <v>266</v>
      </c>
      <c r="S393" s="17">
        <v>2.02043738595999E-19</v>
      </c>
      <c r="T393" s="16">
        <v>0.53453499999999998</v>
      </c>
      <c r="U393" s="16" t="s">
        <v>942</v>
      </c>
      <c r="V393" s="16">
        <v>1</v>
      </c>
      <c r="W393" s="16" t="s">
        <v>1046</v>
      </c>
      <c r="X393" s="16">
        <v>4887</v>
      </c>
      <c r="Y393" s="16">
        <v>1073</v>
      </c>
    </row>
    <row r="394" spans="2:25" x14ac:dyDescent="0.2">
      <c r="B394" s="21" t="s">
        <v>267</v>
      </c>
      <c r="C394" s="21" t="s">
        <v>38</v>
      </c>
      <c r="D394" s="22">
        <v>0.88363945484161399</v>
      </c>
      <c r="E394" s="22">
        <v>0.80251729488372803</v>
      </c>
      <c r="F394" s="22">
        <v>0.45056241750717202</v>
      </c>
      <c r="G394" s="21" t="s">
        <v>1113</v>
      </c>
      <c r="H394" s="22">
        <f>POWER(10,E394)</f>
        <v>6.3462517311919466</v>
      </c>
      <c r="J394" s="2" t="s">
        <v>267</v>
      </c>
      <c r="K394" s="2" t="s">
        <v>38</v>
      </c>
      <c r="L394" s="5">
        <v>0.809661865234375</v>
      </c>
      <c r="M394" s="5">
        <v>0.45672631263732899</v>
      </c>
      <c r="N394" s="5">
        <v>0.45948025584220897</v>
      </c>
      <c r="O394" s="5">
        <f>EXP(M394)</f>
        <v>1.5788967010365602</v>
      </c>
      <c r="Q394" s="16" t="s">
        <v>38</v>
      </c>
      <c r="R394" s="16" t="s">
        <v>267</v>
      </c>
      <c r="S394" s="17">
        <v>1.5549993629999998E-5</v>
      </c>
      <c r="T394" s="16">
        <v>0.78294600000000003</v>
      </c>
      <c r="U394" s="16" t="s">
        <v>942</v>
      </c>
      <c r="V394" s="16">
        <v>0.38095238095238099</v>
      </c>
      <c r="W394" s="16" t="s">
        <v>1047</v>
      </c>
      <c r="X394" s="16">
        <v>8856</v>
      </c>
      <c r="Y394" s="16">
        <v>2209</v>
      </c>
    </row>
    <row r="395" spans="2:25" x14ac:dyDescent="0.2">
      <c r="B395" s="21" t="s">
        <v>267</v>
      </c>
      <c r="C395" s="21" t="s">
        <v>84</v>
      </c>
      <c r="D395" s="22">
        <v>0.89789736270904497</v>
      </c>
      <c r="E395" s="22">
        <v>0.83883011341095004</v>
      </c>
      <c r="F395" s="22">
        <v>0.54665732383728005</v>
      </c>
      <c r="G395" s="21" t="s">
        <v>1113</v>
      </c>
      <c r="H395" s="22">
        <f>POWER(10,E395)</f>
        <v>6.8996984979176821</v>
      </c>
      <c r="J395" s="2" t="s">
        <v>267</v>
      </c>
      <c r="K395" s="2" t="s">
        <v>84</v>
      </c>
      <c r="L395" s="5">
        <v>0.82721471786499001</v>
      </c>
      <c r="M395" s="5">
        <v>0.23147892951965299</v>
      </c>
      <c r="N395" s="5">
        <v>0.664603590965271</v>
      </c>
      <c r="O395" s="5">
        <f>EXP(M395)</f>
        <v>1.2604627677418327</v>
      </c>
      <c r="Q395" s="16" t="s">
        <v>84</v>
      </c>
      <c r="R395" s="16" t="s">
        <v>267</v>
      </c>
      <c r="S395" s="17">
        <v>5.6070431892999998E-5</v>
      </c>
      <c r="T395" s="16">
        <v>0.75939900000000005</v>
      </c>
      <c r="U395" s="16" t="s">
        <v>942</v>
      </c>
      <c r="V395" s="16">
        <v>0.38095238095238099</v>
      </c>
      <c r="W395" s="16" t="s">
        <v>1047</v>
      </c>
      <c r="X395" s="16">
        <v>8856</v>
      </c>
      <c r="Y395" s="16">
        <v>2270</v>
      </c>
    </row>
    <row r="396" spans="2:25" x14ac:dyDescent="0.2">
      <c r="B396" s="21" t="s">
        <v>267</v>
      </c>
      <c r="C396" s="21" t="s">
        <v>102</v>
      </c>
      <c r="D396" s="22">
        <v>0.88444632291793801</v>
      </c>
      <c r="E396" s="22">
        <v>0.536146700382233</v>
      </c>
      <c r="F396" s="22">
        <v>0.39893776178360002</v>
      </c>
      <c r="G396" s="21" t="s">
        <v>1113</v>
      </c>
      <c r="H396" s="22">
        <f>POWER(10,E396)</f>
        <v>3.4367401798056849</v>
      </c>
      <c r="J396" s="2" t="s">
        <v>267</v>
      </c>
      <c r="K396" s="2" t="s">
        <v>102</v>
      </c>
      <c r="L396" s="5">
        <v>0.82365638017654397</v>
      </c>
      <c r="M396" s="5">
        <v>0.76391512155532804</v>
      </c>
      <c r="N396" s="5">
        <v>0.48918864130973799</v>
      </c>
      <c r="O396" s="5">
        <f>EXP(M396)</f>
        <v>2.1466642411647738</v>
      </c>
      <c r="Q396" s="16" t="s">
        <v>102</v>
      </c>
      <c r="R396" s="16" t="s">
        <v>267</v>
      </c>
      <c r="S396" s="17">
        <v>5.7980675964900003E-6</v>
      </c>
      <c r="T396" s="16">
        <v>0.84166700000000005</v>
      </c>
      <c r="U396" s="16" t="s">
        <v>942</v>
      </c>
      <c r="V396" s="16">
        <v>0.38095238095238099</v>
      </c>
      <c r="W396" s="16" t="s">
        <v>1047</v>
      </c>
      <c r="X396" s="16">
        <v>8856</v>
      </c>
      <c r="Y396" s="16">
        <v>2155</v>
      </c>
    </row>
    <row r="397" spans="2:25" x14ac:dyDescent="0.2">
      <c r="B397" s="21" t="s">
        <v>78</v>
      </c>
      <c r="C397" s="21" t="s">
        <v>176</v>
      </c>
      <c r="D397" s="22">
        <v>0.95152837038040206</v>
      </c>
      <c r="E397" s="22">
        <v>-1.40058410167694</v>
      </c>
      <c r="F397" s="22">
        <v>0.798969626426697</v>
      </c>
      <c r="G397" s="21" t="s">
        <v>1113</v>
      </c>
      <c r="H397" s="22">
        <f>POWER(10,E397)</f>
        <v>3.9757209867856698E-2</v>
      </c>
      <c r="J397" s="2" t="s">
        <v>78</v>
      </c>
      <c r="K397" s="2" t="s">
        <v>176</v>
      </c>
      <c r="L397" s="5">
        <v>0.59700900316238403</v>
      </c>
      <c r="M397" s="5">
        <v>-0.72077435255050704</v>
      </c>
      <c r="N397" s="5">
        <v>0.696988165378571</v>
      </c>
      <c r="O397" s="5">
        <f>EXP(M397)</f>
        <v>0.48637548400509284</v>
      </c>
      <c r="Q397" s="16" t="s">
        <v>176</v>
      </c>
      <c r="R397" s="16" t="s">
        <v>1010</v>
      </c>
      <c r="S397" s="17">
        <v>6.3784994432600002E-11</v>
      </c>
      <c r="T397" s="16">
        <v>0.64634100000000005</v>
      </c>
      <c r="U397" s="16" t="s">
        <v>942</v>
      </c>
      <c r="V397" s="16">
        <v>0.78366247755834795</v>
      </c>
      <c r="W397" s="16" t="s">
        <v>1011</v>
      </c>
      <c r="X397" s="16">
        <v>2908</v>
      </c>
      <c r="Y397" s="16">
        <v>1145</v>
      </c>
    </row>
    <row r="398" spans="2:25" x14ac:dyDescent="0.2">
      <c r="J398" s="2" t="s">
        <v>268</v>
      </c>
      <c r="K398" s="2" t="s">
        <v>271</v>
      </c>
      <c r="L398" s="5">
        <v>0.79757314920425404</v>
      </c>
      <c r="M398" s="5">
        <v>1.8728610277175901</v>
      </c>
      <c r="N398" s="5">
        <v>0.70752364397048995</v>
      </c>
      <c r="O398" s="5">
        <f>EXP(M398)</f>
        <v>6.5068861753768212</v>
      </c>
      <c r="Q398" s="16" t="s">
        <v>271</v>
      </c>
      <c r="R398" s="16" t="s">
        <v>1048</v>
      </c>
      <c r="S398" s="17">
        <v>5.6600888625799997E-95</v>
      </c>
      <c r="T398" s="16">
        <v>0.66666700000000001</v>
      </c>
      <c r="U398" s="16" t="s">
        <v>942</v>
      </c>
      <c r="V398" s="16">
        <v>0.80952380952380998</v>
      </c>
      <c r="W398" s="16" t="s">
        <v>1049</v>
      </c>
      <c r="X398" s="16">
        <v>4923</v>
      </c>
      <c r="Y398" s="16">
        <v>97</v>
      </c>
    </row>
    <row r="399" spans="2:25" x14ac:dyDescent="0.2">
      <c r="J399" s="2" t="s">
        <v>268</v>
      </c>
      <c r="K399" s="2" t="s">
        <v>272</v>
      </c>
      <c r="L399" s="5">
        <v>0.74723047018051203</v>
      </c>
      <c r="M399" s="5">
        <v>1.25456738471985</v>
      </c>
      <c r="N399" s="5">
        <v>0.334224253892899</v>
      </c>
      <c r="O399" s="5">
        <f>EXP(M399)</f>
        <v>3.5063211580706795</v>
      </c>
      <c r="Q399" s="16" t="s">
        <v>272</v>
      </c>
      <c r="R399" s="16" t="s">
        <v>1048</v>
      </c>
      <c r="S399" s="17">
        <v>2.17473972937E-18</v>
      </c>
      <c r="T399" s="16">
        <v>0.39682499999999998</v>
      </c>
      <c r="U399" s="16" t="s">
        <v>942</v>
      </c>
      <c r="V399" s="16">
        <v>0.53846153846153799</v>
      </c>
      <c r="W399" s="16" t="s">
        <v>1050</v>
      </c>
      <c r="X399" s="16">
        <v>4923</v>
      </c>
      <c r="Y399" s="16">
        <v>1122</v>
      </c>
    </row>
    <row r="400" spans="2:25" x14ac:dyDescent="0.2">
      <c r="J400" s="2" t="s">
        <v>268</v>
      </c>
      <c r="K400" s="2" t="s">
        <v>185</v>
      </c>
      <c r="L400" s="5">
        <v>0.81951379776000999</v>
      </c>
      <c r="M400" s="5">
        <v>0.920521020889282</v>
      </c>
      <c r="N400" s="5">
        <v>0.73517709970474199</v>
      </c>
      <c r="O400" s="5">
        <f>EXP(M400)</f>
        <v>2.5105981232953445</v>
      </c>
      <c r="Q400" s="16" t="s">
        <v>185</v>
      </c>
      <c r="R400" s="16" t="s">
        <v>1048</v>
      </c>
      <c r="S400" s="17">
        <v>3.1303205225699998E-105</v>
      </c>
      <c r="T400" s="16">
        <v>0.74180299999999999</v>
      </c>
      <c r="U400" s="16" t="s">
        <v>942</v>
      </c>
      <c r="V400" s="16">
        <v>0.80952380952380998</v>
      </c>
      <c r="W400" s="16" t="s">
        <v>1049</v>
      </c>
      <c r="X400" s="16">
        <v>4923</v>
      </c>
      <c r="Y400" s="16">
        <v>67</v>
      </c>
    </row>
    <row r="401" spans="2:25" x14ac:dyDescent="0.2">
      <c r="J401" s="2" t="s">
        <v>268</v>
      </c>
      <c r="K401" s="2" t="s">
        <v>270</v>
      </c>
      <c r="L401" s="5">
        <v>0.76996797323226895</v>
      </c>
      <c r="M401" s="5">
        <v>1.61340928077698</v>
      </c>
      <c r="N401" s="5">
        <v>0.22171959280967701</v>
      </c>
      <c r="O401" s="5">
        <f>EXP(M401)</f>
        <v>5.0198963233787941</v>
      </c>
      <c r="Q401" s="16" t="s">
        <v>270</v>
      </c>
      <c r="R401" s="16" t="s">
        <v>1048</v>
      </c>
      <c r="S401" s="17">
        <v>2.0229513619800001E-9</v>
      </c>
      <c r="T401" s="16">
        <v>0.33333299999999999</v>
      </c>
      <c r="U401" s="16" t="s">
        <v>942</v>
      </c>
      <c r="V401" s="16">
        <v>0.53846153846153799</v>
      </c>
      <c r="W401" s="16" t="s">
        <v>1050</v>
      </c>
      <c r="X401" s="16">
        <v>4923</v>
      </c>
      <c r="Y401" s="16">
        <v>1770</v>
      </c>
    </row>
    <row r="402" spans="2:25" x14ac:dyDescent="0.2">
      <c r="J402" s="2" t="s">
        <v>268</v>
      </c>
      <c r="K402" s="2" t="s">
        <v>269</v>
      </c>
      <c r="L402" s="5">
        <v>0.81886595487594604</v>
      </c>
      <c r="M402" s="5">
        <v>-0.29746225476264998</v>
      </c>
      <c r="N402" s="5">
        <v>0.71604359149932895</v>
      </c>
      <c r="O402" s="5">
        <f>EXP(M402)</f>
        <v>0.74270061610275984</v>
      </c>
      <c r="Q402" s="16" t="s">
        <v>269</v>
      </c>
      <c r="R402" s="16" t="s">
        <v>1048</v>
      </c>
      <c r="S402" s="17">
        <v>2.2319840087500002E-87</v>
      </c>
      <c r="T402" s="16">
        <v>0.65993299999999999</v>
      </c>
      <c r="U402" s="16" t="s">
        <v>942</v>
      </c>
      <c r="V402" s="16">
        <v>0.80952380952380998</v>
      </c>
      <c r="W402" s="16" t="s">
        <v>1049</v>
      </c>
      <c r="X402" s="16">
        <v>4923</v>
      </c>
      <c r="Y402" s="16">
        <v>129</v>
      </c>
    </row>
    <row r="403" spans="2:25" x14ac:dyDescent="0.2">
      <c r="J403" s="2" t="s">
        <v>268</v>
      </c>
      <c r="K403" s="2" t="s">
        <v>207</v>
      </c>
      <c r="L403" s="5">
        <v>0.80287963151931796</v>
      </c>
      <c r="M403" s="5">
        <v>0.81042647361755404</v>
      </c>
      <c r="N403" s="5">
        <v>0.37693071365356401</v>
      </c>
      <c r="O403" s="5">
        <f>EXP(M403)</f>
        <v>2.248866864581009</v>
      </c>
      <c r="Q403" s="16" t="s">
        <v>207</v>
      </c>
      <c r="R403" s="16" t="s">
        <v>1048</v>
      </c>
      <c r="S403" s="17">
        <v>1.8784548361200001E-9</v>
      </c>
      <c r="T403" s="16">
        <v>0.53317499999999995</v>
      </c>
      <c r="U403" s="16" t="s">
        <v>942</v>
      </c>
      <c r="V403" s="16">
        <v>0.19047619047618999</v>
      </c>
      <c r="W403" s="16" t="s">
        <v>1049</v>
      </c>
      <c r="X403" s="16">
        <v>4923</v>
      </c>
      <c r="Y403" s="16">
        <v>1734</v>
      </c>
    </row>
    <row r="404" spans="2:25" x14ac:dyDescent="0.2">
      <c r="J404" s="2" t="s">
        <v>86</v>
      </c>
      <c r="K404" s="2" t="s">
        <v>229</v>
      </c>
      <c r="L404" s="5">
        <v>0.88586091995239302</v>
      </c>
      <c r="M404" s="5">
        <v>1.25027775764465</v>
      </c>
      <c r="N404" s="5">
        <v>0.170974835753441</v>
      </c>
      <c r="O404" s="5">
        <f>EXP(M404)</f>
        <v>3.4913125615519673</v>
      </c>
      <c r="Q404" s="16" t="s">
        <v>229</v>
      </c>
      <c r="R404" s="16" t="s">
        <v>1051</v>
      </c>
      <c r="S404" s="17">
        <v>6.2067037716099997E-6</v>
      </c>
      <c r="T404" s="16">
        <v>0.54802300000000004</v>
      </c>
      <c r="U404" s="16" t="s">
        <v>942</v>
      </c>
      <c r="V404" s="16">
        <v>0.67307692307692302</v>
      </c>
      <c r="W404" s="16" t="s">
        <v>1052</v>
      </c>
      <c r="X404" s="16">
        <v>4985</v>
      </c>
      <c r="Y404" s="16">
        <v>2162</v>
      </c>
    </row>
    <row r="405" spans="2:25" x14ac:dyDescent="0.2">
      <c r="B405" s="21" t="s">
        <v>86</v>
      </c>
      <c r="C405" s="21" t="s">
        <v>16</v>
      </c>
      <c r="D405" s="22">
        <v>0.93385642766952504</v>
      </c>
      <c r="E405" s="22">
        <v>1.0348482131957999</v>
      </c>
      <c r="F405" s="22">
        <v>0.39346796274185197</v>
      </c>
      <c r="G405" s="21" t="s">
        <v>1113</v>
      </c>
      <c r="H405" s="22">
        <f>POWER(10,E405)</f>
        <v>10.835481455555239</v>
      </c>
      <c r="J405" s="2" t="s">
        <v>86</v>
      </c>
      <c r="K405" s="2" t="s">
        <v>16</v>
      </c>
      <c r="L405" s="5">
        <v>0.86983281373977706</v>
      </c>
      <c r="M405" s="5">
        <v>1.0944949388503999</v>
      </c>
      <c r="N405" s="5">
        <v>0.43649271130561801</v>
      </c>
      <c r="O405" s="5">
        <f>EXP(M405)</f>
        <v>2.9876733445372174</v>
      </c>
      <c r="Q405" s="16" t="s">
        <v>16</v>
      </c>
      <c r="R405" s="16" t="s">
        <v>1051</v>
      </c>
      <c r="S405" s="17">
        <v>1.96515275164E-8</v>
      </c>
      <c r="T405" s="16">
        <v>0.69895300000000005</v>
      </c>
      <c r="U405" s="16" t="s">
        <v>942</v>
      </c>
      <c r="V405" s="16">
        <v>0.75596529284164904</v>
      </c>
      <c r="W405" s="16" t="s">
        <v>1053</v>
      </c>
      <c r="X405" s="16">
        <v>4985</v>
      </c>
      <c r="Y405" s="16">
        <v>1740</v>
      </c>
    </row>
    <row r="406" spans="2:25" x14ac:dyDescent="0.2">
      <c r="B406" s="21" t="s">
        <v>86</v>
      </c>
      <c r="C406" s="21" t="s">
        <v>17</v>
      </c>
      <c r="D406" s="22">
        <v>0.93747329711914096</v>
      </c>
      <c r="E406" s="22">
        <v>0.21649205684661901</v>
      </c>
      <c r="F406" s="22">
        <v>0.77194058895111095</v>
      </c>
      <c r="G406" s="21" t="s">
        <v>1113</v>
      </c>
      <c r="H406" s="22">
        <f>POWER(10,E406)</f>
        <v>1.6462358567504916</v>
      </c>
      <c r="J406" s="2" t="s">
        <v>86</v>
      </c>
      <c r="K406" s="2" t="s">
        <v>17</v>
      </c>
      <c r="L406" s="5">
        <v>0.86104053258895896</v>
      </c>
      <c r="M406" s="5">
        <v>0.27074843645095797</v>
      </c>
      <c r="N406" s="5">
        <v>0.77188891172409102</v>
      </c>
      <c r="O406" s="5">
        <f>EXP(M406)</f>
        <v>1.3109452428621422</v>
      </c>
      <c r="Q406" s="16" t="s">
        <v>17</v>
      </c>
      <c r="R406" s="16" t="s">
        <v>1051</v>
      </c>
      <c r="S406" s="17">
        <v>1.1536659003699999E-18</v>
      </c>
      <c r="T406" s="16">
        <v>0.64804499999999998</v>
      </c>
      <c r="U406" s="16" t="s">
        <v>942</v>
      </c>
      <c r="V406" s="16">
        <v>0.75596529284164904</v>
      </c>
      <c r="W406" s="16" t="s">
        <v>1053</v>
      </c>
      <c r="X406" s="16">
        <v>4985</v>
      </c>
      <c r="Y406" s="16">
        <v>270</v>
      </c>
    </row>
    <row r="407" spans="2:25" x14ac:dyDescent="0.2">
      <c r="B407" s="21"/>
      <c r="C407" s="21"/>
      <c r="D407" s="22"/>
      <c r="E407" s="22"/>
      <c r="F407" s="22"/>
      <c r="G407" s="21"/>
      <c r="H407" s="22"/>
      <c r="J407" s="2" t="s">
        <v>86</v>
      </c>
      <c r="K407" s="2" t="s">
        <v>145</v>
      </c>
      <c r="L407" s="5">
        <v>0.85184592008590698</v>
      </c>
      <c r="M407" s="5">
        <v>2.48250079154968</v>
      </c>
      <c r="N407" s="5">
        <v>0.31347835063934298</v>
      </c>
      <c r="O407" s="5">
        <f>EXP(M407)</f>
        <v>11.971164402229121</v>
      </c>
      <c r="Q407" s="16" t="s">
        <v>145</v>
      </c>
      <c r="R407" s="16" t="s">
        <v>1051</v>
      </c>
      <c r="S407" s="17">
        <v>1.5289131554099999E-11</v>
      </c>
      <c r="T407" s="16">
        <v>0.61038999999999999</v>
      </c>
      <c r="U407" s="16" t="s">
        <v>942</v>
      </c>
      <c r="V407" s="16">
        <v>0.19631901840490801</v>
      </c>
      <c r="W407" s="16" t="s">
        <v>1054</v>
      </c>
      <c r="X407" s="16">
        <v>4985</v>
      </c>
      <c r="Y407" s="16">
        <v>1540</v>
      </c>
    </row>
    <row r="408" spans="2:25" x14ac:dyDescent="0.2">
      <c r="B408" s="21" t="s">
        <v>86</v>
      </c>
      <c r="C408" s="21" t="s">
        <v>275</v>
      </c>
      <c r="D408" s="22">
        <v>0.94140720367431596</v>
      </c>
      <c r="E408" s="22">
        <v>0.50590872764587402</v>
      </c>
      <c r="F408" s="22">
        <v>0.75546425580978405</v>
      </c>
      <c r="G408" s="21" t="s">
        <v>1113</v>
      </c>
      <c r="H408" s="22">
        <f>POWER(10,E408)</f>
        <v>3.20559555817362</v>
      </c>
      <c r="J408" s="2" t="s">
        <v>86</v>
      </c>
      <c r="K408" s="2" t="s">
        <v>275</v>
      </c>
      <c r="L408" s="5">
        <v>0.84642630815506004</v>
      </c>
      <c r="M408" s="5">
        <v>0.42817100882530201</v>
      </c>
      <c r="N408" s="5">
        <v>0.50694108009338401</v>
      </c>
      <c r="O408" s="5">
        <f>EXP(M408)</f>
        <v>1.5344484627612425</v>
      </c>
      <c r="Q408" s="16" t="s">
        <v>275</v>
      </c>
      <c r="R408" s="16" t="s">
        <v>1051</v>
      </c>
      <c r="S408" s="17">
        <v>2.9718600472700001E-6</v>
      </c>
      <c r="T408" s="16">
        <v>0.68817200000000001</v>
      </c>
      <c r="U408" s="16" t="s">
        <v>942</v>
      </c>
      <c r="V408" s="16">
        <v>0.100325379609544</v>
      </c>
      <c r="W408" s="16" t="s">
        <v>1053</v>
      </c>
      <c r="X408" s="16">
        <v>4985</v>
      </c>
      <c r="Y408" s="16">
        <v>2119</v>
      </c>
    </row>
    <row r="409" spans="2:25" x14ac:dyDescent="0.2">
      <c r="B409" s="21" t="s">
        <v>86</v>
      </c>
      <c r="C409" s="21" t="s">
        <v>158</v>
      </c>
      <c r="D409" s="22">
        <v>0.94035691022872903</v>
      </c>
      <c r="E409" s="22">
        <v>0.51711535453796398</v>
      </c>
      <c r="F409" s="22">
        <v>0.80227959156036399</v>
      </c>
      <c r="G409" s="21" t="s">
        <v>1113</v>
      </c>
      <c r="H409" s="22">
        <f>POWER(10,E409)</f>
        <v>3.2893898995589179</v>
      </c>
      <c r="J409" s="2" t="s">
        <v>86</v>
      </c>
      <c r="K409" s="2" t="s">
        <v>158</v>
      </c>
      <c r="L409" s="5">
        <v>0.85137462615966797</v>
      </c>
      <c r="M409" s="5">
        <v>1.2026836872100799</v>
      </c>
      <c r="N409" s="5">
        <v>0.71025878190994296</v>
      </c>
      <c r="O409" s="5">
        <f>EXP(M409)</f>
        <v>3.3290390447956026</v>
      </c>
      <c r="Q409" s="16" t="s">
        <v>158</v>
      </c>
      <c r="R409" s="16" t="s">
        <v>1051</v>
      </c>
      <c r="S409" s="17">
        <v>4.61101389065E-11</v>
      </c>
      <c r="T409" s="16">
        <v>0.72455099999999995</v>
      </c>
      <c r="U409" s="16" t="s">
        <v>942</v>
      </c>
      <c r="V409" s="16">
        <v>0.75596529284164904</v>
      </c>
      <c r="W409" s="16" t="s">
        <v>1053</v>
      </c>
      <c r="X409" s="16">
        <v>4985</v>
      </c>
      <c r="Y409" s="16">
        <v>1644</v>
      </c>
    </row>
    <row r="410" spans="2:25" x14ac:dyDescent="0.2">
      <c r="B410" s="21" t="s">
        <v>86</v>
      </c>
      <c r="C410" s="21" t="s">
        <v>191</v>
      </c>
      <c r="D410" s="22">
        <v>0.93673229217529297</v>
      </c>
      <c r="E410" s="22">
        <v>-1.06905972957611</v>
      </c>
      <c r="F410" s="22">
        <v>0.78696942329406705</v>
      </c>
      <c r="G410" s="21" t="s">
        <v>1113</v>
      </c>
      <c r="H410" s="22">
        <f>POWER(10,E410)</f>
        <v>8.5298279315243974E-2</v>
      </c>
      <c r="J410" s="2" t="s">
        <v>86</v>
      </c>
      <c r="K410" s="2" t="s">
        <v>191</v>
      </c>
      <c r="L410" s="5">
        <v>0.84589594602584794</v>
      </c>
      <c r="M410" s="5">
        <v>-9.8016656935214996E-2</v>
      </c>
      <c r="N410" s="5">
        <v>0.57991605997085605</v>
      </c>
      <c r="O410" s="5">
        <f>EXP(M410)</f>
        <v>0.90663380188764409</v>
      </c>
      <c r="Q410" s="16" t="s">
        <v>191</v>
      </c>
      <c r="R410" s="16" t="s">
        <v>1051</v>
      </c>
      <c r="S410" s="17">
        <v>2.9380922043700001E-22</v>
      </c>
      <c r="T410" s="16">
        <v>0.67682900000000001</v>
      </c>
      <c r="U410" s="16" t="s">
        <v>942</v>
      </c>
      <c r="V410" s="16">
        <v>0.75596529284164904</v>
      </c>
      <c r="W410" s="16" t="s">
        <v>1053</v>
      </c>
      <c r="X410" s="16">
        <v>4985</v>
      </c>
      <c r="Y410" s="16">
        <v>303</v>
      </c>
    </row>
    <row r="411" spans="2:25" x14ac:dyDescent="0.2">
      <c r="B411" s="21" t="s">
        <v>86</v>
      </c>
      <c r="C411" s="21" t="s">
        <v>181</v>
      </c>
      <c r="D411" s="22">
        <v>0.93504458665847801</v>
      </c>
      <c r="E411" s="22">
        <v>0.71169829368591297</v>
      </c>
      <c r="F411" s="22">
        <v>0.30322790145874001</v>
      </c>
      <c r="G411" s="21" t="s">
        <v>1113</v>
      </c>
      <c r="H411" s="22">
        <f>POWER(10,E411)</f>
        <v>5.1487083724335427</v>
      </c>
      <c r="J411" s="2" t="s">
        <v>86</v>
      </c>
      <c r="K411" s="2" t="s">
        <v>181</v>
      </c>
      <c r="L411" s="5">
        <v>0.84332144260406505</v>
      </c>
      <c r="M411" s="5">
        <v>0.44760760664939903</v>
      </c>
      <c r="N411" s="5">
        <v>0.28324949741363498</v>
      </c>
      <c r="O411" s="5">
        <f>EXP(M411)</f>
        <v>1.5645646504223567</v>
      </c>
      <c r="Q411" s="16" t="s">
        <v>181</v>
      </c>
      <c r="R411" s="16" t="s">
        <v>1051</v>
      </c>
      <c r="S411" s="17">
        <v>2.6340184248900001E-23</v>
      </c>
      <c r="T411" s="16">
        <v>0.66019399999999995</v>
      </c>
      <c r="U411" s="16" t="s">
        <v>942</v>
      </c>
      <c r="V411" s="16">
        <v>0.75596529284164904</v>
      </c>
      <c r="W411" s="16" t="s">
        <v>1053</v>
      </c>
      <c r="X411" s="16">
        <v>4985</v>
      </c>
      <c r="Y411" s="16">
        <v>902</v>
      </c>
    </row>
    <row r="412" spans="2:25" x14ac:dyDescent="0.2">
      <c r="B412" s="21" t="s">
        <v>86</v>
      </c>
      <c r="C412" s="21" t="s">
        <v>271</v>
      </c>
      <c r="D412" s="22">
        <v>0.93549627065658603</v>
      </c>
      <c r="E412" s="22">
        <v>2.39229393005371</v>
      </c>
      <c r="F412" s="22">
        <v>0.72091412544250499</v>
      </c>
      <c r="G412" s="21" t="s">
        <v>1113</v>
      </c>
      <c r="H412" s="22">
        <f>POWER(10,E412)</f>
        <v>246.77089150137604</v>
      </c>
      <c r="J412" s="2" t="s">
        <v>86</v>
      </c>
      <c r="K412" s="2" t="s">
        <v>271</v>
      </c>
      <c r="L412" s="5">
        <v>0.85713666677474998</v>
      </c>
      <c r="M412" s="5">
        <v>2.0595431327819802</v>
      </c>
      <c r="N412" s="5">
        <v>0.489302277565002</v>
      </c>
      <c r="O412" s="5">
        <f>EXP(M412)</f>
        <v>7.8423860626292949</v>
      </c>
      <c r="Q412" s="16" t="s">
        <v>271</v>
      </c>
      <c r="R412" s="16" t="s">
        <v>1051</v>
      </c>
      <c r="S412" s="17">
        <v>4.1384382991200002E-5</v>
      </c>
      <c r="T412" s="16">
        <v>0.67547199999999996</v>
      </c>
      <c r="U412" s="16" t="s">
        <v>942</v>
      </c>
      <c r="V412" s="16">
        <v>0.100325379609544</v>
      </c>
      <c r="W412" s="16" t="s">
        <v>1053</v>
      </c>
      <c r="X412" s="16">
        <v>4985</v>
      </c>
      <c r="Y412" s="16">
        <v>639</v>
      </c>
    </row>
    <row r="413" spans="2:25" x14ac:dyDescent="0.2">
      <c r="B413" s="21"/>
      <c r="C413" s="21"/>
      <c r="D413" s="22"/>
      <c r="E413" s="22"/>
      <c r="F413" s="22"/>
      <c r="G413" s="21"/>
      <c r="H413" s="22"/>
      <c r="J413" s="2" t="s">
        <v>86</v>
      </c>
      <c r="K413" s="2" t="s">
        <v>129</v>
      </c>
      <c r="L413" s="5">
        <v>0.85443300008773804</v>
      </c>
      <c r="M413" s="5">
        <v>0.26125049591064498</v>
      </c>
      <c r="N413" s="5">
        <v>0.61442470550537098</v>
      </c>
      <c r="O413" s="5">
        <f>EXP(M413)</f>
        <v>1.298552906889094</v>
      </c>
      <c r="Q413" s="16" t="s">
        <v>129</v>
      </c>
      <c r="R413" s="16" t="s">
        <v>1051</v>
      </c>
      <c r="S413" s="17">
        <v>2.4266746552199999E-6</v>
      </c>
      <c r="T413" s="16">
        <v>0.57317099999999999</v>
      </c>
      <c r="U413" s="16" t="s">
        <v>942</v>
      </c>
      <c r="V413" s="16">
        <v>0.67307692307692302</v>
      </c>
      <c r="W413" s="16" t="s">
        <v>1052</v>
      </c>
      <c r="X413" s="16">
        <v>4985</v>
      </c>
      <c r="Y413" s="16">
        <v>2106</v>
      </c>
    </row>
    <row r="414" spans="2:25" x14ac:dyDescent="0.2">
      <c r="B414" s="21"/>
      <c r="C414" s="21"/>
      <c r="D414" s="22"/>
      <c r="E414" s="22"/>
      <c r="F414" s="22"/>
      <c r="G414" s="21"/>
      <c r="H414" s="22"/>
      <c r="J414" s="2" t="s">
        <v>86</v>
      </c>
      <c r="K414" s="2" t="s">
        <v>222</v>
      </c>
      <c r="L414" s="5">
        <v>0.83163863420486495</v>
      </c>
      <c r="M414" s="5">
        <v>-0.62226539850234996</v>
      </c>
      <c r="N414" s="5">
        <v>0.877477526664734</v>
      </c>
      <c r="O414" s="5">
        <f>EXP(M414)</f>
        <v>0.53672715840322138</v>
      </c>
      <c r="Q414" s="16" t="s">
        <v>222</v>
      </c>
      <c r="R414" s="16" t="s">
        <v>1051</v>
      </c>
      <c r="S414" s="17">
        <v>7.2419635807500005E-5</v>
      </c>
      <c r="T414" s="16">
        <v>0.64921499999999999</v>
      </c>
      <c r="U414" s="16" t="s">
        <v>942</v>
      </c>
      <c r="V414" s="16">
        <v>0.19631901840490801</v>
      </c>
      <c r="W414" s="16" t="s">
        <v>1054</v>
      </c>
      <c r="X414" s="16">
        <v>4985</v>
      </c>
      <c r="Y414" s="16">
        <v>2295</v>
      </c>
    </row>
    <row r="415" spans="2:25" x14ac:dyDescent="0.2">
      <c r="B415" s="21" t="s">
        <v>86</v>
      </c>
      <c r="C415" s="21" t="s">
        <v>217</v>
      </c>
      <c r="D415" s="22">
        <v>0.92751663923263605</v>
      </c>
      <c r="E415" s="22">
        <v>1.6540833711624101</v>
      </c>
      <c r="F415" s="22">
        <v>0.101567707955837</v>
      </c>
      <c r="G415" s="21" t="s">
        <v>1113</v>
      </c>
      <c r="H415" s="22">
        <f>POWER(10,E415)</f>
        <v>45.090325576898131</v>
      </c>
      <c r="J415" s="2" t="s">
        <v>86</v>
      </c>
      <c r="K415" s="2" t="s">
        <v>217</v>
      </c>
      <c r="L415" s="5">
        <v>0.84237140417098999</v>
      </c>
      <c r="M415" s="5">
        <v>1.8786689043045</v>
      </c>
      <c r="N415" s="5">
        <v>0.122834764420986</v>
      </c>
      <c r="O415" s="5">
        <f>EXP(M415)</f>
        <v>6.5447873233050462</v>
      </c>
      <c r="Q415" s="16" t="s">
        <v>217</v>
      </c>
      <c r="R415" s="16" t="s">
        <v>1051</v>
      </c>
      <c r="S415" s="17">
        <v>3.3924656065699998E-12</v>
      </c>
      <c r="T415" s="16">
        <v>0.60514999999999997</v>
      </c>
      <c r="U415" s="16" t="s">
        <v>942</v>
      </c>
      <c r="V415" s="16">
        <v>0.100325379609544</v>
      </c>
      <c r="W415" s="16" t="s">
        <v>1053</v>
      </c>
      <c r="X415" s="16">
        <v>4985</v>
      </c>
      <c r="Y415" s="16">
        <v>1060</v>
      </c>
    </row>
    <row r="416" spans="2:25" x14ac:dyDescent="0.2">
      <c r="B416" s="21" t="s">
        <v>86</v>
      </c>
      <c r="C416" s="21" t="s">
        <v>277</v>
      </c>
      <c r="D416" s="22">
        <v>0.94474536180496205</v>
      </c>
      <c r="E416" s="22">
        <v>0.61777371168136597</v>
      </c>
      <c r="F416" s="22">
        <v>0.65346670150756803</v>
      </c>
      <c r="G416" s="21" t="s">
        <v>1113</v>
      </c>
      <c r="H416" s="22">
        <f>POWER(10,E416)</f>
        <v>4.1473788793343065</v>
      </c>
      <c r="J416" s="2" t="s">
        <v>86</v>
      </c>
      <c r="K416" s="2" t="s">
        <v>277</v>
      </c>
      <c r="L416" s="5">
        <v>0.86766594648361195</v>
      </c>
      <c r="M416" s="5">
        <v>0.76829648017883301</v>
      </c>
      <c r="N416" s="5">
        <v>0.529901802539825</v>
      </c>
      <c r="O416" s="5">
        <f>EXP(M416)</f>
        <v>2.1560901811827664</v>
      </c>
      <c r="Q416" s="16" t="s">
        <v>277</v>
      </c>
      <c r="R416" s="16" t="s">
        <v>1051</v>
      </c>
      <c r="S416" s="17">
        <v>5.0819428143399995E-7</v>
      </c>
      <c r="T416" s="16">
        <v>0.70224699999999995</v>
      </c>
      <c r="U416" s="16" t="s">
        <v>942</v>
      </c>
      <c r="V416" s="16">
        <v>0.75596529284164904</v>
      </c>
      <c r="W416" s="16" t="s">
        <v>1053</v>
      </c>
      <c r="X416" s="16">
        <v>4985</v>
      </c>
      <c r="Y416" s="16">
        <v>2009</v>
      </c>
    </row>
    <row r="417" spans="2:25" x14ac:dyDescent="0.2">
      <c r="B417" s="21"/>
      <c r="C417" s="21"/>
      <c r="D417" s="22"/>
      <c r="E417" s="22"/>
      <c r="F417" s="22"/>
      <c r="G417" s="21"/>
      <c r="H417" s="22"/>
      <c r="J417" s="2" t="s">
        <v>86</v>
      </c>
      <c r="K417" s="2" t="s">
        <v>45</v>
      </c>
      <c r="L417" s="5">
        <v>0.86178398132324197</v>
      </c>
      <c r="M417" s="5">
        <v>1.41054499149323</v>
      </c>
      <c r="N417" s="5">
        <v>0.46322232484817499</v>
      </c>
      <c r="O417" s="5">
        <f>EXP(M417)</f>
        <v>4.0981882733151496</v>
      </c>
      <c r="Q417" s="16" t="s">
        <v>45</v>
      </c>
      <c r="R417" s="16" t="s">
        <v>1051</v>
      </c>
      <c r="S417" s="17">
        <v>1.3721195866399999E-13</v>
      </c>
      <c r="T417" s="16">
        <v>0.782609</v>
      </c>
      <c r="U417" s="16" t="s">
        <v>942</v>
      </c>
      <c r="V417" s="16">
        <v>0.72776073619631898</v>
      </c>
      <c r="W417" s="16" t="s">
        <v>1054</v>
      </c>
      <c r="X417" s="16">
        <v>4985</v>
      </c>
      <c r="Y417" s="16">
        <v>1430</v>
      </c>
    </row>
    <row r="418" spans="2:25" x14ac:dyDescent="0.2">
      <c r="B418" s="21"/>
      <c r="C418" s="21"/>
      <c r="D418" s="22"/>
      <c r="E418" s="22"/>
      <c r="F418" s="22"/>
      <c r="G418" s="21"/>
      <c r="H418" s="22"/>
      <c r="J418" s="2" t="s">
        <v>86</v>
      </c>
      <c r="K418" s="2" t="s">
        <v>141</v>
      </c>
      <c r="L418" s="5">
        <v>0.86654299497604403</v>
      </c>
      <c r="M418" s="5">
        <v>0.85078752040863004</v>
      </c>
      <c r="N418" s="5">
        <v>0.20602399110794101</v>
      </c>
      <c r="O418" s="5">
        <f>EXP(M418)</f>
        <v>2.3414900972722705</v>
      </c>
      <c r="Q418" s="16" t="s">
        <v>141</v>
      </c>
      <c r="R418" s="16" t="s">
        <v>1051</v>
      </c>
      <c r="S418" s="17">
        <v>1.7181873464099999E-22</v>
      </c>
      <c r="T418" s="16">
        <v>0.67142900000000005</v>
      </c>
      <c r="U418" s="16" t="s">
        <v>942</v>
      </c>
      <c r="V418" s="16">
        <v>0.19631901840490801</v>
      </c>
      <c r="W418" s="16" t="s">
        <v>1054</v>
      </c>
      <c r="X418" s="16">
        <v>4985</v>
      </c>
      <c r="Y418" s="16">
        <v>933</v>
      </c>
    </row>
    <row r="419" spans="2:25" x14ac:dyDescent="0.2">
      <c r="B419" s="21" t="s">
        <v>86</v>
      </c>
      <c r="C419" s="21" t="s">
        <v>185</v>
      </c>
      <c r="D419" s="22">
        <v>0.925864398479462</v>
      </c>
      <c r="E419" s="22">
        <v>1.1115533113479601</v>
      </c>
      <c r="F419" s="22">
        <v>0.241670072078705</v>
      </c>
      <c r="G419" s="21" t="s">
        <v>1113</v>
      </c>
      <c r="H419" s="22">
        <f>POWER(10,E419)</f>
        <v>12.928653953553537</v>
      </c>
      <c r="J419" s="2" t="s">
        <v>86</v>
      </c>
      <c r="K419" s="2" t="s">
        <v>185</v>
      </c>
      <c r="L419" s="5">
        <v>0.846119344234467</v>
      </c>
      <c r="M419" s="5">
        <v>1.72236239910126</v>
      </c>
      <c r="N419" s="5">
        <v>0.49044346809387201</v>
      </c>
      <c r="O419" s="5">
        <f>EXP(M419)</f>
        <v>5.5977369450095615</v>
      </c>
      <c r="Q419" s="16" t="s">
        <v>185</v>
      </c>
      <c r="R419" s="16" t="s">
        <v>1051</v>
      </c>
      <c r="S419" s="17">
        <v>3.3448623550599997E-11</v>
      </c>
      <c r="T419" s="16">
        <v>0.66666700000000001</v>
      </c>
      <c r="U419" s="16" t="s">
        <v>942</v>
      </c>
      <c r="V419" s="16">
        <v>0.100325379609544</v>
      </c>
      <c r="W419" s="16" t="s">
        <v>1053</v>
      </c>
      <c r="X419" s="16">
        <v>4985</v>
      </c>
      <c r="Y419" s="16">
        <v>298</v>
      </c>
    </row>
    <row r="420" spans="2:25" x14ac:dyDescent="0.2">
      <c r="B420" s="21" t="s">
        <v>86</v>
      </c>
      <c r="C420" s="21" t="s">
        <v>273</v>
      </c>
      <c r="D420" s="22">
        <v>0.93792194128036499</v>
      </c>
      <c r="E420" s="22">
        <v>0.53468990325927701</v>
      </c>
      <c r="F420" s="22">
        <v>0.88181173801422097</v>
      </c>
      <c r="G420" s="21" t="s">
        <v>1113</v>
      </c>
      <c r="H420" s="22">
        <f>POWER(10,E420)</f>
        <v>3.425231294309238</v>
      </c>
      <c r="J420" s="2" t="s">
        <v>86</v>
      </c>
      <c r="K420" s="2" t="s">
        <v>273</v>
      </c>
      <c r="L420" s="5">
        <v>0.84697002172470104</v>
      </c>
      <c r="M420" s="5">
        <v>0.303839921951294</v>
      </c>
      <c r="N420" s="5">
        <v>0.77413445711135898</v>
      </c>
      <c r="O420" s="5">
        <f>EXP(M420)</f>
        <v>1.3550521246271472</v>
      </c>
      <c r="Q420" s="16" t="s">
        <v>273</v>
      </c>
      <c r="R420" s="16" t="s">
        <v>1051</v>
      </c>
      <c r="S420" s="17">
        <v>1.58946178441E-9</v>
      </c>
      <c r="T420" s="16">
        <v>0.77070099999999997</v>
      </c>
      <c r="U420" s="16" t="s">
        <v>942</v>
      </c>
      <c r="V420" s="16">
        <v>0.75596529284164904</v>
      </c>
      <c r="W420" s="16" t="s">
        <v>1053</v>
      </c>
      <c r="X420" s="16">
        <v>4985</v>
      </c>
      <c r="Y420" s="16">
        <v>1759</v>
      </c>
    </row>
    <row r="421" spans="2:25" x14ac:dyDescent="0.2">
      <c r="B421" s="21"/>
      <c r="C421" s="21"/>
      <c r="D421" s="22"/>
      <c r="E421" s="22"/>
      <c r="F421" s="22"/>
      <c r="G421" s="21"/>
      <c r="H421" s="22"/>
      <c r="J421" s="2" t="s">
        <v>86</v>
      </c>
      <c r="K421" s="2" t="s">
        <v>73</v>
      </c>
      <c r="L421" s="5">
        <v>0.85536175966262795</v>
      </c>
      <c r="M421" s="5">
        <v>0.95153999328613303</v>
      </c>
      <c r="N421" s="5">
        <v>0.24951018393039701</v>
      </c>
      <c r="O421" s="5">
        <f>EXP(M421)</f>
        <v>2.5896947025133961</v>
      </c>
      <c r="Q421" s="16" t="s">
        <v>73</v>
      </c>
      <c r="R421" s="16" t="s">
        <v>1051</v>
      </c>
      <c r="S421" s="17">
        <v>2.3951744125800002E-6</v>
      </c>
      <c r="T421" s="16">
        <v>0.56737599999999999</v>
      </c>
      <c r="U421" s="16" t="s">
        <v>942</v>
      </c>
      <c r="V421" s="16">
        <v>0.67307692307692302</v>
      </c>
      <c r="W421" s="16" t="s">
        <v>1052</v>
      </c>
      <c r="X421" s="16">
        <v>4985</v>
      </c>
      <c r="Y421" s="16">
        <v>2103</v>
      </c>
    </row>
    <row r="422" spans="2:25" x14ac:dyDescent="0.2">
      <c r="B422" s="21"/>
      <c r="C422" s="21"/>
      <c r="D422" s="22"/>
      <c r="E422" s="22"/>
      <c r="F422" s="22"/>
      <c r="G422" s="21"/>
      <c r="H422" s="22"/>
      <c r="J422" s="2" t="s">
        <v>86</v>
      </c>
      <c r="K422" s="2" t="s">
        <v>274</v>
      </c>
      <c r="L422" s="5">
        <v>0.860426545143127</v>
      </c>
      <c r="M422" s="5">
        <v>2.02372097969055</v>
      </c>
      <c r="N422" s="5">
        <v>0.116833344101906</v>
      </c>
      <c r="O422" s="5">
        <f>EXP(M422)</f>
        <v>7.5664271390841353</v>
      </c>
      <c r="Q422" s="16" t="s">
        <v>274</v>
      </c>
      <c r="R422" s="16" t="s">
        <v>1051</v>
      </c>
      <c r="S422" s="17">
        <v>2.2887930484399999E-21</v>
      </c>
      <c r="T422" s="16">
        <v>0.55744700000000003</v>
      </c>
      <c r="U422" s="16" t="s">
        <v>942</v>
      </c>
      <c r="V422" s="16">
        <v>0.19631901840490801</v>
      </c>
      <c r="W422" s="16" t="s">
        <v>1054</v>
      </c>
      <c r="X422" s="16">
        <v>4985</v>
      </c>
      <c r="Y422" s="16">
        <v>986</v>
      </c>
    </row>
    <row r="423" spans="2:25" x14ac:dyDescent="0.2">
      <c r="B423" s="21"/>
      <c r="C423" s="21"/>
      <c r="D423" s="22"/>
      <c r="E423" s="22"/>
      <c r="F423" s="22"/>
      <c r="G423" s="21"/>
      <c r="H423" s="22"/>
      <c r="J423" s="2" t="s">
        <v>86</v>
      </c>
      <c r="K423" s="2" t="s">
        <v>139</v>
      </c>
      <c r="L423" s="5">
        <v>0.88127672672271695</v>
      </c>
      <c r="M423" s="5">
        <v>2.07519459724426</v>
      </c>
      <c r="N423" s="5">
        <v>0.20552858710288999</v>
      </c>
      <c r="O423" s="5">
        <f>EXP(M423)</f>
        <v>7.9660964886383345</v>
      </c>
      <c r="Q423" s="16" t="s">
        <v>139</v>
      </c>
      <c r="R423" s="16" t="s">
        <v>1051</v>
      </c>
      <c r="S423" s="17">
        <v>5.95197235857E-24</v>
      </c>
      <c r="T423" s="16">
        <v>0.661972</v>
      </c>
      <c r="U423" s="16" t="s">
        <v>942</v>
      </c>
      <c r="V423" s="16">
        <v>0.19631901840490801</v>
      </c>
      <c r="W423" s="16" t="s">
        <v>1054</v>
      </c>
      <c r="X423" s="16">
        <v>4985</v>
      </c>
      <c r="Y423" s="16">
        <v>881</v>
      </c>
    </row>
    <row r="424" spans="2:25" x14ac:dyDescent="0.2">
      <c r="B424" s="21" t="s">
        <v>86</v>
      </c>
      <c r="C424" s="21" t="s">
        <v>223</v>
      </c>
      <c r="D424" s="22">
        <v>0.93885278701782204</v>
      </c>
      <c r="E424" s="22">
        <v>1.04587638378143</v>
      </c>
      <c r="F424" s="22">
        <v>0.20411430299282099</v>
      </c>
      <c r="G424" s="21" t="s">
        <v>1113</v>
      </c>
      <c r="H424" s="22">
        <f>POWER(10,E424)</f>
        <v>11.114153324821539</v>
      </c>
      <c r="J424" s="2" t="s">
        <v>86</v>
      </c>
      <c r="K424" s="2" t="s">
        <v>223</v>
      </c>
      <c r="L424" s="5">
        <v>0.86827391386032104</v>
      </c>
      <c r="M424" s="5">
        <v>1.64873039722443</v>
      </c>
      <c r="N424" s="5">
        <v>0.18360882997512801</v>
      </c>
      <c r="O424" s="5">
        <f>EXP(M424)</f>
        <v>5.2003732259060085</v>
      </c>
      <c r="Q424" s="16" t="s">
        <v>223</v>
      </c>
      <c r="R424" s="16" t="s">
        <v>1051</v>
      </c>
      <c r="S424" s="17">
        <v>8.2891299036299998E-5</v>
      </c>
      <c r="T424" s="16">
        <v>0.57534200000000002</v>
      </c>
      <c r="U424" s="16" t="s">
        <v>942</v>
      </c>
      <c r="V424" s="16">
        <v>0.75596529284164904</v>
      </c>
      <c r="W424" s="16" t="s">
        <v>1053</v>
      </c>
      <c r="X424" s="16">
        <v>4985</v>
      </c>
      <c r="Y424" s="16">
        <v>2307</v>
      </c>
    </row>
    <row r="425" spans="2:25" x14ac:dyDescent="0.2">
      <c r="B425" s="21"/>
      <c r="C425" s="21"/>
      <c r="D425" s="22"/>
      <c r="E425" s="22"/>
      <c r="F425" s="22"/>
      <c r="G425" s="21"/>
      <c r="H425" s="22"/>
      <c r="J425" s="2" t="s">
        <v>86</v>
      </c>
      <c r="K425" s="2" t="s">
        <v>258</v>
      </c>
      <c r="L425" s="5">
        <v>0.85063403844833396</v>
      </c>
      <c r="M425" s="5">
        <v>2.4926776885986301</v>
      </c>
      <c r="N425" s="5">
        <v>0.12249428033828701</v>
      </c>
      <c r="O425" s="5">
        <f>EXP(M425)</f>
        <v>12.093615740390204</v>
      </c>
      <c r="Q425" s="16" t="s">
        <v>258</v>
      </c>
      <c r="R425" s="16" t="s">
        <v>1051</v>
      </c>
      <c r="S425" s="17">
        <v>6.1277307291999999E-18</v>
      </c>
      <c r="T425" s="16">
        <v>0.55128200000000005</v>
      </c>
      <c r="U425" s="16" t="s">
        <v>942</v>
      </c>
      <c r="V425" s="16">
        <v>0.19631901840490801</v>
      </c>
      <c r="W425" s="16" t="s">
        <v>1054</v>
      </c>
      <c r="X425" s="16">
        <v>4985</v>
      </c>
      <c r="Y425" s="16">
        <v>1155</v>
      </c>
    </row>
    <row r="426" spans="2:25" x14ac:dyDescent="0.2">
      <c r="B426" s="21" t="s">
        <v>86</v>
      </c>
      <c r="C426" s="21" t="s">
        <v>254</v>
      </c>
      <c r="D426" s="22">
        <v>0.93197137117385898</v>
      </c>
      <c r="E426" s="22">
        <v>1.1238982677459699</v>
      </c>
      <c r="F426" s="22">
        <v>0.12638133764267001</v>
      </c>
      <c r="G426" s="21" t="s">
        <v>1113</v>
      </c>
      <c r="H426" s="22">
        <f>POWER(10,E426)</f>
        <v>13.301427992930517</v>
      </c>
      <c r="J426" s="2" t="s">
        <v>86</v>
      </c>
      <c r="K426" s="2" t="s">
        <v>254</v>
      </c>
      <c r="L426" s="5">
        <v>0.85298806428909302</v>
      </c>
      <c r="M426" s="5">
        <v>0.70173883438110396</v>
      </c>
      <c r="N426" s="5">
        <v>0.140206679701805</v>
      </c>
      <c r="O426" s="5">
        <f>EXP(M426)</f>
        <v>2.0172573360145365</v>
      </c>
      <c r="Q426" s="16" t="s">
        <v>254</v>
      </c>
      <c r="R426" s="16" t="s">
        <v>1051</v>
      </c>
      <c r="S426" s="17">
        <v>2.13491948957E-23</v>
      </c>
      <c r="T426" s="16">
        <v>0.66043600000000002</v>
      </c>
      <c r="U426" s="16" t="s">
        <v>942</v>
      </c>
      <c r="V426" s="16">
        <v>0.100325379609544</v>
      </c>
      <c r="W426" s="16" t="s">
        <v>1053</v>
      </c>
      <c r="X426" s="16">
        <v>4985</v>
      </c>
      <c r="Y426" s="16">
        <v>334</v>
      </c>
    </row>
    <row r="427" spans="2:25" x14ac:dyDescent="0.2">
      <c r="B427" s="21" t="s">
        <v>86</v>
      </c>
      <c r="C427" s="21" t="s">
        <v>221</v>
      </c>
      <c r="D427" s="22">
        <v>0.93101501464843806</v>
      </c>
      <c r="E427" s="22">
        <v>4.0549099445342997E-2</v>
      </c>
      <c r="F427" s="22">
        <v>0.5493523478508</v>
      </c>
      <c r="G427" s="21" t="s">
        <v>1113</v>
      </c>
      <c r="H427" s="22">
        <f>POWER(10,E427)</f>
        <v>1.0978654031455271</v>
      </c>
      <c r="J427" s="2" t="s">
        <v>86</v>
      </c>
      <c r="K427" s="2" t="s">
        <v>221</v>
      </c>
      <c r="L427" s="5">
        <v>0.84825700521469105</v>
      </c>
      <c r="M427" s="5">
        <v>0.55790239572525002</v>
      </c>
      <c r="N427" s="5">
        <v>0.42929428815841703</v>
      </c>
      <c r="O427" s="5">
        <f>EXP(M427)</f>
        <v>1.7470041309144924</v>
      </c>
      <c r="Q427" s="16" t="s">
        <v>221</v>
      </c>
      <c r="R427" s="16" t="s">
        <v>1051</v>
      </c>
      <c r="S427" s="17">
        <v>2.3495135104099999E-7</v>
      </c>
      <c r="T427" s="16">
        <v>0.65641000000000005</v>
      </c>
      <c r="U427" s="16" t="s">
        <v>942</v>
      </c>
      <c r="V427" s="16">
        <v>0.75596529284164904</v>
      </c>
      <c r="W427" s="16" t="s">
        <v>1053</v>
      </c>
      <c r="X427" s="16">
        <v>4985</v>
      </c>
      <c r="Y427" s="16">
        <v>1977</v>
      </c>
    </row>
    <row r="428" spans="2:25" x14ac:dyDescent="0.2">
      <c r="B428" s="21" t="s">
        <v>86</v>
      </c>
      <c r="C428" s="21" t="s">
        <v>276</v>
      </c>
      <c r="D428" s="22">
        <v>0.93746340274810802</v>
      </c>
      <c r="E428" s="22">
        <v>0.597511947154999</v>
      </c>
      <c r="F428" s="22">
        <v>0.51883506774902299</v>
      </c>
      <c r="G428" s="21" t="s">
        <v>1113</v>
      </c>
      <c r="H428" s="22">
        <f>POWER(10,E428)</f>
        <v>3.9583295378965446</v>
      </c>
      <c r="J428" s="2" t="s">
        <v>86</v>
      </c>
      <c r="K428" s="2" t="s">
        <v>276</v>
      </c>
      <c r="L428" s="5">
        <v>0.86089974641799905</v>
      </c>
      <c r="M428" s="5">
        <v>0.56891113519668601</v>
      </c>
      <c r="N428" s="5">
        <v>0.52187907695770297</v>
      </c>
      <c r="O428" s="5">
        <f>EXP(M428)</f>
        <v>1.7663426955503949</v>
      </c>
      <c r="Q428" s="16" t="s">
        <v>276</v>
      </c>
      <c r="R428" s="16" t="s">
        <v>1051</v>
      </c>
      <c r="S428" s="17">
        <v>1.3262230632300001E-28</v>
      </c>
      <c r="T428" s="16">
        <v>0.791798</v>
      </c>
      <c r="U428" s="16" t="s">
        <v>942</v>
      </c>
      <c r="V428" s="16">
        <v>0.100325379609544</v>
      </c>
      <c r="W428" s="16" t="s">
        <v>1053</v>
      </c>
      <c r="X428" s="16">
        <v>4985</v>
      </c>
      <c r="Y428" s="16">
        <v>198</v>
      </c>
    </row>
    <row r="429" spans="2:25" x14ac:dyDescent="0.2">
      <c r="B429" s="21"/>
      <c r="C429" s="21"/>
      <c r="D429" s="22"/>
      <c r="E429" s="22"/>
      <c r="F429" s="22"/>
      <c r="G429" s="21"/>
      <c r="H429" s="22"/>
      <c r="J429" s="2" t="s">
        <v>86</v>
      </c>
      <c r="K429" s="2" t="s">
        <v>269</v>
      </c>
      <c r="L429" s="5">
        <v>0.88605606555938698</v>
      </c>
      <c r="M429" s="5">
        <v>1.13658463954926</v>
      </c>
      <c r="N429" s="5">
        <v>0.64006042480468806</v>
      </c>
      <c r="O429" s="5">
        <f>EXP(M429)</f>
        <v>3.1161075398166744</v>
      </c>
      <c r="Q429" s="16" t="s">
        <v>269</v>
      </c>
      <c r="R429" s="16" t="s">
        <v>1051</v>
      </c>
      <c r="S429" s="17">
        <v>1.4449652585599999E-10</v>
      </c>
      <c r="T429" s="16">
        <v>0.65232999999999997</v>
      </c>
      <c r="U429" s="16" t="s">
        <v>942</v>
      </c>
      <c r="V429" s="16">
        <v>0.19631901840490801</v>
      </c>
      <c r="W429" s="16" t="s">
        <v>1054</v>
      </c>
      <c r="X429" s="16">
        <v>4985</v>
      </c>
      <c r="Y429" s="16">
        <v>1449</v>
      </c>
    </row>
    <row r="430" spans="2:25" x14ac:dyDescent="0.2">
      <c r="J430" s="2" t="s">
        <v>86</v>
      </c>
      <c r="K430" s="2" t="s">
        <v>131</v>
      </c>
      <c r="L430" s="5">
        <v>0.85141247510910001</v>
      </c>
      <c r="M430" s="5">
        <v>-0.305206388235092</v>
      </c>
      <c r="N430" s="5">
        <v>0.81276124715805098</v>
      </c>
      <c r="O430" s="5">
        <f>EXP(M430)</f>
        <v>0.73697125649755379</v>
      </c>
      <c r="Q430" s="16" t="s">
        <v>131</v>
      </c>
      <c r="R430" s="16" t="s">
        <v>1051</v>
      </c>
      <c r="S430" s="17">
        <v>9.7685783882500006E-13</v>
      </c>
      <c r="T430" s="16">
        <v>0.58227799999999996</v>
      </c>
      <c r="U430" s="16" t="s">
        <v>942</v>
      </c>
      <c r="V430" s="16">
        <v>0.72776073619631898</v>
      </c>
      <c r="W430" s="16" t="s">
        <v>1054</v>
      </c>
      <c r="X430" s="16">
        <v>4985</v>
      </c>
      <c r="Y430" s="16">
        <v>1496</v>
      </c>
    </row>
    <row r="431" spans="2:25" x14ac:dyDescent="0.2">
      <c r="J431" s="2" t="s">
        <v>86</v>
      </c>
      <c r="K431" s="2" t="s">
        <v>203</v>
      </c>
      <c r="L431" s="5">
        <v>0.84833335876464799</v>
      </c>
      <c r="M431" s="5">
        <v>0.59133100509643599</v>
      </c>
      <c r="N431" s="5">
        <v>0.21488156914711001</v>
      </c>
      <c r="O431" s="5">
        <f>EXP(M431)</f>
        <v>1.8063911318318566</v>
      </c>
      <c r="Q431" s="16" t="s">
        <v>203</v>
      </c>
      <c r="R431" s="16" t="s">
        <v>1051</v>
      </c>
      <c r="S431" s="17">
        <v>1.6716514083200001E-5</v>
      </c>
      <c r="T431" s="16">
        <v>0.63261299999999998</v>
      </c>
      <c r="U431" s="16" t="s">
        <v>942</v>
      </c>
      <c r="V431" s="16">
        <v>0.19631901840490801</v>
      </c>
      <c r="W431" s="16" t="s">
        <v>1054</v>
      </c>
      <c r="X431" s="16">
        <v>4985</v>
      </c>
      <c r="Y431" s="16">
        <v>2211</v>
      </c>
    </row>
    <row r="432" spans="2:25" x14ac:dyDescent="0.2">
      <c r="B432" s="21" t="s">
        <v>86</v>
      </c>
      <c r="C432" s="21" t="s">
        <v>226</v>
      </c>
      <c r="D432" s="22">
        <v>0.90960264205932595</v>
      </c>
      <c r="E432" s="22">
        <v>-0.23047944903373699</v>
      </c>
      <c r="F432" s="22">
        <v>0.83727234601974498</v>
      </c>
      <c r="G432" s="21" t="s">
        <v>1113</v>
      </c>
      <c r="H432" s="22">
        <f>POWER(10,E432)</f>
        <v>0.58819394702709893</v>
      </c>
      <c r="J432" s="2" t="s">
        <v>86</v>
      </c>
      <c r="K432" s="2" t="s">
        <v>226</v>
      </c>
      <c r="L432" s="5">
        <v>0.80708801746368397</v>
      </c>
      <c r="M432" s="5">
        <v>-0.39553862810134899</v>
      </c>
      <c r="N432" s="5">
        <v>0.80510896444320701</v>
      </c>
      <c r="O432" s="5">
        <f>EXP(M432)</f>
        <v>0.67331727395497154</v>
      </c>
      <c r="Q432" s="16" t="s">
        <v>226</v>
      </c>
      <c r="R432" s="16" t="s">
        <v>1051</v>
      </c>
      <c r="S432" s="17">
        <v>2.9457061760900002E-6</v>
      </c>
      <c r="T432" s="16">
        <v>0.62694300000000003</v>
      </c>
      <c r="U432" s="16" t="s">
        <v>942</v>
      </c>
      <c r="V432" s="16">
        <v>0.75596529284164904</v>
      </c>
      <c r="W432" s="16" t="s">
        <v>1053</v>
      </c>
      <c r="X432" s="16">
        <v>4985</v>
      </c>
      <c r="Y432" s="16">
        <v>2118</v>
      </c>
    </row>
    <row r="433" spans="2:25" x14ac:dyDescent="0.2">
      <c r="J433" s="2" t="s">
        <v>86</v>
      </c>
      <c r="K433" s="2" t="s">
        <v>92</v>
      </c>
      <c r="L433" s="5">
        <v>0.87121003866195701</v>
      </c>
      <c r="M433" s="5">
        <v>0.21911877393722501</v>
      </c>
      <c r="N433" s="5">
        <v>0.63279640674591098</v>
      </c>
      <c r="O433" s="5">
        <f>EXP(M433)</f>
        <v>1.2449791389803637</v>
      </c>
      <c r="Q433" s="16" t="s">
        <v>92</v>
      </c>
      <c r="R433" s="16" t="s">
        <v>1051</v>
      </c>
      <c r="S433" s="17">
        <v>2.0167380113700001E-6</v>
      </c>
      <c r="T433" s="16">
        <v>0.59868399999999999</v>
      </c>
      <c r="U433" s="16" t="s">
        <v>942</v>
      </c>
      <c r="V433" s="16">
        <v>0.72776073619631898</v>
      </c>
      <c r="W433" s="16" t="s">
        <v>1054</v>
      </c>
      <c r="X433" s="16">
        <v>4985</v>
      </c>
      <c r="Y433" s="16">
        <v>2050</v>
      </c>
    </row>
    <row r="434" spans="2:25" x14ac:dyDescent="0.2">
      <c r="B434" s="21" t="s">
        <v>88</v>
      </c>
      <c r="C434" s="21" t="s">
        <v>16</v>
      </c>
      <c r="D434" s="22">
        <v>0.90687304735183705</v>
      </c>
      <c r="E434" s="22">
        <v>-5.3318530321121202E-2</v>
      </c>
      <c r="F434" s="22">
        <v>0.72462618350982699</v>
      </c>
      <c r="G434" s="21" t="s">
        <v>1113</v>
      </c>
      <c r="H434" s="22">
        <f>POWER(10,E434)</f>
        <v>0.88446666584381695</v>
      </c>
      <c r="J434" s="2" t="s">
        <v>88</v>
      </c>
      <c r="K434" s="2" t="s">
        <v>16</v>
      </c>
      <c r="L434" s="5">
        <v>0.84844094514846802</v>
      </c>
      <c r="M434" s="5">
        <v>1.0638999938964799</v>
      </c>
      <c r="N434" s="5">
        <v>0.51143926382064797</v>
      </c>
      <c r="O434" s="5">
        <f>EXP(M434)</f>
        <v>2.8976497978555642</v>
      </c>
      <c r="Q434" s="16" t="s">
        <v>16</v>
      </c>
      <c r="R434" s="16" t="s">
        <v>1055</v>
      </c>
      <c r="S434" s="17">
        <v>1.4500226369600001E-6</v>
      </c>
      <c r="T434" s="16">
        <v>0.69895300000000005</v>
      </c>
      <c r="U434" s="16" t="s">
        <v>942</v>
      </c>
      <c r="V434" s="16">
        <v>0.76978146194423502</v>
      </c>
      <c r="W434" s="16" t="s">
        <v>1056</v>
      </c>
      <c r="X434" s="16">
        <v>4986</v>
      </c>
      <c r="Y434" s="16">
        <v>2073</v>
      </c>
    </row>
    <row r="435" spans="2:25" x14ac:dyDescent="0.2">
      <c r="B435" s="21"/>
      <c r="C435" s="21"/>
      <c r="D435" s="22"/>
      <c r="E435" s="22"/>
      <c r="F435" s="22"/>
      <c r="G435" s="21"/>
      <c r="H435" s="22"/>
      <c r="J435" s="2" t="s">
        <v>88</v>
      </c>
      <c r="K435" s="2" t="s">
        <v>7</v>
      </c>
      <c r="L435" s="5">
        <v>0.88631296157836903</v>
      </c>
      <c r="M435" s="5">
        <v>-1.65776491165161</v>
      </c>
      <c r="N435" s="5">
        <v>0.90786844491958596</v>
      </c>
      <c r="O435" s="5">
        <f>EXP(M435)</f>
        <v>0.19056443280559437</v>
      </c>
      <c r="Q435" s="16" t="s">
        <v>7</v>
      </c>
      <c r="R435" s="16" t="s">
        <v>1055</v>
      </c>
      <c r="S435" s="17">
        <v>5.7798610342300002E-10</v>
      </c>
      <c r="T435" s="16">
        <v>0.71672400000000003</v>
      </c>
      <c r="U435" s="16" t="s">
        <v>942</v>
      </c>
      <c r="V435" s="16">
        <v>0.90277777777777801</v>
      </c>
      <c r="W435" s="16" t="s">
        <v>1057</v>
      </c>
      <c r="X435" s="16">
        <v>4986</v>
      </c>
      <c r="Y435" s="16">
        <v>1727</v>
      </c>
    </row>
    <row r="436" spans="2:25" x14ac:dyDescent="0.2">
      <c r="B436" s="21" t="s">
        <v>88</v>
      </c>
      <c r="C436" s="21" t="s">
        <v>181</v>
      </c>
      <c r="D436" s="22">
        <v>0.88534802198410001</v>
      </c>
      <c r="E436" s="22">
        <v>1.2851701974868801</v>
      </c>
      <c r="F436" s="22">
        <v>0.53731369972229004</v>
      </c>
      <c r="G436" s="21" t="s">
        <v>1113</v>
      </c>
      <c r="H436" s="22">
        <f>POWER(10,E436)</f>
        <v>19.282804470523587</v>
      </c>
      <c r="J436" s="2" t="s">
        <v>88</v>
      </c>
      <c r="K436" s="2" t="s">
        <v>181</v>
      </c>
      <c r="L436" s="5">
        <v>0.83004248142242398</v>
      </c>
      <c r="M436" s="5">
        <v>0.75420916080474898</v>
      </c>
      <c r="N436" s="5">
        <v>0.52854239940643299</v>
      </c>
      <c r="O436" s="5">
        <f>EXP(M436)</f>
        <v>2.1259295899274608</v>
      </c>
      <c r="Q436" s="16" t="s">
        <v>181</v>
      </c>
      <c r="R436" s="16" t="s">
        <v>1055</v>
      </c>
      <c r="S436" s="17">
        <v>4.7956981113199999E-45</v>
      </c>
      <c r="T436" s="16">
        <v>0.775281</v>
      </c>
      <c r="U436" s="16" t="s">
        <v>942</v>
      </c>
      <c r="V436" s="16">
        <v>0.76978146194423502</v>
      </c>
      <c r="W436" s="16" t="s">
        <v>1056</v>
      </c>
      <c r="X436" s="16">
        <v>4986</v>
      </c>
      <c r="Y436" s="16">
        <v>373</v>
      </c>
    </row>
    <row r="437" spans="2:25" x14ac:dyDescent="0.2">
      <c r="B437" s="21"/>
      <c r="C437" s="21"/>
      <c r="D437" s="22"/>
      <c r="E437" s="22"/>
      <c r="F437" s="22"/>
      <c r="G437" s="21"/>
      <c r="H437" s="22"/>
      <c r="J437" s="2" t="s">
        <v>88</v>
      </c>
      <c r="K437" s="2" t="s">
        <v>45</v>
      </c>
      <c r="L437" s="5">
        <v>0.83740180730819702</v>
      </c>
      <c r="M437" s="5">
        <v>-0.29775559902191201</v>
      </c>
      <c r="N437" s="5">
        <v>0.70648181438446001</v>
      </c>
      <c r="O437" s="5">
        <f>EXP(M437)</f>
        <v>0.74248278109256272</v>
      </c>
      <c r="Q437" s="16" t="s">
        <v>45</v>
      </c>
      <c r="R437" s="16" t="s">
        <v>1055</v>
      </c>
      <c r="S437" s="17">
        <v>2.45644093955E-9</v>
      </c>
      <c r="T437" s="16">
        <v>0.782609</v>
      </c>
      <c r="U437" s="16" t="s">
        <v>942</v>
      </c>
      <c r="V437" s="16">
        <v>0.81751824817518204</v>
      </c>
      <c r="W437" s="16" t="s">
        <v>1058</v>
      </c>
      <c r="X437" s="16">
        <v>4986</v>
      </c>
      <c r="Y437" s="16">
        <v>1775</v>
      </c>
    </row>
    <row r="438" spans="2:25" x14ac:dyDescent="0.2">
      <c r="B438" s="21" t="s">
        <v>88</v>
      </c>
      <c r="C438" s="21" t="s">
        <v>221</v>
      </c>
      <c r="D438" s="22">
        <v>0.89913845062255904</v>
      </c>
      <c r="E438" s="22">
        <v>-0.37976142764091497</v>
      </c>
      <c r="F438" s="22">
        <v>0.62511068582534801</v>
      </c>
      <c r="G438" s="21" t="s">
        <v>1113</v>
      </c>
      <c r="H438" s="22">
        <f>POWER(10,E438)</f>
        <v>0.41709844655528983</v>
      </c>
      <c r="J438" s="2" t="s">
        <v>88</v>
      </c>
      <c r="K438" s="2" t="s">
        <v>221</v>
      </c>
      <c r="L438" s="5">
        <v>0.82073974609375</v>
      </c>
      <c r="M438" s="5">
        <v>0.27529287338256803</v>
      </c>
      <c r="N438" s="5">
        <v>0.63279283046722401</v>
      </c>
      <c r="O438" s="5">
        <f>EXP(M438)</f>
        <v>1.3169163081277269</v>
      </c>
      <c r="Q438" s="16" t="s">
        <v>221</v>
      </c>
      <c r="R438" s="16" t="s">
        <v>1055</v>
      </c>
      <c r="S438" s="17">
        <v>1.41596968479E-20</v>
      </c>
      <c r="T438" s="16">
        <v>0.68085099999999998</v>
      </c>
      <c r="U438" s="16" t="s">
        <v>942</v>
      </c>
      <c r="V438" s="16">
        <v>0.76978146194423502</v>
      </c>
      <c r="W438" s="16" t="s">
        <v>1056</v>
      </c>
      <c r="X438" s="16">
        <v>4986</v>
      </c>
      <c r="Y438" s="16">
        <v>1024</v>
      </c>
    </row>
    <row r="439" spans="2:25" x14ac:dyDescent="0.2">
      <c r="J439" s="2" t="s">
        <v>88</v>
      </c>
      <c r="K439" s="2" t="s">
        <v>28</v>
      </c>
      <c r="L439" s="5">
        <v>0.83251190185546897</v>
      </c>
      <c r="M439" s="5">
        <v>-0.77987354993820202</v>
      </c>
      <c r="N439" s="5">
        <v>0.76113623380661</v>
      </c>
      <c r="O439" s="5">
        <f>EXP(M439)</f>
        <v>0.45846398043870468</v>
      </c>
      <c r="Q439" s="16" t="s">
        <v>28</v>
      </c>
      <c r="R439" s="16" t="s">
        <v>1055</v>
      </c>
      <c r="S439" s="17">
        <v>6.8754047939600002E-5</v>
      </c>
      <c r="T439" s="16">
        <v>0.65671599999999997</v>
      </c>
      <c r="U439" s="16" t="s">
        <v>942</v>
      </c>
      <c r="V439" s="16">
        <v>0.81751824817518204</v>
      </c>
      <c r="W439" s="16" t="s">
        <v>1058</v>
      </c>
      <c r="X439" s="16">
        <v>4986</v>
      </c>
      <c r="Y439" s="16">
        <v>2283</v>
      </c>
    </row>
    <row r="440" spans="2:25" x14ac:dyDescent="0.2">
      <c r="J440" s="2" t="s">
        <v>93</v>
      </c>
      <c r="K440" s="2" t="s">
        <v>145</v>
      </c>
      <c r="L440" s="5">
        <v>0.84128779172897294</v>
      </c>
      <c r="M440" s="5">
        <v>2.6222777366638201</v>
      </c>
      <c r="N440" s="5">
        <v>0.27172634005546598</v>
      </c>
      <c r="O440" s="5">
        <f>EXP(M440)</f>
        <v>13.767045604405888</v>
      </c>
      <c r="Q440" s="16" t="s">
        <v>145</v>
      </c>
      <c r="R440" s="16" t="s">
        <v>1059</v>
      </c>
      <c r="S440" s="17">
        <v>3.8541841241700001E-17</v>
      </c>
      <c r="T440" s="16">
        <v>0.64827599999999996</v>
      </c>
      <c r="U440" s="16" t="s">
        <v>942</v>
      </c>
      <c r="V440" s="16">
        <v>0.105200945626478</v>
      </c>
      <c r="W440" s="16" t="s">
        <v>1060</v>
      </c>
      <c r="X440" s="16">
        <v>4988</v>
      </c>
      <c r="Y440" s="16">
        <v>1215</v>
      </c>
    </row>
    <row r="441" spans="2:25" x14ac:dyDescent="0.2">
      <c r="J441" s="2" t="s">
        <v>93</v>
      </c>
      <c r="K441" s="2" t="s">
        <v>133</v>
      </c>
      <c r="L441" s="5">
        <v>0.83116811513900801</v>
      </c>
      <c r="M441" s="5">
        <v>0.77348250150680498</v>
      </c>
      <c r="N441" s="5">
        <v>0.81150591373443604</v>
      </c>
      <c r="O441" s="5">
        <f>EXP(M441)</f>
        <v>2.1673007548589869</v>
      </c>
      <c r="Q441" s="16" t="s">
        <v>133</v>
      </c>
      <c r="R441" s="16" t="s">
        <v>1059</v>
      </c>
      <c r="S441" s="17">
        <v>6.6829643208300001E-7</v>
      </c>
      <c r="T441" s="16">
        <v>0.38461499999999998</v>
      </c>
      <c r="U441" s="16" t="s">
        <v>942</v>
      </c>
      <c r="V441" s="16">
        <v>0.77600472813238797</v>
      </c>
      <c r="W441" s="16" t="s">
        <v>1060</v>
      </c>
      <c r="X441" s="16">
        <v>4988</v>
      </c>
      <c r="Y441" s="16">
        <v>2025</v>
      </c>
    </row>
    <row r="442" spans="2:25" x14ac:dyDescent="0.2">
      <c r="J442" s="2" t="s">
        <v>93</v>
      </c>
      <c r="K442" s="2" t="s">
        <v>144</v>
      </c>
      <c r="L442" s="5">
        <v>0.82693737745285001</v>
      </c>
      <c r="M442" s="5">
        <v>1.6427758932113601</v>
      </c>
      <c r="N442" s="5">
        <v>0.47424304485321001</v>
      </c>
      <c r="O442" s="5">
        <f>EXP(M442)</f>
        <v>5.169499592471527</v>
      </c>
      <c r="Q442" s="16" t="s">
        <v>144</v>
      </c>
      <c r="R442" s="16" t="s">
        <v>1059</v>
      </c>
      <c r="S442" s="17">
        <v>7.0691147766899903E-14</v>
      </c>
      <c r="T442" s="16">
        <v>0.60283699999999996</v>
      </c>
      <c r="U442" s="16" t="s">
        <v>942</v>
      </c>
      <c r="V442" s="16">
        <v>0.77600472813238797</v>
      </c>
      <c r="W442" s="16" t="s">
        <v>1060</v>
      </c>
      <c r="X442" s="16">
        <v>4988</v>
      </c>
      <c r="Y442" s="16">
        <v>1408</v>
      </c>
    </row>
    <row r="443" spans="2:25" x14ac:dyDescent="0.2">
      <c r="B443" s="21" t="s">
        <v>93</v>
      </c>
      <c r="C443" s="21" t="s">
        <v>181</v>
      </c>
      <c r="D443" s="22">
        <v>0.81008672714233398</v>
      </c>
      <c r="E443" s="22">
        <v>0.82988452911376998</v>
      </c>
      <c r="F443" s="22">
        <v>0.24293883144855499</v>
      </c>
      <c r="G443" s="21" t="s">
        <v>1113</v>
      </c>
      <c r="H443" s="22">
        <f>POWER(10,E443)</f>
        <v>6.7590324130347961</v>
      </c>
      <c r="J443" s="2" t="s">
        <v>93</v>
      </c>
      <c r="K443" s="2" t="s">
        <v>181</v>
      </c>
      <c r="L443" s="5">
        <v>0.80033820867538497</v>
      </c>
      <c r="M443" s="5">
        <v>0.91536188125610396</v>
      </c>
      <c r="N443" s="5">
        <v>0.21123045682907099</v>
      </c>
      <c r="O443" s="5">
        <f>EXP(M443)</f>
        <v>2.4976789515753803</v>
      </c>
      <c r="Q443" s="16" t="s">
        <v>181</v>
      </c>
      <c r="R443" s="16" t="s">
        <v>1059</v>
      </c>
      <c r="S443" s="17">
        <v>3.4676134953799998E-33</v>
      </c>
      <c r="T443" s="16">
        <v>0.66292099999999998</v>
      </c>
      <c r="U443" s="16" t="s">
        <v>942</v>
      </c>
      <c r="V443" s="16">
        <v>0.76322869955156902</v>
      </c>
      <c r="W443" s="16" t="s">
        <v>1061</v>
      </c>
      <c r="X443" s="16">
        <v>4988</v>
      </c>
      <c r="Y443" s="16">
        <v>295</v>
      </c>
    </row>
    <row r="444" spans="2:25" x14ac:dyDescent="0.2">
      <c r="B444" s="21"/>
      <c r="C444" s="21"/>
      <c r="D444" s="22"/>
      <c r="E444" s="22"/>
      <c r="F444" s="22"/>
      <c r="G444" s="21"/>
      <c r="H444" s="22"/>
      <c r="J444" s="2" t="s">
        <v>93</v>
      </c>
      <c r="K444" s="2" t="s">
        <v>271</v>
      </c>
      <c r="L444" s="5">
        <v>0.81082928180694602</v>
      </c>
      <c r="M444" s="5">
        <v>2.0808024406433101</v>
      </c>
      <c r="N444" s="5">
        <v>0.41209080815315202</v>
      </c>
      <c r="O444" s="5">
        <f>EXP(M444)</f>
        <v>8.0108946032534885</v>
      </c>
      <c r="Q444" s="16" t="s">
        <v>271</v>
      </c>
      <c r="R444" s="16" t="s">
        <v>1059</v>
      </c>
      <c r="S444" s="17">
        <v>4.1886881917000003E-55</v>
      </c>
      <c r="T444" s="16">
        <v>0.68656700000000004</v>
      </c>
      <c r="U444" s="16" t="s">
        <v>942</v>
      </c>
      <c r="V444" s="16">
        <v>0.105200945626478</v>
      </c>
      <c r="W444" s="16" t="s">
        <v>1060</v>
      </c>
      <c r="X444" s="16">
        <v>4988</v>
      </c>
      <c r="Y444" s="16">
        <v>275</v>
      </c>
    </row>
    <row r="445" spans="2:25" x14ac:dyDescent="0.2">
      <c r="B445" s="21"/>
      <c r="C445" s="21"/>
      <c r="D445" s="22"/>
      <c r="E445" s="22"/>
      <c r="F445" s="22"/>
      <c r="G445" s="21"/>
      <c r="H445" s="22"/>
      <c r="J445" s="2" t="s">
        <v>93</v>
      </c>
      <c r="K445" s="2" t="s">
        <v>90</v>
      </c>
      <c r="L445" s="5">
        <v>0.80799764394760099</v>
      </c>
      <c r="M445" s="5">
        <v>0.92433780431747403</v>
      </c>
      <c r="N445" s="5">
        <v>0.90253949165344205</v>
      </c>
      <c r="O445" s="5">
        <f>EXP(M445)</f>
        <v>2.5201988428857645</v>
      </c>
      <c r="Q445" s="16" t="s">
        <v>90</v>
      </c>
      <c r="R445" s="16" t="s">
        <v>1059</v>
      </c>
      <c r="S445" s="17">
        <v>3.5770901611899998E-13</v>
      </c>
      <c r="T445" s="16">
        <v>0.52452799999999999</v>
      </c>
      <c r="U445" s="16" t="s">
        <v>942</v>
      </c>
      <c r="V445" s="16">
        <v>0.80392156862745101</v>
      </c>
      <c r="W445" s="16" t="s">
        <v>1062</v>
      </c>
      <c r="X445" s="16">
        <v>4988</v>
      </c>
      <c r="Y445" s="16">
        <v>1467</v>
      </c>
    </row>
    <row r="446" spans="2:25" x14ac:dyDescent="0.2">
      <c r="B446" s="21"/>
      <c r="C446" s="21"/>
      <c r="D446" s="22"/>
      <c r="E446" s="22"/>
      <c r="F446" s="22"/>
      <c r="G446" s="21"/>
      <c r="H446" s="22"/>
      <c r="J446" s="2" t="s">
        <v>93</v>
      </c>
      <c r="K446" s="2" t="s">
        <v>129</v>
      </c>
      <c r="L446" s="5">
        <v>0.83389854431152299</v>
      </c>
      <c r="M446" s="5">
        <v>0.17873331904411299</v>
      </c>
      <c r="N446" s="5">
        <v>0.75008666515350297</v>
      </c>
      <c r="O446" s="5">
        <f>EXP(M446)</f>
        <v>1.1957018307385274</v>
      </c>
      <c r="Q446" s="16" t="s">
        <v>129</v>
      </c>
      <c r="R446" s="16" t="s">
        <v>1059</v>
      </c>
      <c r="S446" s="17">
        <v>3.06268411099E-21</v>
      </c>
      <c r="T446" s="16">
        <v>0.63013699999999995</v>
      </c>
      <c r="U446" s="16" t="s">
        <v>942</v>
      </c>
      <c r="V446" s="16">
        <v>0.77600472813238797</v>
      </c>
      <c r="W446" s="16" t="s">
        <v>1060</v>
      </c>
      <c r="X446" s="16">
        <v>4988</v>
      </c>
      <c r="Y446" s="16">
        <v>992</v>
      </c>
    </row>
    <row r="447" spans="2:25" x14ac:dyDescent="0.2">
      <c r="B447" s="21"/>
      <c r="C447" s="21"/>
      <c r="D447" s="22"/>
      <c r="E447" s="22"/>
      <c r="F447" s="22"/>
      <c r="G447" s="21"/>
      <c r="H447" s="22"/>
      <c r="J447" s="2" t="s">
        <v>93</v>
      </c>
      <c r="K447" s="2" t="s">
        <v>222</v>
      </c>
      <c r="L447" s="5">
        <v>0.78463780879974399</v>
      </c>
      <c r="M447" s="5">
        <v>-0.49306073784828203</v>
      </c>
      <c r="N447" s="5">
        <v>0.83635509014129605</v>
      </c>
      <c r="O447" s="5">
        <f>EXP(M447)</f>
        <v>0.61075417204505977</v>
      </c>
      <c r="Q447" s="16" t="s">
        <v>222</v>
      </c>
      <c r="R447" s="16" t="s">
        <v>1059</v>
      </c>
      <c r="S447" s="17">
        <v>6.3586750546999997E-15</v>
      </c>
      <c r="T447" s="16">
        <v>0.64921499999999999</v>
      </c>
      <c r="U447" s="16" t="s">
        <v>942</v>
      </c>
      <c r="V447" s="16">
        <v>0.105200945626478</v>
      </c>
      <c r="W447" s="16" t="s">
        <v>1060</v>
      </c>
      <c r="X447" s="16">
        <v>4988</v>
      </c>
      <c r="Y447" s="16">
        <v>1345</v>
      </c>
    </row>
    <row r="448" spans="2:25" x14ac:dyDescent="0.2">
      <c r="J448" s="2" t="s">
        <v>93</v>
      </c>
      <c r="K448" s="2" t="s">
        <v>217</v>
      </c>
      <c r="L448" s="5">
        <v>0.82133287191391002</v>
      </c>
      <c r="M448" s="5">
        <v>2.0271942615509002</v>
      </c>
      <c r="N448" s="5">
        <v>9.2224441468715695E-2</v>
      </c>
      <c r="O448" s="5">
        <f>EXP(M448)</f>
        <v>7.59275316560342</v>
      </c>
      <c r="Q448" s="16" t="s">
        <v>217</v>
      </c>
      <c r="R448" s="16" t="s">
        <v>1059</v>
      </c>
      <c r="S448" s="17">
        <v>5.1164732208600001E-55</v>
      </c>
      <c r="T448" s="16">
        <v>0.75568199999999996</v>
      </c>
      <c r="U448" s="16" t="s">
        <v>942</v>
      </c>
      <c r="V448" s="16">
        <v>0.105200945626478</v>
      </c>
      <c r="W448" s="16" t="s">
        <v>1060</v>
      </c>
      <c r="X448" s="16">
        <v>4988</v>
      </c>
      <c r="Y448" s="16">
        <v>277</v>
      </c>
    </row>
    <row r="449" spans="2:25" x14ac:dyDescent="0.2">
      <c r="J449" s="2" t="s">
        <v>93</v>
      </c>
      <c r="K449" s="2" t="s">
        <v>45</v>
      </c>
      <c r="L449" s="5">
        <v>0.81945228576660201</v>
      </c>
      <c r="M449" s="5">
        <v>0.64496380090713501</v>
      </c>
      <c r="N449" s="5">
        <v>0.53495615720748901</v>
      </c>
      <c r="O449" s="5">
        <f>EXP(M449)</f>
        <v>1.9059180355192138</v>
      </c>
      <c r="Q449" s="16" t="s">
        <v>45</v>
      </c>
      <c r="R449" s="16" t="s">
        <v>1059</v>
      </c>
      <c r="S449" s="17">
        <v>8.59914531629E-23</v>
      </c>
      <c r="T449" s="16">
        <v>0.782609</v>
      </c>
      <c r="U449" s="16" t="s">
        <v>942</v>
      </c>
      <c r="V449" s="16">
        <v>0.77600472813238797</v>
      </c>
      <c r="W449" s="16" t="s">
        <v>1060</v>
      </c>
      <c r="X449" s="16">
        <v>4988</v>
      </c>
      <c r="Y449" s="16">
        <v>920</v>
      </c>
    </row>
    <row r="450" spans="2:25" x14ac:dyDescent="0.2">
      <c r="J450" s="2" t="s">
        <v>93</v>
      </c>
      <c r="K450" s="2" t="s">
        <v>193</v>
      </c>
      <c r="L450" s="5">
        <v>0.83291971683502197</v>
      </c>
      <c r="M450" s="5">
        <v>2.20319604873657</v>
      </c>
      <c r="N450" s="5">
        <v>0.52186036109924305</v>
      </c>
      <c r="O450" s="5">
        <f>EXP(M450)</f>
        <v>9.0539040255989391</v>
      </c>
      <c r="Q450" s="16" t="s">
        <v>193</v>
      </c>
      <c r="R450" s="16" t="s">
        <v>1059</v>
      </c>
      <c r="S450" s="17">
        <v>1.06782932607E-7</v>
      </c>
      <c r="T450" s="16">
        <v>0.60139900000000002</v>
      </c>
      <c r="U450" s="16" t="s">
        <v>942</v>
      </c>
      <c r="V450" s="16">
        <v>0.77600472813238797</v>
      </c>
      <c r="W450" s="16" t="s">
        <v>1060</v>
      </c>
      <c r="X450" s="16">
        <v>4988</v>
      </c>
      <c r="Y450" s="16">
        <v>1949</v>
      </c>
    </row>
    <row r="451" spans="2:25" x14ac:dyDescent="0.2">
      <c r="J451" s="2" t="s">
        <v>93</v>
      </c>
      <c r="K451" s="2" t="s">
        <v>141</v>
      </c>
      <c r="L451" s="5">
        <v>0.84923726320266701</v>
      </c>
      <c r="M451" s="5">
        <v>2.05768942832947</v>
      </c>
      <c r="N451" s="5">
        <v>0.14135238528251601</v>
      </c>
      <c r="O451" s="5">
        <f>EXP(M451)</f>
        <v>7.8278620624275881</v>
      </c>
      <c r="Q451" s="16" t="s">
        <v>141</v>
      </c>
      <c r="R451" s="16" t="s">
        <v>1059</v>
      </c>
      <c r="S451" s="17">
        <v>3.6817385184299999E-34</v>
      </c>
      <c r="T451" s="16">
        <v>0.717557</v>
      </c>
      <c r="U451" s="16" t="s">
        <v>942</v>
      </c>
      <c r="V451" s="16">
        <v>0.105200945626478</v>
      </c>
      <c r="W451" s="16" t="s">
        <v>1060</v>
      </c>
      <c r="X451" s="16">
        <v>4988</v>
      </c>
      <c r="Y451" s="16">
        <v>628</v>
      </c>
    </row>
    <row r="452" spans="2:25" x14ac:dyDescent="0.2">
      <c r="J452" s="2" t="s">
        <v>93</v>
      </c>
      <c r="K452" s="2" t="s">
        <v>185</v>
      </c>
      <c r="L452" s="5">
        <v>0.83736532926559504</v>
      </c>
      <c r="M452" s="5">
        <v>1.0621267557144201</v>
      </c>
      <c r="N452" s="5">
        <v>0.142159312963486</v>
      </c>
      <c r="O452" s="5">
        <f>EXP(M452)</f>
        <v>2.8925161275510489</v>
      </c>
      <c r="Q452" s="16" t="s">
        <v>185</v>
      </c>
      <c r="R452" s="16" t="s">
        <v>1059</v>
      </c>
      <c r="S452" s="17">
        <v>4.2745438298200003E-89</v>
      </c>
      <c r="T452" s="16">
        <v>0.72289199999999998</v>
      </c>
      <c r="U452" s="16" t="s">
        <v>942</v>
      </c>
      <c r="V452" s="16">
        <v>0.105200945626478</v>
      </c>
      <c r="W452" s="16" t="s">
        <v>1060</v>
      </c>
      <c r="X452" s="16">
        <v>4988</v>
      </c>
      <c r="Y452" s="16">
        <v>120</v>
      </c>
    </row>
    <row r="453" spans="2:25" x14ac:dyDescent="0.2">
      <c r="J453" s="2" t="s">
        <v>93</v>
      </c>
      <c r="K453" s="2" t="s">
        <v>156</v>
      </c>
      <c r="L453" s="5">
        <v>0.84153270721435602</v>
      </c>
      <c r="M453" s="5">
        <v>-0.34168532490730302</v>
      </c>
      <c r="N453" s="5">
        <v>0.16907058656215701</v>
      </c>
      <c r="O453" s="5">
        <f>EXP(M453)</f>
        <v>0.71057176876951711</v>
      </c>
      <c r="Q453" s="16" t="s">
        <v>156</v>
      </c>
      <c r="R453" s="16" t="s">
        <v>1059</v>
      </c>
      <c r="S453" s="17">
        <v>2.2515765635000001E-11</v>
      </c>
      <c r="T453" s="16">
        <v>0.58415799999999996</v>
      </c>
      <c r="U453" s="16" t="s">
        <v>942</v>
      </c>
      <c r="V453" s="16">
        <v>0.105200945626478</v>
      </c>
      <c r="W453" s="16" t="s">
        <v>1060</v>
      </c>
      <c r="X453" s="16">
        <v>4988</v>
      </c>
      <c r="Y453" s="16">
        <v>1625</v>
      </c>
    </row>
    <row r="454" spans="2:25" x14ac:dyDescent="0.2">
      <c r="J454" s="2" t="s">
        <v>93</v>
      </c>
      <c r="K454" s="2" t="s">
        <v>73</v>
      </c>
      <c r="L454" s="5">
        <v>0.86026757955551203</v>
      </c>
      <c r="M454" s="5">
        <v>0.64800304174423196</v>
      </c>
      <c r="N454" s="5">
        <v>0.29423585534095797</v>
      </c>
      <c r="O454" s="5">
        <f>EXP(M454)</f>
        <v>1.9117193908373349</v>
      </c>
      <c r="Q454" s="16" t="s">
        <v>73</v>
      </c>
      <c r="R454" s="16" t="s">
        <v>1059</v>
      </c>
      <c r="S454" s="17">
        <v>2.0567067343900002E-12</v>
      </c>
      <c r="T454" s="16">
        <v>0.60606099999999996</v>
      </c>
      <c r="U454" s="16" t="s">
        <v>942</v>
      </c>
      <c r="V454" s="16">
        <v>0.77600472813238797</v>
      </c>
      <c r="W454" s="16" t="s">
        <v>1060</v>
      </c>
      <c r="X454" s="16">
        <v>4988</v>
      </c>
      <c r="Y454" s="16">
        <v>1527</v>
      </c>
    </row>
    <row r="455" spans="2:25" x14ac:dyDescent="0.2">
      <c r="J455" s="2" t="s">
        <v>93</v>
      </c>
      <c r="K455" s="2" t="s">
        <v>274</v>
      </c>
      <c r="L455" s="5">
        <v>0.81844949722289995</v>
      </c>
      <c r="M455" s="5">
        <v>1.4388017654418901</v>
      </c>
      <c r="N455" s="5">
        <v>0.121026888489723</v>
      </c>
      <c r="O455" s="5">
        <f>EXP(M455)</f>
        <v>4.2156414621654106</v>
      </c>
      <c r="Q455" s="16" t="s">
        <v>274</v>
      </c>
      <c r="R455" s="16" t="s">
        <v>1059</v>
      </c>
      <c r="S455" s="17">
        <v>5.7928681996900004E-50</v>
      </c>
      <c r="T455" s="16">
        <v>0.603352</v>
      </c>
      <c r="U455" s="16" t="s">
        <v>942</v>
      </c>
      <c r="V455" s="16">
        <v>0.105200945626478</v>
      </c>
      <c r="W455" s="16" t="s">
        <v>1060</v>
      </c>
      <c r="X455" s="16">
        <v>4988</v>
      </c>
      <c r="Y455" s="16">
        <v>322</v>
      </c>
    </row>
    <row r="456" spans="2:25" x14ac:dyDescent="0.2">
      <c r="J456" s="2" t="s">
        <v>93</v>
      </c>
      <c r="K456" s="2" t="s">
        <v>139</v>
      </c>
      <c r="L456" s="5">
        <v>0.562733113765717</v>
      </c>
      <c r="M456" s="5">
        <v>1.27724897861481</v>
      </c>
      <c r="N456" s="5">
        <v>0.52042049169540405</v>
      </c>
      <c r="O456" s="5">
        <f>EXP(M456)</f>
        <v>3.586758890195735</v>
      </c>
      <c r="Q456" s="16" t="s">
        <v>139</v>
      </c>
      <c r="R456" s="16" t="s">
        <v>1059</v>
      </c>
      <c r="S456" s="17">
        <v>6.4496956963599902E-14</v>
      </c>
      <c r="T456" s="16">
        <v>0.70676700000000003</v>
      </c>
      <c r="U456" s="16" t="s">
        <v>942</v>
      </c>
      <c r="V456" s="16">
        <v>0.13703703703703701</v>
      </c>
      <c r="W456" s="16" t="s">
        <v>1063</v>
      </c>
      <c r="X456" s="16">
        <v>4988</v>
      </c>
      <c r="Y456" s="16">
        <v>627</v>
      </c>
    </row>
    <row r="457" spans="2:25" x14ac:dyDescent="0.2">
      <c r="B457" s="21" t="s">
        <v>93</v>
      </c>
      <c r="C457" s="21" t="s">
        <v>223</v>
      </c>
      <c r="D457" s="22">
        <v>0.85958224534988403</v>
      </c>
      <c r="E457" s="22">
        <v>0.74959295988082897</v>
      </c>
      <c r="F457" s="22">
        <v>0.23087704181671101</v>
      </c>
      <c r="G457" s="21" t="s">
        <v>1113</v>
      </c>
      <c r="H457" s="22">
        <f>POWER(10,E457)</f>
        <v>5.6181452078103451</v>
      </c>
      <c r="J457" s="2" t="s">
        <v>93</v>
      </c>
      <c r="K457" s="2" t="s">
        <v>223</v>
      </c>
      <c r="L457" s="5">
        <v>0.81082135438919101</v>
      </c>
      <c r="M457" s="5">
        <v>1.2249730825424201</v>
      </c>
      <c r="N457" s="5">
        <v>0.19491049647331199</v>
      </c>
      <c r="O457" s="5">
        <f>EXP(M457)</f>
        <v>3.4040744525279227</v>
      </c>
      <c r="Q457" s="16" t="s">
        <v>223</v>
      </c>
      <c r="R457" s="16" t="s">
        <v>1059</v>
      </c>
      <c r="S457" s="17">
        <v>5.7798610342300002E-10</v>
      </c>
      <c r="T457" s="16">
        <v>0.57534200000000002</v>
      </c>
      <c r="U457" s="16" t="s">
        <v>942</v>
      </c>
      <c r="V457" s="16">
        <v>0.76322869955156902</v>
      </c>
      <c r="W457" s="16" t="s">
        <v>1061</v>
      </c>
      <c r="X457" s="16">
        <v>4988</v>
      </c>
      <c r="Y457" s="16">
        <v>1729</v>
      </c>
    </row>
    <row r="458" spans="2:25" x14ac:dyDescent="0.2">
      <c r="B458" s="21"/>
      <c r="C458" s="21"/>
      <c r="D458" s="22"/>
      <c r="E458" s="22"/>
      <c r="F458" s="22"/>
      <c r="G458" s="21"/>
      <c r="H458" s="22"/>
      <c r="J458" s="2" t="s">
        <v>93</v>
      </c>
      <c r="K458" s="2" t="s">
        <v>258</v>
      </c>
      <c r="L458" s="5">
        <v>0.79781812429428101</v>
      </c>
      <c r="M458" s="5">
        <v>2.5655059814453098</v>
      </c>
      <c r="N458" s="5">
        <v>9.1057069599628504E-2</v>
      </c>
      <c r="O458" s="5">
        <f>EXP(M458)</f>
        <v>13.007238126059448</v>
      </c>
      <c r="Q458" s="16" t="s">
        <v>258</v>
      </c>
      <c r="R458" s="16" t="s">
        <v>1059</v>
      </c>
      <c r="S458" s="17">
        <v>7.0734990381599896E-46</v>
      </c>
      <c r="T458" s="16">
        <v>0.60451999999999995</v>
      </c>
      <c r="U458" s="16" t="s">
        <v>942</v>
      </c>
      <c r="V458" s="16">
        <v>0.105200945626478</v>
      </c>
      <c r="W458" s="16" t="s">
        <v>1060</v>
      </c>
      <c r="X458" s="16">
        <v>4988</v>
      </c>
      <c r="Y458" s="16">
        <v>364</v>
      </c>
    </row>
    <row r="459" spans="2:25" x14ac:dyDescent="0.2">
      <c r="B459" s="21"/>
      <c r="C459" s="21"/>
      <c r="D459" s="22"/>
      <c r="E459" s="22"/>
      <c r="F459" s="22"/>
      <c r="G459" s="21"/>
      <c r="H459" s="22"/>
      <c r="J459" s="2" t="s">
        <v>93</v>
      </c>
      <c r="K459" s="2" t="s">
        <v>254</v>
      </c>
      <c r="L459" s="5">
        <v>0.81035083532333396</v>
      </c>
      <c r="M459" s="5">
        <v>0.74513524770736705</v>
      </c>
      <c r="N459" s="5">
        <v>0.159844055771828</v>
      </c>
      <c r="O459" s="5">
        <f>EXP(M459)</f>
        <v>2.1067263456218326</v>
      </c>
      <c r="Q459" s="16" t="s">
        <v>254</v>
      </c>
      <c r="R459" s="16" t="s">
        <v>1059</v>
      </c>
      <c r="S459" s="17">
        <v>9.4091862767799993E-28</v>
      </c>
      <c r="T459" s="16">
        <v>0.69696999999999998</v>
      </c>
      <c r="U459" s="16" t="s">
        <v>942</v>
      </c>
      <c r="V459" s="16">
        <v>0.105200945626478</v>
      </c>
      <c r="W459" s="16" t="s">
        <v>1060</v>
      </c>
      <c r="X459" s="16">
        <v>4988</v>
      </c>
      <c r="Y459" s="16">
        <v>767</v>
      </c>
    </row>
    <row r="460" spans="2:25" x14ac:dyDescent="0.2">
      <c r="B460" s="21" t="s">
        <v>93</v>
      </c>
      <c r="C460" s="21" t="s">
        <v>221</v>
      </c>
      <c r="D460" s="22">
        <v>0.86159193515777599</v>
      </c>
      <c r="E460" s="22">
        <v>-1.35589015483856</v>
      </c>
      <c r="F460" s="22">
        <v>0.37226635217666598</v>
      </c>
      <c r="G460" s="21" t="s">
        <v>1113</v>
      </c>
      <c r="H460" s="22">
        <f>POWER(10,E460)</f>
        <v>4.4066630618561857E-2</v>
      </c>
      <c r="J460" s="2" t="s">
        <v>93</v>
      </c>
      <c r="K460" s="2" t="s">
        <v>221</v>
      </c>
      <c r="L460" s="5">
        <v>0.83674937486648604</v>
      </c>
      <c r="M460" s="5">
        <v>0.157527655363083</v>
      </c>
      <c r="N460" s="5">
        <v>0.48332962393760698</v>
      </c>
      <c r="O460" s="5">
        <f>EXP(M460)</f>
        <v>1.170613131265219</v>
      </c>
      <c r="Q460" s="16" t="s">
        <v>221</v>
      </c>
      <c r="R460" s="16" t="s">
        <v>1059</v>
      </c>
      <c r="S460" s="17">
        <v>6.8482844625300005E-17</v>
      </c>
      <c r="T460" s="16">
        <v>0.68085099999999998</v>
      </c>
      <c r="U460" s="16" t="s">
        <v>942</v>
      </c>
      <c r="V460" s="16">
        <v>0.76322869955156902</v>
      </c>
      <c r="W460" s="16" t="s">
        <v>1061</v>
      </c>
      <c r="X460" s="16">
        <v>4988</v>
      </c>
      <c r="Y460" s="16">
        <v>948</v>
      </c>
    </row>
    <row r="461" spans="2:25" x14ac:dyDescent="0.2">
      <c r="B461" s="21"/>
      <c r="C461" s="21"/>
      <c r="D461" s="22"/>
      <c r="E461" s="22"/>
      <c r="F461" s="22"/>
      <c r="G461" s="21"/>
      <c r="H461" s="22"/>
      <c r="J461" s="2" t="s">
        <v>93</v>
      </c>
      <c r="K461" s="2" t="s">
        <v>276</v>
      </c>
      <c r="L461" s="5">
        <v>0.84162122011184703</v>
      </c>
      <c r="M461" s="5">
        <v>0.44227963685989402</v>
      </c>
      <c r="N461" s="5">
        <v>0.39744192361831698</v>
      </c>
      <c r="O461" s="5">
        <f>EXP(M461)</f>
        <v>1.5562508646978923</v>
      </c>
      <c r="Q461" s="16" t="s">
        <v>276</v>
      </c>
      <c r="R461" s="16" t="s">
        <v>1059</v>
      </c>
      <c r="S461" s="17">
        <v>5.0410874194999997E-40</v>
      </c>
      <c r="T461" s="16">
        <v>0.81388000000000005</v>
      </c>
      <c r="U461" s="16" t="s">
        <v>942</v>
      </c>
      <c r="V461" s="16">
        <v>0.105200945626478</v>
      </c>
      <c r="W461" s="16" t="s">
        <v>1060</v>
      </c>
      <c r="X461" s="16">
        <v>4988</v>
      </c>
      <c r="Y461" s="16">
        <v>480</v>
      </c>
    </row>
    <row r="462" spans="2:25" x14ac:dyDescent="0.2">
      <c r="B462" s="21"/>
      <c r="C462" s="21"/>
      <c r="D462" s="22"/>
      <c r="E462" s="22"/>
      <c r="F462" s="22"/>
      <c r="G462" s="21"/>
      <c r="H462" s="22"/>
      <c r="J462" s="2" t="s">
        <v>93</v>
      </c>
      <c r="K462" s="2" t="s">
        <v>269</v>
      </c>
      <c r="L462" s="5">
        <v>0.82683926820755005</v>
      </c>
      <c r="M462" s="5">
        <v>0.95785051584243797</v>
      </c>
      <c r="N462" s="5">
        <v>0.57510274648666404</v>
      </c>
      <c r="O462" s="5">
        <f>EXP(M462)</f>
        <v>2.6060887022958563</v>
      </c>
      <c r="Q462" s="16" t="s">
        <v>269</v>
      </c>
      <c r="R462" s="16" t="s">
        <v>1059</v>
      </c>
      <c r="S462" s="17">
        <v>5.4922730613299999E-31</v>
      </c>
      <c r="T462" s="16">
        <v>0.62171100000000001</v>
      </c>
      <c r="U462" s="16" t="s">
        <v>942</v>
      </c>
      <c r="V462" s="16">
        <v>0.105200945626478</v>
      </c>
      <c r="W462" s="16" t="s">
        <v>1060</v>
      </c>
      <c r="X462" s="16">
        <v>4988</v>
      </c>
      <c r="Y462" s="16">
        <v>701</v>
      </c>
    </row>
    <row r="463" spans="2:25" x14ac:dyDescent="0.2">
      <c r="J463" s="2" t="s">
        <v>93</v>
      </c>
      <c r="K463" s="2" t="s">
        <v>132</v>
      </c>
      <c r="L463" s="5">
        <v>0.82234966754913297</v>
      </c>
      <c r="M463" s="5">
        <v>-0.16969107091426899</v>
      </c>
      <c r="N463" s="5">
        <v>0.469790428876877</v>
      </c>
      <c r="O463" s="5">
        <f>EXP(M463)</f>
        <v>0.84392548945947965</v>
      </c>
      <c r="Q463" s="16" t="s">
        <v>132</v>
      </c>
      <c r="R463" s="16" t="s">
        <v>1059</v>
      </c>
      <c r="S463" s="17">
        <v>2.7707931315500001E-5</v>
      </c>
      <c r="T463" s="16">
        <v>0.57352899999999996</v>
      </c>
      <c r="U463" s="16" t="s">
        <v>942</v>
      </c>
      <c r="V463" s="16">
        <v>0.77600472813238797</v>
      </c>
      <c r="W463" s="16" t="s">
        <v>1060</v>
      </c>
      <c r="X463" s="16">
        <v>4988</v>
      </c>
      <c r="Y463" s="16">
        <v>2232</v>
      </c>
    </row>
    <row r="464" spans="2:25" x14ac:dyDescent="0.2">
      <c r="B464" s="21" t="s">
        <v>93</v>
      </c>
      <c r="C464" s="21" t="s">
        <v>226</v>
      </c>
      <c r="D464" s="22">
        <v>0.83966124057769798</v>
      </c>
      <c r="E464" s="22">
        <v>-0.63276100158691395</v>
      </c>
      <c r="F464" s="22">
        <v>0.70845085382461603</v>
      </c>
      <c r="G464" s="21" t="s">
        <v>1113</v>
      </c>
      <c r="H464" s="22">
        <f>POWER(10,E464)</f>
        <v>0.23293727918948229</v>
      </c>
      <c r="J464" s="2" t="s">
        <v>93</v>
      </c>
      <c r="K464" s="2" t="s">
        <v>226</v>
      </c>
      <c r="L464" s="5">
        <v>0.79243803024292003</v>
      </c>
      <c r="M464" s="5">
        <v>-0.33201843500137301</v>
      </c>
      <c r="N464" s="5">
        <v>0.71643680334091198</v>
      </c>
      <c r="O464" s="5">
        <f>EXP(M464)</f>
        <v>0.71747409609657942</v>
      </c>
      <c r="Q464" s="16" t="s">
        <v>226</v>
      </c>
      <c r="R464" s="16" t="s">
        <v>1059</v>
      </c>
      <c r="S464" s="17">
        <v>2.22791839844E-20</v>
      </c>
      <c r="T464" s="16">
        <v>0.68449199999999999</v>
      </c>
      <c r="U464" s="16" t="s">
        <v>942</v>
      </c>
      <c r="V464" s="16">
        <v>0.76322869955156902</v>
      </c>
      <c r="W464" s="16" t="s">
        <v>1061</v>
      </c>
      <c r="X464" s="16">
        <v>4988</v>
      </c>
      <c r="Y464" s="16">
        <v>1027</v>
      </c>
    </row>
    <row r="465" spans="2:25" x14ac:dyDescent="0.2">
      <c r="B465" s="21"/>
      <c r="C465" s="21"/>
      <c r="D465" s="22"/>
      <c r="E465" s="22"/>
      <c r="F465" s="22"/>
      <c r="G465" s="21"/>
      <c r="H465" s="22"/>
      <c r="J465" s="2" t="s">
        <v>93</v>
      </c>
      <c r="K465" s="2" t="s">
        <v>92</v>
      </c>
      <c r="L465" s="5">
        <v>0.83020412921905495</v>
      </c>
      <c r="M465" s="5">
        <v>8.1112518906593295E-2</v>
      </c>
      <c r="N465" s="5">
        <v>0.70432180166244496</v>
      </c>
      <c r="O465" s="5">
        <f>EXP(M465)</f>
        <v>1.0844929156589822</v>
      </c>
      <c r="Q465" s="16" t="s">
        <v>92</v>
      </c>
      <c r="R465" s="16" t="s">
        <v>1059</v>
      </c>
      <c r="S465" s="17">
        <v>3.14380020737E-20</v>
      </c>
      <c r="T465" s="16">
        <v>0.59868399999999999</v>
      </c>
      <c r="U465" s="16" t="s">
        <v>942</v>
      </c>
      <c r="V465" s="16">
        <v>0.77600472813238797</v>
      </c>
      <c r="W465" s="16" t="s">
        <v>1060</v>
      </c>
      <c r="X465" s="16">
        <v>4988</v>
      </c>
      <c r="Y465" s="16">
        <v>1037</v>
      </c>
    </row>
    <row r="466" spans="2:25" x14ac:dyDescent="0.2">
      <c r="B466" s="21" t="s">
        <v>93</v>
      </c>
      <c r="C466" s="21" t="s">
        <v>192</v>
      </c>
      <c r="D466" s="22">
        <v>0.85895252227783203</v>
      </c>
      <c r="E466" s="22">
        <v>0.61590921878814697</v>
      </c>
      <c r="F466" s="22">
        <v>0.86339443922042902</v>
      </c>
      <c r="G466" s="21" t="s">
        <v>1113</v>
      </c>
      <c r="H466" s="22">
        <f>POWER(10,E466)</f>
        <v>4.1296117108890105</v>
      </c>
      <c r="J466" s="2" t="s">
        <v>93</v>
      </c>
      <c r="K466" s="2" t="s">
        <v>192</v>
      </c>
      <c r="L466" s="5">
        <v>0.82835131883621205</v>
      </c>
      <c r="M466" s="5">
        <v>0.210053235292435</v>
      </c>
      <c r="N466" s="5">
        <v>0.77239340543747004</v>
      </c>
      <c r="O466" s="5">
        <f>EXP(M466)</f>
        <v>1.2337437369171862</v>
      </c>
      <c r="Q466" s="16" t="s">
        <v>192</v>
      </c>
      <c r="R466" s="16" t="s">
        <v>1059</v>
      </c>
      <c r="S466" s="17">
        <v>5.5456321658200003E-6</v>
      </c>
      <c r="T466" s="16">
        <v>0.685083</v>
      </c>
      <c r="U466" s="16" t="s">
        <v>942</v>
      </c>
      <c r="V466" s="16">
        <v>0.76322869955156902</v>
      </c>
      <c r="W466" s="16" t="s">
        <v>1061</v>
      </c>
      <c r="X466" s="16">
        <v>4988</v>
      </c>
      <c r="Y466" s="16">
        <v>1071</v>
      </c>
    </row>
    <row r="467" spans="2:25" x14ac:dyDescent="0.2">
      <c r="J467" s="2" t="s">
        <v>93</v>
      </c>
      <c r="K467" s="2" t="s">
        <v>28</v>
      </c>
      <c r="L467" s="5">
        <v>0.82574361562728904</v>
      </c>
      <c r="M467" s="5">
        <v>1.16285943984985</v>
      </c>
      <c r="N467" s="5">
        <v>0.85151928663253795</v>
      </c>
      <c r="O467" s="5">
        <f>EXP(M467)</f>
        <v>3.1990677519624713</v>
      </c>
      <c r="Q467" s="16" t="s">
        <v>28</v>
      </c>
      <c r="R467" s="16" t="s">
        <v>1059</v>
      </c>
      <c r="S467" s="17">
        <v>4.6238888273799999E-9</v>
      </c>
      <c r="T467" s="16">
        <v>0.65671599999999997</v>
      </c>
      <c r="U467" s="16" t="s">
        <v>942</v>
      </c>
      <c r="V467" s="16">
        <v>0.77600472813238797</v>
      </c>
      <c r="W467" s="16" t="s">
        <v>1060</v>
      </c>
      <c r="X467" s="16">
        <v>4988</v>
      </c>
      <c r="Y467" s="16">
        <v>1804</v>
      </c>
    </row>
    <row r="468" spans="2:25" x14ac:dyDescent="0.2">
      <c r="B468" s="21" t="s">
        <v>278</v>
      </c>
      <c r="C468" s="21" t="s">
        <v>262</v>
      </c>
      <c r="D468" s="22">
        <v>0.88475239276885997</v>
      </c>
      <c r="E468" s="22">
        <v>9.8660454154014601E-2</v>
      </c>
      <c r="F468" s="22">
        <v>0.238621145486832</v>
      </c>
      <c r="G468" s="21" t="s">
        <v>1113</v>
      </c>
      <c r="H468" s="22">
        <f>POWER(10,E468)</f>
        <v>1.2550483415472473</v>
      </c>
      <c r="J468" s="2" t="s">
        <v>278</v>
      </c>
      <c r="K468" s="2" t="s">
        <v>262</v>
      </c>
      <c r="L468" s="5">
        <v>0.67638558149337802</v>
      </c>
      <c r="M468" s="5">
        <v>-0.45482796430587802</v>
      </c>
      <c r="N468" s="5">
        <v>0.60372394323348999</v>
      </c>
      <c r="O468" s="5">
        <f>EXP(M468)</f>
        <v>0.63455712503396677</v>
      </c>
      <c r="Q468" s="16" t="s">
        <v>262</v>
      </c>
      <c r="R468" s="16" t="s">
        <v>278</v>
      </c>
      <c r="S468" s="17">
        <v>5.5363121399000002E-5</v>
      </c>
      <c r="T468" s="16">
        <v>0.56772299999999998</v>
      </c>
      <c r="U468" s="16" t="s">
        <v>942</v>
      </c>
      <c r="V468" s="16">
        <v>0.172786177105832</v>
      </c>
      <c r="W468" s="16" t="s">
        <v>1064</v>
      </c>
      <c r="X468" s="16">
        <v>5139</v>
      </c>
      <c r="Y468" s="16">
        <v>2269</v>
      </c>
    </row>
    <row r="469" spans="2:25" x14ac:dyDescent="0.2">
      <c r="B469" s="21" t="s">
        <v>278</v>
      </c>
      <c r="C469" s="21" t="s">
        <v>279</v>
      </c>
      <c r="D469" s="22">
        <v>0.88503277301788297</v>
      </c>
      <c r="E469" s="22">
        <v>-1.24938523769379</v>
      </c>
      <c r="F469" s="22">
        <v>0.48354905843734702</v>
      </c>
      <c r="G469" s="21" t="s">
        <v>1113</v>
      </c>
      <c r="H469" s="22">
        <f>POWER(10,E469)</f>
        <v>5.6313790691267844E-2</v>
      </c>
      <c r="J469" s="2" t="s">
        <v>278</v>
      </c>
      <c r="K469" s="2" t="s">
        <v>279</v>
      </c>
      <c r="L469" s="5">
        <v>0.674374759197235</v>
      </c>
      <c r="M469" s="5">
        <v>-1.60211181640625</v>
      </c>
      <c r="N469" s="5">
        <v>0.92349910736083995</v>
      </c>
      <c r="O469" s="5">
        <f>EXP(M469)</f>
        <v>0.20147059950470841</v>
      </c>
      <c r="Q469" s="16" t="s">
        <v>279</v>
      </c>
      <c r="R469" s="16" t="s">
        <v>278</v>
      </c>
      <c r="S469" s="17">
        <v>2.9157388923800001E-19</v>
      </c>
      <c r="T469" s="16">
        <v>0.54418599999999995</v>
      </c>
      <c r="U469" s="16" t="s">
        <v>942</v>
      </c>
      <c r="V469" s="16">
        <v>0.172786177105832</v>
      </c>
      <c r="W469" s="16" t="s">
        <v>1064</v>
      </c>
      <c r="X469" s="16">
        <v>5139</v>
      </c>
      <c r="Y469" s="16">
        <v>1080</v>
      </c>
    </row>
    <row r="470" spans="2:25" x14ac:dyDescent="0.2">
      <c r="B470" s="21" t="s">
        <v>278</v>
      </c>
      <c r="C470" s="21" t="s">
        <v>181</v>
      </c>
      <c r="D470" s="22">
        <v>0.872375428676605</v>
      </c>
      <c r="E470" s="22">
        <v>1.1316381692886399</v>
      </c>
      <c r="F470" s="22">
        <v>0.23137755692005199</v>
      </c>
      <c r="G470" s="21" t="s">
        <v>1113</v>
      </c>
      <c r="H470" s="22">
        <f>POWER(10,E470)</f>
        <v>13.540608119197117</v>
      </c>
      <c r="J470" s="2" t="s">
        <v>278</v>
      </c>
      <c r="K470" s="2" t="s">
        <v>181</v>
      </c>
      <c r="L470" s="5">
        <v>0.65041798353195202</v>
      </c>
      <c r="M470" s="5">
        <v>0.83913964033126798</v>
      </c>
      <c r="N470" s="5">
        <v>7.3766484856605502E-2</v>
      </c>
      <c r="O470" s="5">
        <f>EXP(M470)</f>
        <v>2.31437492511962</v>
      </c>
      <c r="Q470" s="16" t="s">
        <v>181</v>
      </c>
      <c r="R470" s="16" t="s">
        <v>278</v>
      </c>
      <c r="S470" s="17">
        <v>4.8001745889300002E-7</v>
      </c>
      <c r="T470" s="16">
        <v>0.39130399999999999</v>
      </c>
      <c r="U470" s="16" t="s">
        <v>942</v>
      </c>
      <c r="V470" s="16">
        <v>0.172786177105832</v>
      </c>
      <c r="W470" s="16" t="s">
        <v>1064</v>
      </c>
      <c r="X470" s="16">
        <v>5139</v>
      </c>
      <c r="Y470" s="16">
        <v>2006</v>
      </c>
    </row>
    <row r="471" spans="2:25" x14ac:dyDescent="0.2">
      <c r="B471" s="21" t="s">
        <v>94</v>
      </c>
      <c r="C471" s="21" t="s">
        <v>26</v>
      </c>
      <c r="D471" s="22">
        <v>0.94359749555587802</v>
      </c>
      <c r="E471" s="22">
        <v>1.07798731327057</v>
      </c>
      <c r="F471" s="22">
        <v>0.46189579367637601</v>
      </c>
      <c r="G471" s="21" t="s">
        <v>1113</v>
      </c>
      <c r="H471" s="22">
        <f>POWER(10,E471)</f>
        <v>11.967055723054775</v>
      </c>
      <c r="J471" s="2" t="s">
        <v>94</v>
      </c>
      <c r="K471" s="2" t="s">
        <v>26</v>
      </c>
      <c r="L471" s="5">
        <v>0.66528552770614602</v>
      </c>
      <c r="M471" s="5">
        <v>0.593572318553925</v>
      </c>
      <c r="N471" s="5">
        <v>0.30199334025383001</v>
      </c>
      <c r="O471" s="5">
        <f>EXP(M471)</f>
        <v>1.8104443611670695</v>
      </c>
      <c r="Q471" s="16" t="s">
        <v>26</v>
      </c>
      <c r="R471" s="16" t="s">
        <v>94</v>
      </c>
      <c r="S471" s="17">
        <v>1.4449652585599999E-10</v>
      </c>
      <c r="T471" s="16">
        <v>0.51867200000000002</v>
      </c>
      <c r="U471" s="16" t="s">
        <v>942</v>
      </c>
      <c r="V471" s="16">
        <v>0.103489771359807</v>
      </c>
      <c r="W471" s="16" t="s">
        <v>1065</v>
      </c>
      <c r="X471" s="16">
        <v>5144</v>
      </c>
      <c r="Y471" s="16">
        <v>1658</v>
      </c>
    </row>
    <row r="472" spans="2:25" x14ac:dyDescent="0.2">
      <c r="B472" s="21" t="s">
        <v>94</v>
      </c>
      <c r="C472" s="21" t="s">
        <v>282</v>
      </c>
      <c r="D472" s="22">
        <v>0.94180613756179798</v>
      </c>
      <c r="E472" s="22">
        <v>1.0275132656097401</v>
      </c>
      <c r="F472" s="22">
        <v>0.42451396584510798</v>
      </c>
      <c r="G472" s="21" t="s">
        <v>1113</v>
      </c>
      <c r="H472" s="22">
        <f>POWER(10,E472)</f>
        <v>10.65401406064508</v>
      </c>
      <c r="J472" s="2" t="s">
        <v>94</v>
      </c>
      <c r="K472" s="2" t="s">
        <v>282</v>
      </c>
      <c r="L472" s="5">
        <v>0.66865456104278598</v>
      </c>
      <c r="M472" s="5">
        <v>0.680675029754639</v>
      </c>
      <c r="N472" s="5">
        <v>0.11944253742694901</v>
      </c>
      <c r="O472" s="5">
        <f>EXP(M472)</f>
        <v>1.9752106082465954</v>
      </c>
      <c r="Q472" s="16" t="s">
        <v>282</v>
      </c>
      <c r="R472" s="16" t="s">
        <v>94</v>
      </c>
      <c r="S472" s="17">
        <v>1.9927515880800001E-6</v>
      </c>
      <c r="T472" s="16">
        <v>0.34939799999999999</v>
      </c>
      <c r="U472" s="16" t="s">
        <v>942</v>
      </c>
      <c r="V472" s="16">
        <v>0.122743682310469</v>
      </c>
      <c r="W472" s="16" t="s">
        <v>1065</v>
      </c>
      <c r="X472" s="16">
        <v>5144</v>
      </c>
      <c r="Y472" s="16">
        <v>2091</v>
      </c>
    </row>
    <row r="473" spans="2:25" x14ac:dyDescent="0.2">
      <c r="B473" s="21"/>
      <c r="C473" s="21"/>
      <c r="D473" s="22"/>
      <c r="E473" s="22"/>
      <c r="F473" s="22"/>
      <c r="G473" s="21"/>
      <c r="H473" s="22"/>
      <c r="J473" s="2" t="s">
        <v>94</v>
      </c>
      <c r="K473" s="2" t="s">
        <v>281</v>
      </c>
      <c r="L473" s="5">
        <v>0.72115409374237105</v>
      </c>
      <c r="M473" s="5">
        <v>1.61203229427338</v>
      </c>
      <c r="N473" s="5">
        <v>0.27054366469383201</v>
      </c>
      <c r="O473" s="5">
        <f>EXP(M473)</f>
        <v>5.0129887508005861</v>
      </c>
      <c r="Q473" s="16" t="s">
        <v>281</v>
      </c>
      <c r="R473" s="16" t="s">
        <v>94</v>
      </c>
      <c r="S473" s="17">
        <v>1.46374980692E-7</v>
      </c>
      <c r="T473" s="16">
        <v>0.34782600000000002</v>
      </c>
      <c r="U473" s="16" t="s">
        <v>942</v>
      </c>
      <c r="V473" s="16">
        <v>0.133333333333333</v>
      </c>
      <c r="W473" s="16" t="s">
        <v>1066</v>
      </c>
      <c r="X473" s="16">
        <v>5144</v>
      </c>
      <c r="Y473" s="16">
        <v>1961</v>
      </c>
    </row>
    <row r="474" spans="2:25" x14ac:dyDescent="0.2">
      <c r="B474" s="21"/>
      <c r="C474" s="21"/>
      <c r="D474" s="22"/>
      <c r="E474" s="22"/>
      <c r="F474" s="22"/>
      <c r="G474" s="21"/>
      <c r="H474" s="22"/>
      <c r="J474" s="2" t="s">
        <v>94</v>
      </c>
      <c r="K474" s="2" t="s">
        <v>83</v>
      </c>
      <c r="L474" s="5">
        <v>0.67476052045822099</v>
      </c>
      <c r="M474" s="5">
        <v>-9.0970069169998197E-2</v>
      </c>
      <c r="N474" s="5">
        <v>0.37342250347137501</v>
      </c>
      <c r="O474" s="5">
        <f>EXP(M474)</f>
        <v>0.91304503868612896</v>
      </c>
      <c r="Q474" s="16" t="s">
        <v>83</v>
      </c>
      <c r="R474" s="16" t="s">
        <v>94</v>
      </c>
      <c r="S474" s="17">
        <v>1.9119780301199998E-6</v>
      </c>
      <c r="T474" s="16">
        <v>0.56722700000000004</v>
      </c>
      <c r="U474" s="16" t="s">
        <v>942</v>
      </c>
      <c r="V474" s="16">
        <v>0.85207100591716001</v>
      </c>
      <c r="W474" s="16" t="s">
        <v>1067</v>
      </c>
      <c r="X474" s="16">
        <v>5144</v>
      </c>
      <c r="Y474" s="16">
        <v>2086</v>
      </c>
    </row>
    <row r="475" spans="2:25" x14ac:dyDescent="0.2">
      <c r="J475" s="2" t="s">
        <v>94</v>
      </c>
      <c r="K475" s="2" t="s">
        <v>152</v>
      </c>
      <c r="L475" s="5">
        <v>0.70314300060272195</v>
      </c>
      <c r="M475" s="5">
        <v>1.51336002349854</v>
      </c>
      <c r="N475" s="5">
        <v>0.23462556302547499</v>
      </c>
      <c r="O475" s="5">
        <f>EXP(M475)</f>
        <v>4.5419662976455566</v>
      </c>
      <c r="Q475" s="16" t="s">
        <v>152</v>
      </c>
      <c r="R475" s="16" t="s">
        <v>94</v>
      </c>
      <c r="S475" s="17">
        <v>1.4449652585599999E-10</v>
      </c>
      <c r="T475" s="16">
        <v>0.31034499999999998</v>
      </c>
      <c r="U475" s="16" t="s">
        <v>942</v>
      </c>
      <c r="V475" s="16">
        <v>0.133333333333333</v>
      </c>
      <c r="W475" s="16" t="s">
        <v>1066</v>
      </c>
      <c r="X475" s="16">
        <v>5144</v>
      </c>
      <c r="Y475" s="16">
        <v>1673</v>
      </c>
    </row>
    <row r="476" spans="2:25" x14ac:dyDescent="0.2">
      <c r="B476" s="21" t="s">
        <v>94</v>
      </c>
      <c r="C476" s="21" t="s">
        <v>274</v>
      </c>
      <c r="D476" s="22">
        <v>0.94299954175949097</v>
      </c>
      <c r="E476" s="22">
        <v>2.0374159812927202</v>
      </c>
      <c r="F476" s="22">
        <v>0.37010708451271102</v>
      </c>
      <c r="G476" s="21" t="s">
        <v>1113</v>
      </c>
      <c r="H476" s="22">
        <f>POWER(10,E476)</f>
        <v>108.99736054499867</v>
      </c>
      <c r="J476" s="2" t="s">
        <v>94</v>
      </c>
      <c r="K476" s="2" t="s">
        <v>274</v>
      </c>
      <c r="L476" s="5">
        <v>0.66483193635940596</v>
      </c>
      <c r="M476" s="5">
        <v>1.6862610578537001</v>
      </c>
      <c r="N476" s="5">
        <v>0.31701919436454801</v>
      </c>
      <c r="O476" s="5">
        <f>EXP(M476)</f>
        <v>5.3992554144695024</v>
      </c>
      <c r="Q476" s="16" t="s">
        <v>274</v>
      </c>
      <c r="R476" s="16" t="s">
        <v>94</v>
      </c>
      <c r="S476" s="17">
        <v>1.5869435691000001E-19</v>
      </c>
      <c r="T476" s="16">
        <v>0.60683799999999999</v>
      </c>
      <c r="U476" s="16" t="s">
        <v>942</v>
      </c>
      <c r="V476" s="16">
        <v>0.76774969915764102</v>
      </c>
      <c r="W476" s="16" t="s">
        <v>1065</v>
      </c>
      <c r="X476" s="16">
        <v>5144</v>
      </c>
      <c r="Y476" s="16">
        <v>1013</v>
      </c>
    </row>
    <row r="477" spans="2:25" x14ac:dyDescent="0.2">
      <c r="B477" s="21" t="s">
        <v>94</v>
      </c>
      <c r="C477" s="21" t="s">
        <v>258</v>
      </c>
      <c r="D477" s="22">
        <v>0.94461411237716697</v>
      </c>
      <c r="E477" s="22">
        <v>2.03949975967407</v>
      </c>
      <c r="F477" s="22">
        <v>0.23372346162796001</v>
      </c>
      <c r="G477" s="21" t="s">
        <v>1113</v>
      </c>
      <c r="H477" s="22">
        <f>POWER(10,E477)</f>
        <v>109.52159493059294</v>
      </c>
      <c r="J477" s="2" t="s">
        <v>94</v>
      </c>
      <c r="K477" s="2" t="s">
        <v>258</v>
      </c>
      <c r="L477" s="5">
        <v>0.66899746656417902</v>
      </c>
      <c r="M477" s="5">
        <v>2.3612132072448699</v>
      </c>
      <c r="N477" s="5">
        <v>0.32602590322494501</v>
      </c>
      <c r="O477" s="5">
        <f>EXP(M477)</f>
        <v>10.603808268880403</v>
      </c>
      <c r="Q477" s="16" t="s">
        <v>258</v>
      </c>
      <c r="R477" s="16" t="s">
        <v>94</v>
      </c>
      <c r="S477" s="17">
        <v>3.3214683079499999E-18</v>
      </c>
      <c r="T477" s="16">
        <v>0.60775900000000005</v>
      </c>
      <c r="U477" s="16" t="s">
        <v>942</v>
      </c>
      <c r="V477" s="16">
        <v>0.76774969915764102</v>
      </c>
      <c r="W477" s="16" t="s">
        <v>1065</v>
      </c>
      <c r="X477" s="16">
        <v>5144</v>
      </c>
      <c r="Y477" s="16">
        <v>1012</v>
      </c>
    </row>
    <row r="478" spans="2:25" x14ac:dyDescent="0.2">
      <c r="B478" s="21"/>
      <c r="C478" s="21"/>
      <c r="D478" s="22"/>
      <c r="E478" s="22"/>
      <c r="F478" s="22"/>
      <c r="G478" s="21"/>
      <c r="H478" s="22"/>
      <c r="J478" s="2" t="s">
        <v>94</v>
      </c>
      <c r="K478" s="2" t="s">
        <v>280</v>
      </c>
      <c r="L478" s="5">
        <v>0.70560950040817305</v>
      </c>
      <c r="M478" s="5">
        <v>2.2513279914856001</v>
      </c>
      <c r="N478" s="5">
        <v>0.34665504097938499</v>
      </c>
      <c r="O478" s="5">
        <f>EXP(M478)</f>
        <v>9.5003438385737145</v>
      </c>
      <c r="Q478" s="16" t="s">
        <v>280</v>
      </c>
      <c r="R478" s="16" t="s">
        <v>94</v>
      </c>
      <c r="S478" s="17">
        <v>2.3747763154200002E-13</v>
      </c>
      <c r="T478" s="16">
        <v>0.36734699999999998</v>
      </c>
      <c r="U478" s="16" t="s">
        <v>942</v>
      </c>
      <c r="V478" s="16">
        <v>0.86666666666666703</v>
      </c>
      <c r="W478" s="16" t="s">
        <v>1066</v>
      </c>
      <c r="X478" s="16">
        <v>5144</v>
      </c>
      <c r="Y478" s="16">
        <v>1452</v>
      </c>
    </row>
    <row r="479" spans="2:25" x14ac:dyDescent="0.2">
      <c r="J479" s="2" t="s">
        <v>94</v>
      </c>
      <c r="K479" s="2" t="s">
        <v>85</v>
      </c>
      <c r="L479" s="5">
        <v>0.65745466947555498</v>
      </c>
      <c r="M479" s="5">
        <v>5.86308240890503E-2</v>
      </c>
      <c r="N479" s="5">
        <v>0.151201471686363</v>
      </c>
      <c r="O479" s="5">
        <f>EXP(M479)</f>
        <v>1.0603837003524326</v>
      </c>
      <c r="Q479" s="16" t="s">
        <v>85</v>
      </c>
      <c r="R479" s="16" t="s">
        <v>94</v>
      </c>
      <c r="S479" s="17">
        <v>4.23414570507E-12</v>
      </c>
      <c r="T479" s="16">
        <v>0.64016700000000004</v>
      </c>
      <c r="U479" s="16" t="s">
        <v>942</v>
      </c>
      <c r="V479" s="16">
        <v>0.85207100591716001</v>
      </c>
      <c r="W479" s="16" t="s">
        <v>1067</v>
      </c>
      <c r="X479" s="16">
        <v>5144</v>
      </c>
      <c r="Y479" s="16">
        <v>1567</v>
      </c>
    </row>
    <row r="480" spans="2:25" x14ac:dyDescent="0.2">
      <c r="B480" s="21" t="s">
        <v>96</v>
      </c>
      <c r="C480" s="21" t="s">
        <v>177</v>
      </c>
      <c r="D480" s="22">
        <v>0.96917802095413197</v>
      </c>
      <c r="E480" s="22">
        <v>-1.37150549888611</v>
      </c>
      <c r="F480" s="22">
        <v>0.86034893989562999</v>
      </c>
      <c r="G480" s="21" t="s">
        <v>1113</v>
      </c>
      <c r="H480" s="22">
        <f>POWER(10,E480)</f>
        <v>4.2510332425968023E-2</v>
      </c>
      <c r="J480" s="2" t="s">
        <v>96</v>
      </c>
      <c r="K480" s="2" t="s">
        <v>177</v>
      </c>
      <c r="L480" s="5">
        <v>0.56545126438140902</v>
      </c>
      <c r="M480" s="5">
        <v>-1.3450018167495701</v>
      </c>
      <c r="N480" s="5">
        <v>0.90527045726776101</v>
      </c>
      <c r="O480" s="5">
        <f>EXP(M480)</f>
        <v>0.26053923452500333</v>
      </c>
      <c r="Q480" s="16" t="s">
        <v>177</v>
      </c>
      <c r="R480" s="16" t="s">
        <v>1076</v>
      </c>
      <c r="S480" s="17">
        <v>1.8699408821100002E-27</v>
      </c>
      <c r="T480" s="16">
        <v>0.34210499999999999</v>
      </c>
      <c r="U480" s="16" t="s">
        <v>942</v>
      </c>
      <c r="V480" s="16">
        <v>0.96964285714285703</v>
      </c>
      <c r="W480" s="16" t="s">
        <v>1077</v>
      </c>
      <c r="X480" s="16">
        <v>5241</v>
      </c>
      <c r="Y480" s="16">
        <v>777</v>
      </c>
    </row>
    <row r="481" spans="2:25" x14ac:dyDescent="0.2">
      <c r="B481" s="21" t="s">
        <v>96</v>
      </c>
      <c r="C481" s="21" t="s">
        <v>283</v>
      </c>
      <c r="D481" s="22">
        <v>0.95149469375610396</v>
      </c>
      <c r="E481" s="22">
        <v>-0.70357650518417403</v>
      </c>
      <c r="F481" s="22">
        <v>0.61956822872161899</v>
      </c>
      <c r="G481" s="21" t="s">
        <v>1113</v>
      </c>
      <c r="H481" s="22">
        <f>POWER(10,E481)</f>
        <v>0.19788983883912195</v>
      </c>
      <c r="J481" s="2" t="s">
        <v>96</v>
      </c>
      <c r="K481" s="2" t="s">
        <v>283</v>
      </c>
      <c r="L481" s="5">
        <v>0.55531311035156306</v>
      </c>
      <c r="M481" s="5">
        <v>-1.1028407812118499</v>
      </c>
      <c r="N481" s="5">
        <v>0.77473676204681396</v>
      </c>
      <c r="O481" s="5">
        <f>EXP(M481)</f>
        <v>0.33192681164771753</v>
      </c>
      <c r="Q481" s="16" t="s">
        <v>283</v>
      </c>
      <c r="R481" s="16" t="s">
        <v>1076</v>
      </c>
      <c r="S481" s="17">
        <v>3.8595789773500003E-11</v>
      </c>
      <c r="T481" s="16">
        <v>0.611765</v>
      </c>
      <c r="U481" s="16" t="s">
        <v>942</v>
      </c>
      <c r="V481" s="16">
        <v>0.96964285714285703</v>
      </c>
      <c r="W481" s="16" t="s">
        <v>1077</v>
      </c>
      <c r="X481" s="16">
        <v>5241</v>
      </c>
      <c r="Y481" s="16">
        <v>1638</v>
      </c>
    </row>
    <row r="482" spans="2:25" x14ac:dyDescent="0.2">
      <c r="B482" s="21" t="s">
        <v>96</v>
      </c>
      <c r="C482" s="21" t="s">
        <v>236</v>
      </c>
      <c r="D482" s="22">
        <v>0.971746265888214</v>
      </c>
      <c r="E482" s="22">
        <v>-1.20540034770966</v>
      </c>
      <c r="F482" s="22">
        <v>0.91200548410415705</v>
      </c>
      <c r="G482" s="21" t="s">
        <v>1113</v>
      </c>
      <c r="H482" s="22">
        <f>POWER(10,E482)</f>
        <v>6.2316012002427451E-2</v>
      </c>
      <c r="J482" s="2" t="s">
        <v>96</v>
      </c>
      <c r="K482" s="2" t="s">
        <v>236</v>
      </c>
      <c r="L482" s="5">
        <v>0.56776374578475997</v>
      </c>
      <c r="M482" s="5">
        <v>-1.78053402900696</v>
      </c>
      <c r="N482" s="5">
        <v>0.93384373188018799</v>
      </c>
      <c r="O482" s="5">
        <f>EXP(M482)</f>
        <v>0.1685481136486961</v>
      </c>
      <c r="Q482" s="16" t="s">
        <v>236</v>
      </c>
      <c r="R482" s="16" t="s">
        <v>1076</v>
      </c>
      <c r="S482" s="17">
        <v>1.83572113571E-16</v>
      </c>
      <c r="T482" s="16">
        <v>0.70121900000000004</v>
      </c>
      <c r="U482" s="16" t="s">
        <v>942</v>
      </c>
      <c r="V482" s="16">
        <v>0.96964285714285703</v>
      </c>
      <c r="W482" s="16" t="s">
        <v>1077</v>
      </c>
      <c r="X482" s="16">
        <v>5241</v>
      </c>
      <c r="Y482" s="16">
        <v>1259</v>
      </c>
    </row>
    <row r="483" spans="2:25" x14ac:dyDescent="0.2">
      <c r="J483" s="2" t="s">
        <v>103</v>
      </c>
      <c r="K483" s="2" t="s">
        <v>289</v>
      </c>
      <c r="L483" s="5">
        <v>0.87453430891036998</v>
      </c>
      <c r="M483" s="5">
        <v>1.40559482574463</v>
      </c>
      <c r="N483" s="5">
        <v>0.233313009142876</v>
      </c>
      <c r="O483" s="5">
        <f>EXP(M483)</f>
        <v>4.0779516906358175</v>
      </c>
      <c r="Q483" s="16" t="s">
        <v>289</v>
      </c>
      <c r="R483" s="16" t="s">
        <v>1068</v>
      </c>
      <c r="S483" s="17">
        <v>2.8899305171099998E-10</v>
      </c>
      <c r="T483" s="16">
        <v>0.36956499999999998</v>
      </c>
      <c r="U483" s="16" t="s">
        <v>942</v>
      </c>
      <c r="V483" s="16">
        <v>0.230769230769231</v>
      </c>
      <c r="W483" s="16" t="s">
        <v>1069</v>
      </c>
      <c r="X483" s="16">
        <v>5742</v>
      </c>
      <c r="Y483" s="16">
        <v>1695</v>
      </c>
    </row>
    <row r="484" spans="2:25" x14ac:dyDescent="0.2">
      <c r="B484" s="21" t="s">
        <v>103</v>
      </c>
      <c r="C484" s="21" t="s">
        <v>287</v>
      </c>
      <c r="D484" s="22">
        <v>0.84500849246978804</v>
      </c>
      <c r="E484" s="22">
        <v>1.60822665691376</v>
      </c>
      <c r="F484" s="22">
        <v>0.30328547954559298</v>
      </c>
      <c r="G484" s="21" t="s">
        <v>1113</v>
      </c>
      <c r="H484" s="22">
        <f>POWER(10,E484)</f>
        <v>40.572022430298254</v>
      </c>
      <c r="J484" s="2" t="s">
        <v>103</v>
      </c>
      <c r="K484" s="2" t="s">
        <v>287</v>
      </c>
      <c r="L484" s="5">
        <v>0.60799115896224998</v>
      </c>
      <c r="M484" s="5">
        <v>1.0605006217956501</v>
      </c>
      <c r="N484" s="5">
        <v>0.28045314550399802</v>
      </c>
      <c r="O484" s="5">
        <f>EXP(M484)</f>
        <v>2.887816331250181</v>
      </c>
      <c r="Q484" s="16" t="s">
        <v>287</v>
      </c>
      <c r="R484" s="16" t="s">
        <v>1068</v>
      </c>
      <c r="S484" s="17">
        <v>1.03291904311E-18</v>
      </c>
      <c r="T484" s="16">
        <v>0.369863</v>
      </c>
      <c r="U484" s="16" t="s">
        <v>942</v>
      </c>
      <c r="V484" s="16">
        <v>0.32746478873239399</v>
      </c>
      <c r="W484" s="16" t="s">
        <v>1070</v>
      </c>
      <c r="X484" s="16">
        <v>5742</v>
      </c>
      <c r="Y484" s="16">
        <v>1104</v>
      </c>
    </row>
    <row r="485" spans="2:25" x14ac:dyDescent="0.2">
      <c r="J485" s="2" t="s">
        <v>103</v>
      </c>
      <c r="K485" s="2" t="s">
        <v>288</v>
      </c>
      <c r="L485" s="5">
        <v>0.84560745954513605</v>
      </c>
      <c r="M485" s="5">
        <v>0.48168331384658802</v>
      </c>
      <c r="N485" s="5">
        <v>0.57785540819168102</v>
      </c>
      <c r="O485" s="5">
        <f>EXP(M485)</f>
        <v>1.6187970535066527</v>
      </c>
      <c r="Q485" s="16" t="s">
        <v>288</v>
      </c>
      <c r="R485" s="16" t="s">
        <v>1068</v>
      </c>
      <c r="S485" s="17">
        <v>8.8168318916100009E-50</v>
      </c>
      <c r="T485" s="16">
        <v>0.5</v>
      </c>
      <c r="U485" s="16" t="s">
        <v>942</v>
      </c>
      <c r="V485" s="16">
        <v>0.66153846153846196</v>
      </c>
      <c r="W485" s="16" t="s">
        <v>1069</v>
      </c>
      <c r="X485" s="16">
        <v>5742</v>
      </c>
      <c r="Y485" s="16">
        <v>323</v>
      </c>
    </row>
    <row r="486" spans="2:25" x14ac:dyDescent="0.2">
      <c r="J486" s="2" t="s">
        <v>103</v>
      </c>
      <c r="K486" s="2" t="s">
        <v>286</v>
      </c>
      <c r="L486" s="5">
        <v>0.88806897401809703</v>
      </c>
      <c r="M486" s="5">
        <v>0.79723399877548196</v>
      </c>
      <c r="N486" s="5">
        <v>0.39871805906295799</v>
      </c>
      <c r="O486" s="5">
        <f>EXP(M486)</f>
        <v>2.219393585257821</v>
      </c>
      <c r="Q486" s="16" t="s">
        <v>286</v>
      </c>
      <c r="R486" s="16" t="s">
        <v>1068</v>
      </c>
      <c r="S486" s="17">
        <v>1.46770887727E-19</v>
      </c>
      <c r="T486" s="16">
        <v>0.56934300000000004</v>
      </c>
      <c r="U486" s="16" t="s">
        <v>942</v>
      </c>
      <c r="V486" s="16">
        <v>0.481012658227848</v>
      </c>
      <c r="W486" s="16" t="s">
        <v>1071</v>
      </c>
      <c r="X486" s="16">
        <v>5742</v>
      </c>
      <c r="Y486" s="16">
        <v>1066</v>
      </c>
    </row>
    <row r="487" spans="2:25" x14ac:dyDescent="0.2">
      <c r="J487" s="2" t="s">
        <v>103</v>
      </c>
      <c r="K487" s="2" t="s">
        <v>156</v>
      </c>
      <c r="L487" s="5">
        <v>0.871637463569641</v>
      </c>
      <c r="M487" s="5">
        <v>8.6550176143646199E-2</v>
      </c>
      <c r="N487" s="5">
        <v>0.40851432085037198</v>
      </c>
      <c r="O487" s="5">
        <f>EXP(M487)</f>
        <v>1.0904060787172127</v>
      </c>
      <c r="Q487" s="16" t="s">
        <v>156</v>
      </c>
      <c r="R487" s="16" t="s">
        <v>1068</v>
      </c>
      <c r="S487" s="17">
        <v>5.2736319055399997E-5</v>
      </c>
      <c r="T487" s="16">
        <v>0.57926800000000001</v>
      </c>
      <c r="U487" s="16" t="s">
        <v>942</v>
      </c>
      <c r="V487" s="16">
        <v>0.506329113924051</v>
      </c>
      <c r="W487" s="16" t="s">
        <v>1071</v>
      </c>
      <c r="X487" s="16">
        <v>5742</v>
      </c>
      <c r="Y487" s="16">
        <v>2267</v>
      </c>
    </row>
    <row r="488" spans="2:25" x14ac:dyDescent="0.2">
      <c r="J488" s="2" t="s">
        <v>103</v>
      </c>
      <c r="K488" s="2" t="s">
        <v>152</v>
      </c>
      <c r="L488" s="5">
        <v>0.87300264835357699</v>
      </c>
      <c r="M488" s="5">
        <v>2.18464183807373</v>
      </c>
      <c r="N488" s="5">
        <v>0.19977374374866499</v>
      </c>
      <c r="O488" s="5">
        <f>EXP(M488)</f>
        <v>8.8874648317376774</v>
      </c>
      <c r="Q488" s="16" t="s">
        <v>152</v>
      </c>
      <c r="R488" s="16" t="s">
        <v>1068</v>
      </c>
      <c r="S488" s="17">
        <v>5.6869157067600004E-12</v>
      </c>
      <c r="T488" s="16">
        <v>0.30232599999999998</v>
      </c>
      <c r="U488" s="16" t="s">
        <v>942</v>
      </c>
      <c r="V488" s="16">
        <v>0.506329113924051</v>
      </c>
      <c r="W488" s="16" t="s">
        <v>1071</v>
      </c>
      <c r="X488" s="16">
        <v>5742</v>
      </c>
      <c r="Y488" s="16">
        <v>1575</v>
      </c>
    </row>
    <row r="489" spans="2:25" x14ac:dyDescent="0.2">
      <c r="J489" s="2" t="s">
        <v>103</v>
      </c>
      <c r="K489" s="2" t="s">
        <v>285</v>
      </c>
      <c r="L489" s="5">
        <v>0.90240782499313399</v>
      </c>
      <c r="M489" s="5">
        <v>0.43043890595436102</v>
      </c>
      <c r="N489" s="5">
        <v>0.70080256462097201</v>
      </c>
      <c r="O489" s="5">
        <f>EXP(M489)</f>
        <v>1.5379323831178611</v>
      </c>
      <c r="Q489" s="16" t="s">
        <v>285</v>
      </c>
      <c r="R489" s="16" t="s">
        <v>1068</v>
      </c>
      <c r="S489" s="17">
        <v>1.21377081719E-8</v>
      </c>
      <c r="T489" s="16">
        <v>0.39583299999999999</v>
      </c>
      <c r="U489" s="16" t="s">
        <v>942</v>
      </c>
      <c r="V489" s="16">
        <v>0.481012658227848</v>
      </c>
      <c r="W489" s="16" t="s">
        <v>1071</v>
      </c>
      <c r="X489" s="16">
        <v>5742</v>
      </c>
      <c r="Y489" s="16">
        <v>1846</v>
      </c>
    </row>
    <row r="490" spans="2:25" x14ac:dyDescent="0.2">
      <c r="B490" s="21" t="s">
        <v>103</v>
      </c>
      <c r="C490" s="21" t="s">
        <v>284</v>
      </c>
      <c r="D490" s="22">
        <v>0.80516874790191695</v>
      </c>
      <c r="E490" s="22">
        <v>1.11250925064087</v>
      </c>
      <c r="F490" s="22">
        <v>0.40072464942932101</v>
      </c>
      <c r="G490" s="21" t="s">
        <v>1113</v>
      </c>
      <c r="H490" s="22">
        <f>POWER(10,E490)</f>
        <v>12.957142964400356</v>
      </c>
      <c r="J490" s="2" t="s">
        <v>103</v>
      </c>
      <c r="K490" s="2" t="s">
        <v>284</v>
      </c>
      <c r="L490" s="5">
        <v>0.64927482604980502</v>
      </c>
      <c r="M490" s="5">
        <v>0.61435317993164096</v>
      </c>
      <c r="N490" s="5">
        <v>0.43725135922431901</v>
      </c>
      <c r="O490" s="5">
        <f>EXP(M490)</f>
        <v>1.8484605913929002</v>
      </c>
      <c r="Q490" s="16" t="s">
        <v>284</v>
      </c>
      <c r="R490" s="16" t="s">
        <v>1068</v>
      </c>
      <c r="S490" s="17">
        <v>1.4449652585599999E-9</v>
      </c>
      <c r="T490" s="16">
        <v>0.41666700000000001</v>
      </c>
      <c r="U490" s="16" t="s">
        <v>942</v>
      </c>
      <c r="V490" s="16">
        <v>0.65845070422535201</v>
      </c>
      <c r="W490" s="16" t="s">
        <v>1070</v>
      </c>
      <c r="X490" s="16">
        <v>5742</v>
      </c>
      <c r="Y490" s="16">
        <v>396</v>
      </c>
    </row>
    <row r="491" spans="2:25" x14ac:dyDescent="0.2">
      <c r="J491" s="2" t="s">
        <v>290</v>
      </c>
      <c r="K491" s="2" t="s">
        <v>289</v>
      </c>
      <c r="L491" s="5">
        <v>0.88502520322799705</v>
      </c>
      <c r="M491" s="5">
        <v>2.8100335597991899</v>
      </c>
      <c r="N491" s="5">
        <v>0.27938494086265597</v>
      </c>
      <c r="O491" s="5">
        <f>EXP(M491)</f>
        <v>16.61047565366033</v>
      </c>
      <c r="Q491" s="16" t="s">
        <v>289</v>
      </c>
      <c r="R491" s="16" t="s">
        <v>1072</v>
      </c>
      <c r="S491" s="17">
        <v>4.3325774127899999E-13</v>
      </c>
      <c r="T491" s="16">
        <v>0.36956499999999998</v>
      </c>
      <c r="U491" s="16" t="s">
        <v>942</v>
      </c>
      <c r="V491" s="16">
        <v>0.125</v>
      </c>
      <c r="W491" s="16" t="s">
        <v>1073</v>
      </c>
      <c r="X491" s="16">
        <v>5743</v>
      </c>
      <c r="Y491" s="16">
        <v>1476</v>
      </c>
    </row>
    <row r="492" spans="2:25" x14ac:dyDescent="0.2">
      <c r="B492" s="21" t="s">
        <v>290</v>
      </c>
      <c r="C492" s="21" t="s">
        <v>287</v>
      </c>
      <c r="D492" s="22">
        <v>0.910913586616516</v>
      </c>
      <c r="E492" s="22">
        <v>1.5292774438857999</v>
      </c>
      <c r="F492" s="22">
        <v>0.27887907624244701</v>
      </c>
      <c r="G492" s="21" t="s">
        <v>1113</v>
      </c>
      <c r="H492" s="22">
        <f>POWER(10,E492)</f>
        <v>33.828087392163233</v>
      </c>
      <c r="J492" s="2" t="s">
        <v>290</v>
      </c>
      <c r="K492" s="2" t="s">
        <v>287</v>
      </c>
      <c r="L492" s="5">
        <v>0.86000740528106701</v>
      </c>
      <c r="M492" s="5">
        <v>1.7007484436035201</v>
      </c>
      <c r="N492" s="5">
        <v>0.29225191473960899</v>
      </c>
      <c r="O492" s="5">
        <f>EXP(M492)</f>
        <v>5.4780458661857203</v>
      </c>
      <c r="Q492" s="16" t="s">
        <v>287</v>
      </c>
      <c r="R492" s="16" t="s">
        <v>1072</v>
      </c>
      <c r="S492" s="17">
        <v>9.6512119549499999E-6</v>
      </c>
      <c r="T492" s="16">
        <v>0.42029</v>
      </c>
      <c r="U492" s="16" t="s">
        <v>942</v>
      </c>
      <c r="V492" s="16">
        <v>0.137017411052233</v>
      </c>
      <c r="W492" s="16" t="s">
        <v>1074</v>
      </c>
      <c r="X492" s="16">
        <v>5743</v>
      </c>
      <c r="Y492" s="16">
        <v>2184</v>
      </c>
    </row>
    <row r="493" spans="2:25" x14ac:dyDescent="0.2">
      <c r="B493" s="21"/>
      <c r="C493" s="21"/>
      <c r="D493" s="22"/>
      <c r="E493" s="22"/>
      <c r="F493" s="22"/>
      <c r="G493" s="21"/>
      <c r="H493" s="22"/>
      <c r="J493" s="2" t="s">
        <v>290</v>
      </c>
      <c r="K493" s="2" t="s">
        <v>288</v>
      </c>
      <c r="L493" s="5">
        <v>0.85648155212402299</v>
      </c>
      <c r="M493" s="5">
        <v>0.56619596481323198</v>
      </c>
      <c r="N493" s="5">
        <v>0.72368127107620195</v>
      </c>
      <c r="O493" s="5">
        <f>EXP(M493)</f>
        <v>1.7615532791595332</v>
      </c>
      <c r="Q493" s="16" t="s">
        <v>288</v>
      </c>
      <c r="R493" s="16" t="s">
        <v>1072</v>
      </c>
      <c r="S493" s="17">
        <v>3.1570224234799999E-13</v>
      </c>
      <c r="T493" s="16">
        <v>0.42553200000000002</v>
      </c>
      <c r="U493" s="16" t="s">
        <v>942</v>
      </c>
      <c r="V493" s="16">
        <v>0.34482758620689702</v>
      </c>
      <c r="W493" s="16" t="s">
        <v>1075</v>
      </c>
      <c r="X493" s="16">
        <v>5743</v>
      </c>
      <c r="Y493" s="16">
        <v>271</v>
      </c>
    </row>
    <row r="494" spans="2:25" x14ac:dyDescent="0.2">
      <c r="B494" s="21" t="s">
        <v>290</v>
      </c>
      <c r="C494" s="21" t="s">
        <v>156</v>
      </c>
      <c r="D494" s="22">
        <v>0.94247478246688798</v>
      </c>
      <c r="E494" s="22">
        <v>1.5426430702209499</v>
      </c>
      <c r="F494" s="22">
        <v>0.36685436964035001</v>
      </c>
      <c r="G494" s="21" t="s">
        <v>1113</v>
      </c>
      <c r="H494" s="22">
        <f>POWER(10,E494)</f>
        <v>34.885348848608984</v>
      </c>
      <c r="J494" s="2" t="s">
        <v>290</v>
      </c>
      <c r="K494" s="2" t="s">
        <v>156</v>
      </c>
      <c r="L494" s="5">
        <v>0.89959186315536499</v>
      </c>
      <c r="M494" s="5">
        <v>1.79690289497375</v>
      </c>
      <c r="N494" s="5">
        <v>0.33706343173980702</v>
      </c>
      <c r="O494" s="5">
        <f>EXP(M494)</f>
        <v>6.0309400552029642</v>
      </c>
      <c r="Q494" s="16" t="s">
        <v>156</v>
      </c>
      <c r="R494" s="16" t="s">
        <v>1072</v>
      </c>
      <c r="S494" s="17">
        <v>2.8899305171099998E-10</v>
      </c>
      <c r="T494" s="16">
        <v>0.60124599999999995</v>
      </c>
      <c r="U494" s="16" t="s">
        <v>942</v>
      </c>
      <c r="V494" s="16">
        <v>0.85314155942467795</v>
      </c>
      <c r="W494" s="16" t="s">
        <v>1074</v>
      </c>
      <c r="X494" s="16">
        <v>5743</v>
      </c>
      <c r="Y494" s="16">
        <v>1715</v>
      </c>
    </row>
    <row r="495" spans="2:25" x14ac:dyDescent="0.2">
      <c r="B495" s="21" t="s">
        <v>290</v>
      </c>
      <c r="C495" s="21" t="s">
        <v>291</v>
      </c>
      <c r="D495" s="22">
        <v>0.95480221509933505</v>
      </c>
      <c r="E495" s="22">
        <v>2.5886778831481898</v>
      </c>
      <c r="F495" s="22">
        <v>0.41339352726936301</v>
      </c>
      <c r="G495" s="21" t="s">
        <v>1113</v>
      </c>
      <c r="H495" s="22">
        <f>POWER(10,E495)</f>
        <v>387.86258103548937</v>
      </c>
      <c r="J495" s="2" t="s">
        <v>290</v>
      </c>
      <c r="K495" s="2" t="s">
        <v>291</v>
      </c>
      <c r="L495" s="5">
        <v>0.90181982517242398</v>
      </c>
      <c r="M495" s="5">
        <v>2.4798431396484402</v>
      </c>
      <c r="N495" s="5">
        <v>0.49656277894973799</v>
      </c>
      <c r="O495" s="5">
        <f>EXP(M495)</f>
        <v>11.939391453815189</v>
      </c>
      <c r="Q495" s="16" t="s">
        <v>291</v>
      </c>
      <c r="R495" s="16" t="s">
        <v>1072</v>
      </c>
      <c r="S495" s="17">
        <v>3.1784811065399999E-12</v>
      </c>
      <c r="T495" s="16">
        <v>0.41379300000000002</v>
      </c>
      <c r="U495" s="16" t="s">
        <v>942</v>
      </c>
      <c r="V495" s="16">
        <v>0.85314155942467795</v>
      </c>
      <c r="W495" s="16" t="s">
        <v>1074</v>
      </c>
      <c r="X495" s="16">
        <v>5743</v>
      </c>
      <c r="Y495" s="16">
        <v>1544</v>
      </c>
    </row>
    <row r="496" spans="2:25" x14ac:dyDescent="0.2">
      <c r="J496" s="2" t="s">
        <v>292</v>
      </c>
      <c r="K496" s="2" t="s">
        <v>275</v>
      </c>
      <c r="L496" s="5">
        <v>0.72264045476913497</v>
      </c>
      <c r="M496" s="5">
        <v>1.23434793949127</v>
      </c>
      <c r="N496" s="5">
        <v>0.296682238578796</v>
      </c>
      <c r="O496" s="5">
        <f>EXP(M496)</f>
        <v>3.4361372206687419</v>
      </c>
      <c r="Q496" s="16" t="s">
        <v>275</v>
      </c>
      <c r="R496" s="16" t="s">
        <v>292</v>
      </c>
      <c r="S496" s="17">
        <v>2.20082658531E-6</v>
      </c>
      <c r="T496" s="16">
        <v>0.519231</v>
      </c>
      <c r="U496" s="16" t="s">
        <v>942</v>
      </c>
      <c r="V496" s="16">
        <v>0.16666666666666699</v>
      </c>
      <c r="W496" s="16" t="s">
        <v>1088</v>
      </c>
      <c r="X496" s="16">
        <v>6331</v>
      </c>
      <c r="Y496" s="16">
        <v>2099</v>
      </c>
    </row>
    <row r="497" spans="2:25" x14ac:dyDescent="0.2">
      <c r="B497" s="21" t="s">
        <v>293</v>
      </c>
      <c r="C497" s="21" t="s">
        <v>120</v>
      </c>
      <c r="D497" s="22">
        <v>0.90567606687545799</v>
      </c>
      <c r="E497" s="22">
        <v>1.9784861803054801</v>
      </c>
      <c r="F497" s="22">
        <v>0.34952309727668801</v>
      </c>
      <c r="G497" s="21" t="s">
        <v>1113</v>
      </c>
      <c r="H497" s="22">
        <f>POWER(10,E497)</f>
        <v>95.166956453240715</v>
      </c>
      <c r="J497" s="2" t="s">
        <v>293</v>
      </c>
      <c r="K497" s="2" t="s">
        <v>120</v>
      </c>
      <c r="L497" s="5">
        <v>0.890491962432861</v>
      </c>
      <c r="M497" s="5">
        <v>2.12782859802246</v>
      </c>
      <c r="N497" s="5">
        <v>0.35228812694549599</v>
      </c>
      <c r="O497" s="5">
        <f>EXP(M497)</f>
        <v>8.3966145766459821</v>
      </c>
      <c r="Q497" s="16" t="s">
        <v>120</v>
      </c>
      <c r="R497" s="16" t="s">
        <v>1078</v>
      </c>
      <c r="S497" s="17">
        <v>2.8148663369400001E-71</v>
      </c>
      <c r="T497" s="16">
        <v>0.633907</v>
      </c>
      <c r="U497" s="16" t="s">
        <v>942</v>
      </c>
      <c r="V497" s="16">
        <v>0.98581560283687897</v>
      </c>
      <c r="W497" s="16" t="s">
        <v>1079</v>
      </c>
      <c r="X497" s="16">
        <v>2030</v>
      </c>
      <c r="Y497" s="16">
        <v>185</v>
      </c>
    </row>
    <row r="498" spans="2:25" x14ac:dyDescent="0.2">
      <c r="B498" s="21" t="s">
        <v>293</v>
      </c>
      <c r="C498" s="21" t="s">
        <v>122</v>
      </c>
      <c r="D498" s="22">
        <v>0.89478033781051602</v>
      </c>
      <c r="E498" s="22">
        <v>1.59506058692932</v>
      </c>
      <c r="F498" s="22">
        <v>0.46138206124305697</v>
      </c>
      <c r="G498" s="21" t="s">
        <v>1113</v>
      </c>
      <c r="H498" s="22">
        <f>POWER(10,E498)</f>
        <v>39.360498210293301</v>
      </c>
      <c r="J498" s="2" t="s">
        <v>293</v>
      </c>
      <c r="K498" s="2" t="s">
        <v>122</v>
      </c>
      <c r="L498" s="5">
        <v>0.88421565294265803</v>
      </c>
      <c r="M498" s="5">
        <v>1.75601589679718</v>
      </c>
      <c r="N498" s="5">
        <v>0.468032896518707</v>
      </c>
      <c r="O498" s="5">
        <f>EXP(M498)</f>
        <v>5.7893261133982836</v>
      </c>
      <c r="Q498" s="16" t="s">
        <v>122</v>
      </c>
      <c r="R498" s="16" t="s">
        <v>1078</v>
      </c>
      <c r="S498" s="17">
        <v>6.6455881580399898E-43</v>
      </c>
      <c r="T498" s="16">
        <v>0.35593200000000003</v>
      </c>
      <c r="U498" s="16" t="s">
        <v>942</v>
      </c>
      <c r="V498" s="16">
        <v>0.98581560283687897</v>
      </c>
      <c r="W498" s="16" t="s">
        <v>1079</v>
      </c>
      <c r="X498" s="16">
        <v>2030</v>
      </c>
      <c r="Y498" s="16">
        <v>412</v>
      </c>
    </row>
    <row r="499" spans="2:25" x14ac:dyDescent="0.2">
      <c r="B499" s="21" t="s">
        <v>106</v>
      </c>
      <c r="C499" s="21" t="s">
        <v>218</v>
      </c>
      <c r="D499" s="22">
        <v>0.89859169721603405</v>
      </c>
      <c r="E499" s="22">
        <v>-0.45877876877784701</v>
      </c>
      <c r="F499" s="22">
        <v>0.91632521152496305</v>
      </c>
      <c r="G499" s="21" t="s">
        <v>1113</v>
      </c>
      <c r="H499" s="22">
        <f>POWER(10,E499)</f>
        <v>0.34771324275378507</v>
      </c>
      <c r="J499" s="2" t="s">
        <v>106</v>
      </c>
      <c r="K499" s="2" t="s">
        <v>218</v>
      </c>
      <c r="L499" s="5">
        <v>0.89385932683944702</v>
      </c>
      <c r="M499" s="5">
        <v>-0.53976583480835005</v>
      </c>
      <c r="N499" s="5">
        <v>0.91892188787460305</v>
      </c>
      <c r="O499" s="5">
        <f>EXP(M499)</f>
        <v>0.58288472770845334</v>
      </c>
      <c r="Q499" s="16" t="s">
        <v>218</v>
      </c>
      <c r="R499" s="16" t="s">
        <v>1080</v>
      </c>
      <c r="S499" s="17">
        <v>4.7659850386699904E-37</v>
      </c>
      <c r="T499" s="16">
        <v>0.64705900000000005</v>
      </c>
      <c r="U499" s="16" t="s">
        <v>942</v>
      </c>
      <c r="V499" s="16">
        <v>0.87040618955512605</v>
      </c>
      <c r="W499" s="16" t="s">
        <v>1081</v>
      </c>
      <c r="X499" s="16">
        <v>6530</v>
      </c>
      <c r="Y499" s="16">
        <v>37</v>
      </c>
    </row>
    <row r="500" spans="2:25" x14ac:dyDescent="0.2">
      <c r="B500" s="21"/>
      <c r="C500" s="21"/>
      <c r="D500" s="22"/>
      <c r="E500" s="22"/>
      <c r="F500" s="22"/>
      <c r="G500" s="21"/>
      <c r="H500" s="22"/>
      <c r="J500" s="2" t="s">
        <v>106</v>
      </c>
      <c r="K500" s="2" t="s">
        <v>26</v>
      </c>
      <c r="L500" s="5">
        <v>0.88303565979003895</v>
      </c>
      <c r="M500" s="5">
        <v>-0.60263442993164096</v>
      </c>
      <c r="N500" s="5">
        <v>0.69990807771682695</v>
      </c>
      <c r="O500" s="5">
        <f>EXP(M500)</f>
        <v>0.54736773305883835</v>
      </c>
      <c r="Q500" s="16" t="s">
        <v>26</v>
      </c>
      <c r="R500" s="16" t="s">
        <v>1080</v>
      </c>
      <c r="S500" s="17">
        <v>1.21377081719E-8</v>
      </c>
      <c r="T500" s="16">
        <v>0.75568199999999996</v>
      </c>
      <c r="U500" s="16" t="s">
        <v>942</v>
      </c>
      <c r="V500" s="16">
        <v>0.87040618955512605</v>
      </c>
      <c r="W500" s="16" t="s">
        <v>1081</v>
      </c>
      <c r="X500" s="16">
        <v>6530</v>
      </c>
      <c r="Y500" s="16">
        <v>1845</v>
      </c>
    </row>
    <row r="501" spans="2:25" x14ac:dyDescent="0.2">
      <c r="B501" s="21" t="s">
        <v>106</v>
      </c>
      <c r="C501" s="21" t="s">
        <v>260</v>
      </c>
      <c r="D501" s="22">
        <v>0.88935184478759799</v>
      </c>
      <c r="E501" s="22">
        <v>0.32138261198997498</v>
      </c>
      <c r="F501" s="22">
        <v>0.85853850841522195</v>
      </c>
      <c r="G501" s="21" t="s">
        <v>1113</v>
      </c>
      <c r="H501" s="22">
        <f>POWER(10,E501)</f>
        <v>2.0959581748563845</v>
      </c>
      <c r="J501" s="2" t="s">
        <v>106</v>
      </c>
      <c r="K501" s="2" t="s">
        <v>260</v>
      </c>
      <c r="L501" s="5">
        <v>0.88706743717193604</v>
      </c>
      <c r="M501" s="5">
        <v>0.35070767998695401</v>
      </c>
      <c r="N501" s="5">
        <v>0.82423299551010099</v>
      </c>
      <c r="O501" s="5">
        <f>EXP(M501)</f>
        <v>1.4200721497236637</v>
      </c>
      <c r="Q501" s="16" t="s">
        <v>260</v>
      </c>
      <c r="R501" s="16" t="s">
        <v>1080</v>
      </c>
      <c r="S501" s="17">
        <v>5.6452914196999997E-5</v>
      </c>
      <c r="T501" s="16">
        <v>0.56216200000000005</v>
      </c>
      <c r="U501" s="16" t="s">
        <v>942</v>
      </c>
      <c r="V501" s="16">
        <v>0.87040618955512605</v>
      </c>
      <c r="W501" s="16" t="s">
        <v>1081</v>
      </c>
      <c r="X501" s="16">
        <v>6530</v>
      </c>
      <c r="Y501" s="16">
        <v>2272</v>
      </c>
    </row>
    <row r="502" spans="2:25" x14ac:dyDescent="0.2">
      <c r="B502" s="21" t="s">
        <v>106</v>
      </c>
      <c r="C502" s="21" t="s">
        <v>153</v>
      </c>
      <c r="D502" s="22">
        <v>0.90181189775466897</v>
      </c>
      <c r="E502" s="22">
        <v>0.30998057126998901</v>
      </c>
      <c r="F502" s="22">
        <v>0.87099838256835904</v>
      </c>
      <c r="G502" s="21" t="s">
        <v>1113</v>
      </c>
      <c r="H502" s="22">
        <f>POWER(10,E502)</f>
        <v>2.0416466069030181</v>
      </c>
      <c r="J502" s="2" t="s">
        <v>106</v>
      </c>
      <c r="K502" s="2" t="s">
        <v>153</v>
      </c>
      <c r="L502" s="5">
        <v>0.90264528989791903</v>
      </c>
      <c r="M502" s="5">
        <v>0.18013662099838301</v>
      </c>
      <c r="N502" s="5">
        <v>0.90096813440322898</v>
      </c>
      <c r="O502" s="5">
        <f>EXP(M502)</f>
        <v>1.1973809393269592</v>
      </c>
      <c r="Q502" s="16" t="s">
        <v>153</v>
      </c>
      <c r="R502" s="16" t="s">
        <v>1080</v>
      </c>
      <c r="S502" s="17">
        <v>6.8780490803800002E-5</v>
      </c>
      <c r="T502" s="16">
        <v>0.61963199999999996</v>
      </c>
      <c r="U502" s="16" t="s">
        <v>942</v>
      </c>
      <c r="V502" s="16">
        <v>0.87040618955512605</v>
      </c>
      <c r="W502" s="16" t="s">
        <v>1081</v>
      </c>
      <c r="X502" s="16">
        <v>6530</v>
      </c>
      <c r="Y502" s="16">
        <v>2284</v>
      </c>
    </row>
    <row r="503" spans="2:25" x14ac:dyDescent="0.2">
      <c r="B503" s="21" t="s">
        <v>106</v>
      </c>
      <c r="C503" s="21" t="s">
        <v>41</v>
      </c>
      <c r="D503" s="22">
        <v>0.905203998088837</v>
      </c>
      <c r="E503" s="22">
        <v>-0.12017434835434</v>
      </c>
      <c r="F503" s="22">
        <v>0.89457577466964699</v>
      </c>
      <c r="G503" s="21" t="s">
        <v>1113</v>
      </c>
      <c r="H503" s="22">
        <f>POWER(10,E503)</f>
        <v>0.75827310372332091</v>
      </c>
      <c r="J503" s="2" t="s">
        <v>106</v>
      </c>
      <c r="K503" s="2" t="s">
        <v>41</v>
      </c>
      <c r="L503" s="5">
        <v>0.89662903547286998</v>
      </c>
      <c r="M503" s="5">
        <v>-2.9565315693616898E-2</v>
      </c>
      <c r="N503" s="5">
        <v>0.86794388294220004</v>
      </c>
      <c r="O503" s="5">
        <f>EXP(M503)</f>
        <v>0.97086746268848545</v>
      </c>
      <c r="Q503" s="16" t="s">
        <v>41</v>
      </c>
      <c r="R503" s="16" t="s">
        <v>1080</v>
      </c>
      <c r="S503" s="17">
        <v>1.2784410753E-11</v>
      </c>
      <c r="T503" s="16">
        <v>0.67391299999999998</v>
      </c>
      <c r="U503" s="16" t="s">
        <v>942</v>
      </c>
      <c r="V503" s="16">
        <v>0.87040618955512605</v>
      </c>
      <c r="W503" s="16" t="s">
        <v>1081</v>
      </c>
      <c r="X503" s="16">
        <v>6530</v>
      </c>
      <c r="Y503" s="16">
        <v>843</v>
      </c>
    </row>
    <row r="504" spans="2:25" x14ac:dyDescent="0.2">
      <c r="B504" s="21" t="s">
        <v>106</v>
      </c>
      <c r="C504" s="21" t="s">
        <v>111</v>
      </c>
      <c r="D504" s="22">
        <v>0.90707457065582298</v>
      </c>
      <c r="E504" s="22">
        <v>0.389788508415222</v>
      </c>
      <c r="F504" s="22">
        <v>0.96378374099731501</v>
      </c>
      <c r="G504" s="21" t="s">
        <v>1113</v>
      </c>
      <c r="H504" s="22">
        <f>POWER(10,E504)</f>
        <v>2.4535138190083003</v>
      </c>
      <c r="J504" s="2" t="s">
        <v>106</v>
      </c>
      <c r="K504" s="2" t="s">
        <v>111</v>
      </c>
      <c r="L504" s="5">
        <v>0.902804315090179</v>
      </c>
      <c r="M504" s="5">
        <v>0.27940711379051197</v>
      </c>
      <c r="N504" s="5">
        <v>0.95902651548385598</v>
      </c>
      <c r="O504" s="5">
        <f>EXP(M504)</f>
        <v>1.3223455794217525</v>
      </c>
      <c r="Q504" s="16" t="s">
        <v>111</v>
      </c>
      <c r="R504" s="16" t="s">
        <v>1080</v>
      </c>
      <c r="S504" s="17">
        <v>2.5888631823700001E-13</v>
      </c>
      <c r="T504" s="16">
        <v>0.69333299999999998</v>
      </c>
      <c r="U504" s="16" t="s">
        <v>942</v>
      </c>
      <c r="V504" s="16">
        <v>0.87040618955512605</v>
      </c>
      <c r="W504" s="16" t="s">
        <v>1081</v>
      </c>
      <c r="X504" s="16">
        <v>6530</v>
      </c>
      <c r="Y504" s="16">
        <v>1456</v>
      </c>
    </row>
    <row r="505" spans="2:25" x14ac:dyDescent="0.2">
      <c r="B505" s="21" t="s">
        <v>106</v>
      </c>
      <c r="C505" s="21" t="s">
        <v>294</v>
      </c>
      <c r="D505" s="22">
        <v>0.90513420104980502</v>
      </c>
      <c r="E505" s="22">
        <v>0.58733958005905196</v>
      </c>
      <c r="F505" s="22">
        <v>0.83188742399215698</v>
      </c>
      <c r="G505" s="21" t="s">
        <v>1113</v>
      </c>
      <c r="H505" s="22">
        <f>POWER(10,E505)</f>
        <v>3.8666920016335657</v>
      </c>
      <c r="J505" s="2" t="s">
        <v>106</v>
      </c>
      <c r="K505" s="2" t="s">
        <v>294</v>
      </c>
      <c r="L505" s="5">
        <v>0.89334869384765603</v>
      </c>
      <c r="M505" s="5">
        <v>0.61152911186218295</v>
      </c>
      <c r="N505" s="5">
        <v>0.84712892770767201</v>
      </c>
      <c r="O505" s="5">
        <f>EXP(M505)</f>
        <v>1.8432477769949482</v>
      </c>
      <c r="Q505" s="16" t="s">
        <v>294</v>
      </c>
      <c r="R505" s="16" t="s">
        <v>1080</v>
      </c>
      <c r="S505" s="17">
        <v>3.7589037243E-5</v>
      </c>
      <c r="T505" s="16">
        <v>0.418182</v>
      </c>
      <c r="U505" s="16" t="s">
        <v>942</v>
      </c>
      <c r="V505" s="16">
        <v>0.87040618955512605</v>
      </c>
      <c r="W505" s="16" t="s">
        <v>1081</v>
      </c>
      <c r="X505" s="16">
        <v>6530</v>
      </c>
      <c r="Y505" s="16">
        <v>2245</v>
      </c>
    </row>
    <row r="506" spans="2:25" x14ac:dyDescent="0.2">
      <c r="B506" s="21" t="s">
        <v>106</v>
      </c>
      <c r="C506" s="21" t="s">
        <v>10</v>
      </c>
      <c r="D506" s="22">
        <v>0.90804195404052701</v>
      </c>
      <c r="E506" s="22">
        <v>-0.48938328027725198</v>
      </c>
      <c r="F506" s="22">
        <v>0.96472078561782804</v>
      </c>
      <c r="G506" s="21" t="s">
        <v>1113</v>
      </c>
      <c r="H506" s="22">
        <f>POWER(10,E506)</f>
        <v>0.32405350241013736</v>
      </c>
      <c r="J506" s="2" t="s">
        <v>106</v>
      </c>
      <c r="K506" s="2" t="s">
        <v>10</v>
      </c>
      <c r="L506" s="5">
        <v>0.915288627147675</v>
      </c>
      <c r="M506" s="5">
        <v>-0.34973403811454801</v>
      </c>
      <c r="N506" s="5">
        <v>0.94992196559905995</v>
      </c>
      <c r="O506" s="5">
        <f>EXP(M506)</f>
        <v>0.70487553481723153</v>
      </c>
      <c r="Q506" s="16" t="s">
        <v>10</v>
      </c>
      <c r="R506" s="16" t="s">
        <v>1080</v>
      </c>
      <c r="S506" s="17">
        <v>5.17356825440999E-14</v>
      </c>
      <c r="T506" s="16">
        <v>0.608491</v>
      </c>
      <c r="U506" s="16" t="s">
        <v>942</v>
      </c>
      <c r="V506" s="16">
        <v>0.87040618955512605</v>
      </c>
      <c r="W506" s="16" t="s">
        <v>1081</v>
      </c>
      <c r="X506" s="16">
        <v>6530</v>
      </c>
      <c r="Y506" s="16">
        <v>493</v>
      </c>
    </row>
    <row r="507" spans="2:25" x14ac:dyDescent="0.2">
      <c r="B507" s="21" t="s">
        <v>106</v>
      </c>
      <c r="C507" s="21" t="s">
        <v>73</v>
      </c>
      <c r="D507" s="22">
        <v>0.911684811115265</v>
      </c>
      <c r="E507" s="22">
        <v>1.7395156621932999</v>
      </c>
      <c r="F507" s="22">
        <v>0.69962495565414395</v>
      </c>
      <c r="G507" s="21" t="s">
        <v>1113</v>
      </c>
      <c r="H507" s="22">
        <f>POWER(10,E507)</f>
        <v>54.892835154570641</v>
      </c>
      <c r="J507" s="2" t="s">
        <v>106</v>
      </c>
      <c r="K507" s="2" t="s">
        <v>73</v>
      </c>
      <c r="L507" s="5">
        <v>0.90183430910110496</v>
      </c>
      <c r="M507" s="5">
        <v>1.4520013332366899</v>
      </c>
      <c r="N507" s="5">
        <v>0.70294028520584095</v>
      </c>
      <c r="O507" s="5">
        <f>EXP(M507)</f>
        <v>4.2716549712385188</v>
      </c>
      <c r="Q507" s="16" t="s">
        <v>73</v>
      </c>
      <c r="R507" s="16" t="s">
        <v>1080</v>
      </c>
      <c r="S507" s="17">
        <v>8.4546362243400003E-6</v>
      </c>
      <c r="T507" s="16">
        <v>0.84905699999999995</v>
      </c>
      <c r="U507" s="16" t="s">
        <v>942</v>
      </c>
      <c r="V507" s="16">
        <v>0.87040618955512605</v>
      </c>
      <c r="W507" s="16" t="s">
        <v>1081</v>
      </c>
      <c r="X507" s="16">
        <v>6530</v>
      </c>
      <c r="Y507" s="16">
        <v>2179</v>
      </c>
    </row>
    <row r="508" spans="2:25" x14ac:dyDescent="0.2">
      <c r="B508" s="21" t="s">
        <v>106</v>
      </c>
      <c r="C508" s="21" t="s">
        <v>221</v>
      </c>
      <c r="D508" s="22">
        <v>0.90089797973632801</v>
      </c>
      <c r="E508" s="22">
        <v>0.47314155101776101</v>
      </c>
      <c r="F508" s="22">
        <v>0.81997895240783703</v>
      </c>
      <c r="G508" s="21" t="s">
        <v>1113</v>
      </c>
      <c r="H508" s="22">
        <f>POWER(10,E508)</f>
        <v>2.9726347544063643</v>
      </c>
      <c r="J508" s="2" t="s">
        <v>106</v>
      </c>
      <c r="K508" s="2" t="s">
        <v>221</v>
      </c>
      <c r="L508" s="5">
        <v>0.90336334705352805</v>
      </c>
      <c r="M508" s="5">
        <v>0.476031303405762</v>
      </c>
      <c r="N508" s="5">
        <v>0.79006093740463301</v>
      </c>
      <c r="O508" s="5">
        <f>EXP(M508)</f>
        <v>1.6096734034294748</v>
      </c>
      <c r="Q508" s="16" t="s">
        <v>221</v>
      </c>
      <c r="R508" s="16" t="s">
        <v>1080</v>
      </c>
      <c r="S508" s="17">
        <v>2.5596995282199998E-77</v>
      </c>
      <c r="T508" s="16">
        <v>0.670103</v>
      </c>
      <c r="U508" s="16" t="s">
        <v>942</v>
      </c>
      <c r="V508" s="16">
        <v>0.87040618955512605</v>
      </c>
      <c r="W508" s="16" t="s">
        <v>1081</v>
      </c>
      <c r="X508" s="16">
        <v>6530</v>
      </c>
      <c r="Y508" s="16">
        <v>53</v>
      </c>
    </row>
    <row r="509" spans="2:25" x14ac:dyDescent="0.2">
      <c r="J509" s="2" t="s">
        <v>106</v>
      </c>
      <c r="K509" s="2" t="s">
        <v>263</v>
      </c>
      <c r="L509" s="5">
        <v>0.90319645404815696</v>
      </c>
      <c r="M509" s="5">
        <v>1.04108691215515</v>
      </c>
      <c r="N509" s="5">
        <v>0.771442890167236</v>
      </c>
      <c r="O509" s="5">
        <f>EXP(M509)</f>
        <v>2.8322937965070736</v>
      </c>
      <c r="Q509" s="16" t="s">
        <v>263</v>
      </c>
      <c r="R509" s="16" t="s">
        <v>1080</v>
      </c>
      <c r="S509" s="17">
        <v>5.1620590157300003E-12</v>
      </c>
      <c r="T509" s="16">
        <v>0.53921600000000003</v>
      </c>
      <c r="U509" s="16" t="s">
        <v>942</v>
      </c>
      <c r="V509" s="16">
        <v>0.87040618955512605</v>
      </c>
      <c r="W509" s="16" t="s">
        <v>1081</v>
      </c>
      <c r="X509" s="16">
        <v>6530</v>
      </c>
      <c r="Y509" s="16">
        <v>344</v>
      </c>
    </row>
    <row r="510" spans="2:25" x14ac:dyDescent="0.2">
      <c r="B510" s="21" t="s">
        <v>107</v>
      </c>
      <c r="C510" s="21" t="s">
        <v>218</v>
      </c>
      <c r="D510" s="22">
        <v>0.92482990026473999</v>
      </c>
      <c r="E510" s="22">
        <v>-8.9920759201049805E-3</v>
      </c>
      <c r="F510" s="22">
        <v>0.88090264797210704</v>
      </c>
      <c r="G510" s="21" t="s">
        <v>1113</v>
      </c>
      <c r="H510" s="22">
        <f>POWER(10,E510)</f>
        <v>0.97950785721695977</v>
      </c>
      <c r="J510" s="2" t="s">
        <v>107</v>
      </c>
      <c r="K510" s="2" t="s">
        <v>218</v>
      </c>
      <c r="L510" s="5">
        <v>0.88265544176101696</v>
      </c>
      <c r="M510" s="5">
        <v>0.20425398647785201</v>
      </c>
      <c r="N510" s="5">
        <v>0.87060129642486594</v>
      </c>
      <c r="O510" s="5">
        <f>EXP(M510)</f>
        <v>1.2266096561620663</v>
      </c>
      <c r="Q510" s="16" t="s">
        <v>218</v>
      </c>
      <c r="R510" s="16" t="s">
        <v>1082</v>
      </c>
      <c r="S510" s="17">
        <v>1.2327482607100001E-100</v>
      </c>
      <c r="T510" s="16">
        <v>0.64705900000000005</v>
      </c>
      <c r="U510" s="16" t="s">
        <v>942</v>
      </c>
      <c r="V510" s="16">
        <v>0.82107574094401803</v>
      </c>
      <c r="W510" s="16" t="s">
        <v>1083</v>
      </c>
      <c r="X510" s="16">
        <v>6531</v>
      </c>
      <c r="Y510" s="16">
        <v>8</v>
      </c>
    </row>
    <row r="511" spans="2:25" x14ac:dyDescent="0.2">
      <c r="B511" s="21" t="s">
        <v>107</v>
      </c>
      <c r="C511" s="21" t="s">
        <v>153</v>
      </c>
      <c r="D511" s="22">
        <v>0.92860120534896895</v>
      </c>
      <c r="E511" s="22">
        <v>1.04564893245697</v>
      </c>
      <c r="F511" s="22">
        <v>0.82188928127288796</v>
      </c>
      <c r="G511" s="21" t="s">
        <v>1113</v>
      </c>
      <c r="H511" s="22">
        <f>POWER(10,E511)</f>
        <v>11.108334077412787</v>
      </c>
      <c r="J511" s="2" t="s">
        <v>107</v>
      </c>
      <c r="K511" s="2" t="s">
        <v>153</v>
      </c>
      <c r="L511" s="5">
        <v>0.87646359205246005</v>
      </c>
      <c r="M511" s="5">
        <v>0.63896286487579401</v>
      </c>
      <c r="N511" s="5">
        <v>0.831778764724731</v>
      </c>
      <c r="O511" s="5">
        <f>EXP(M511)</f>
        <v>1.8945149919942463</v>
      </c>
      <c r="Q511" s="16" t="s">
        <v>153</v>
      </c>
      <c r="R511" s="16" t="s">
        <v>1082</v>
      </c>
      <c r="S511" s="17">
        <v>3.7569096722499999E-9</v>
      </c>
      <c r="T511" s="16">
        <v>0.61963199999999996</v>
      </c>
      <c r="U511" s="16" t="s">
        <v>942</v>
      </c>
      <c r="V511" s="16">
        <v>0.82107574094401803</v>
      </c>
      <c r="W511" s="16" t="s">
        <v>1083</v>
      </c>
      <c r="X511" s="16">
        <v>6531</v>
      </c>
      <c r="Y511" s="16">
        <v>1199</v>
      </c>
    </row>
    <row r="512" spans="2:25" x14ac:dyDescent="0.2">
      <c r="B512" s="21" t="s">
        <v>107</v>
      </c>
      <c r="C512" s="21" t="s">
        <v>41</v>
      </c>
      <c r="D512" s="22">
        <v>0.92189234495162997</v>
      </c>
      <c r="E512" s="22">
        <v>0.73755866289138805</v>
      </c>
      <c r="F512" s="22">
        <v>0.83410418033599898</v>
      </c>
      <c r="G512" s="21" t="s">
        <v>1113</v>
      </c>
      <c r="H512" s="22">
        <f>POWER(10,E512)</f>
        <v>5.4646035873975842</v>
      </c>
      <c r="J512" s="2" t="s">
        <v>107</v>
      </c>
      <c r="K512" s="2" t="s">
        <v>41</v>
      </c>
      <c r="L512" s="5">
        <v>0.87744873762130704</v>
      </c>
      <c r="M512" s="5">
        <v>0.57311487197875999</v>
      </c>
      <c r="N512" s="5">
        <v>0.87089729309081998</v>
      </c>
      <c r="O512" s="5">
        <f>EXP(M512)</f>
        <v>1.7737835640782429</v>
      </c>
      <c r="Q512" s="16" t="s">
        <v>41</v>
      </c>
      <c r="R512" s="16" t="s">
        <v>1082</v>
      </c>
      <c r="S512" s="17">
        <v>2.47179250588E-36</v>
      </c>
      <c r="T512" s="16">
        <v>0.731132</v>
      </c>
      <c r="U512" s="16" t="s">
        <v>942</v>
      </c>
      <c r="V512" s="16">
        <v>0.82107574094401803</v>
      </c>
      <c r="W512" s="16" t="s">
        <v>1083</v>
      </c>
      <c r="X512" s="16">
        <v>6531</v>
      </c>
      <c r="Y512" s="16">
        <v>51</v>
      </c>
    </row>
    <row r="513" spans="2:25" x14ac:dyDescent="0.2">
      <c r="B513" s="21" t="s">
        <v>107</v>
      </c>
      <c r="C513" s="21" t="s">
        <v>111</v>
      </c>
      <c r="D513" s="22">
        <v>0.92927992343902599</v>
      </c>
      <c r="E513" s="22">
        <v>0.24598675966262801</v>
      </c>
      <c r="F513" s="22">
        <v>0.97902631759643599</v>
      </c>
      <c r="G513" s="21" t="s">
        <v>1113</v>
      </c>
      <c r="H513" s="22">
        <f>POWER(10,E513)</f>
        <v>1.7619223298606401</v>
      </c>
      <c r="J513" s="2" t="s">
        <v>107</v>
      </c>
      <c r="K513" s="2" t="s">
        <v>111</v>
      </c>
      <c r="L513" s="5">
        <v>0.88413840532302901</v>
      </c>
      <c r="M513" s="5">
        <v>6.2352329492568997E-2</v>
      </c>
      <c r="N513" s="5">
        <v>0.96419751644134499</v>
      </c>
      <c r="O513" s="5">
        <f>EXP(M513)</f>
        <v>1.0643372760868735</v>
      </c>
      <c r="Q513" s="16" t="s">
        <v>111</v>
      </c>
      <c r="R513" s="16" t="s">
        <v>1082</v>
      </c>
      <c r="S513" s="17">
        <v>2.9887075947299999E-12</v>
      </c>
      <c r="T513" s="16">
        <v>0.67441899999999999</v>
      </c>
      <c r="U513" s="16" t="s">
        <v>942</v>
      </c>
      <c r="V513" s="16">
        <v>0.82107574094401803</v>
      </c>
      <c r="W513" s="16" t="s">
        <v>1083</v>
      </c>
      <c r="X513" s="16">
        <v>6531</v>
      </c>
      <c r="Y513" s="16">
        <v>1541</v>
      </c>
    </row>
    <row r="514" spans="2:25" x14ac:dyDescent="0.2">
      <c r="B514" s="21" t="s">
        <v>107</v>
      </c>
      <c r="C514" s="21" t="s">
        <v>27</v>
      </c>
      <c r="D514" s="22">
        <v>0.91583061218261697</v>
      </c>
      <c r="E514" s="22">
        <v>4.9113202840089798E-2</v>
      </c>
      <c r="F514" s="22">
        <v>0.183122918009758</v>
      </c>
      <c r="G514" s="21" t="s">
        <v>1113</v>
      </c>
      <c r="H514" s="22">
        <f>POWER(10,E514)</f>
        <v>1.1197297132514485</v>
      </c>
      <c r="J514" s="2" t="s">
        <v>107</v>
      </c>
      <c r="K514" s="2" t="s">
        <v>27</v>
      </c>
      <c r="L514" s="5">
        <v>0.83636820316314697</v>
      </c>
      <c r="M514" s="5">
        <v>-0.47906678915023798</v>
      </c>
      <c r="N514" s="5">
        <v>0.186141148209572</v>
      </c>
      <c r="O514" s="5">
        <f>EXP(M514)</f>
        <v>0.619361116708673</v>
      </c>
      <c r="Q514" s="16" t="s">
        <v>27</v>
      </c>
      <c r="R514" s="16" t="s">
        <v>1082</v>
      </c>
      <c r="S514" s="17">
        <v>1.13877712027E-6</v>
      </c>
      <c r="T514" s="16">
        <v>0.34567900000000001</v>
      </c>
      <c r="U514" s="16" t="s">
        <v>942</v>
      </c>
      <c r="V514" s="16">
        <v>0.82107574094401803</v>
      </c>
      <c r="W514" s="16" t="s">
        <v>1083</v>
      </c>
      <c r="X514" s="16">
        <v>6531</v>
      </c>
      <c r="Y514" s="16">
        <v>930</v>
      </c>
    </row>
    <row r="515" spans="2:25" x14ac:dyDescent="0.2">
      <c r="B515" s="21" t="s">
        <v>107</v>
      </c>
      <c r="C515" s="21" t="s">
        <v>277</v>
      </c>
      <c r="D515" s="22">
        <v>0.91192674636840798</v>
      </c>
      <c r="E515" s="22">
        <v>0.23051060736179399</v>
      </c>
      <c r="F515" s="22">
        <v>0.64994174242019698</v>
      </c>
      <c r="G515" s="21" t="s">
        <v>1113</v>
      </c>
      <c r="H515" s="22">
        <f>POWER(10,E515)</f>
        <v>1.7002414804335695</v>
      </c>
      <c r="J515" s="2" t="s">
        <v>107</v>
      </c>
      <c r="K515" s="2" t="s">
        <v>58</v>
      </c>
      <c r="L515" s="5">
        <v>0.86534339189529397</v>
      </c>
      <c r="M515" s="5">
        <v>1.1942877769470199</v>
      </c>
      <c r="N515" s="5">
        <v>0.84360241889953602</v>
      </c>
      <c r="O515" s="5">
        <f>EXP(M515)</f>
        <v>3.3012057381859115</v>
      </c>
      <c r="Q515" s="16" t="s">
        <v>58</v>
      </c>
      <c r="R515" s="16" t="s">
        <v>1082</v>
      </c>
      <c r="S515" s="17">
        <v>9.6812672323300002E-9</v>
      </c>
      <c r="T515" s="16">
        <v>0.42105300000000001</v>
      </c>
      <c r="U515" s="16" t="s">
        <v>942</v>
      </c>
      <c r="V515" s="16">
        <v>0.94952951240376404</v>
      </c>
      <c r="W515" s="16" t="s">
        <v>1084</v>
      </c>
      <c r="X515" s="16">
        <v>6531</v>
      </c>
      <c r="Y515" s="16">
        <v>1832</v>
      </c>
    </row>
    <row r="516" spans="2:25" x14ac:dyDescent="0.2">
      <c r="B516" s="21"/>
      <c r="C516" s="21"/>
      <c r="D516" s="22"/>
      <c r="E516" s="22"/>
      <c r="F516" s="22"/>
      <c r="G516" s="21"/>
      <c r="H516" s="22"/>
      <c r="J516" s="2" t="s">
        <v>107</v>
      </c>
      <c r="K516" s="2" t="s">
        <v>277</v>
      </c>
      <c r="L516" s="5">
        <v>0.86268150806427002</v>
      </c>
      <c r="M516" s="5">
        <v>-9.8348215222358704E-2</v>
      </c>
      <c r="N516" s="5">
        <v>0.63655263185501099</v>
      </c>
      <c r="O516" s="5">
        <f>EXP(M516)</f>
        <v>0.90633324976525043</v>
      </c>
      <c r="Q516" s="16" t="s">
        <v>277</v>
      </c>
      <c r="R516" s="16" t="s">
        <v>1082</v>
      </c>
      <c r="S516" s="17">
        <v>3.7006698843000003E-12</v>
      </c>
      <c r="T516" s="16">
        <v>0.42307699999999998</v>
      </c>
      <c r="U516" s="16" t="s">
        <v>942</v>
      </c>
      <c r="V516" s="16">
        <v>0.82107574094401803</v>
      </c>
      <c r="W516" s="16" t="s">
        <v>1083</v>
      </c>
      <c r="X516" s="16">
        <v>6531</v>
      </c>
      <c r="Y516" s="16">
        <v>455</v>
      </c>
    </row>
    <row r="517" spans="2:25" x14ac:dyDescent="0.2">
      <c r="B517" s="21" t="s">
        <v>107</v>
      </c>
      <c r="C517" s="21" t="s">
        <v>221</v>
      </c>
      <c r="D517" s="22">
        <v>0.92512339353561401</v>
      </c>
      <c r="E517" s="22">
        <v>0.76331347227096602</v>
      </c>
      <c r="F517" s="22">
        <v>0.775495946407318</v>
      </c>
      <c r="G517" s="21" t="s">
        <v>1113</v>
      </c>
      <c r="H517" s="22">
        <f>POWER(10,E517)</f>
        <v>5.7984707705195655</v>
      </c>
      <c r="J517" s="2" t="s">
        <v>107</v>
      </c>
      <c r="K517" s="2" t="s">
        <v>221</v>
      </c>
      <c r="L517" s="5">
        <v>0.86630499362945601</v>
      </c>
      <c r="M517" s="5">
        <v>0.79602569341659601</v>
      </c>
      <c r="N517" s="5">
        <v>0.78509438037872303</v>
      </c>
      <c r="O517" s="5">
        <f>EXP(M517)</f>
        <v>2.2167134996022844</v>
      </c>
      <c r="Q517" s="16" t="s">
        <v>221</v>
      </c>
      <c r="R517" s="16" t="s">
        <v>1082</v>
      </c>
      <c r="S517" s="17">
        <v>4.9784963821800002E-120</v>
      </c>
      <c r="T517" s="16">
        <v>0.670103</v>
      </c>
      <c r="U517" s="16" t="s">
        <v>942</v>
      </c>
      <c r="V517" s="16">
        <v>0.82107574094401803</v>
      </c>
      <c r="W517" s="16" t="s">
        <v>1083</v>
      </c>
      <c r="X517" s="16">
        <v>6531</v>
      </c>
      <c r="Y517" s="16">
        <v>25</v>
      </c>
    </row>
    <row r="518" spans="2:25" x14ac:dyDescent="0.2">
      <c r="J518" s="2" t="s">
        <v>107</v>
      </c>
      <c r="K518" s="2" t="s">
        <v>263</v>
      </c>
      <c r="L518" s="5">
        <v>0.87292367219924905</v>
      </c>
      <c r="M518" s="5">
        <v>0.518907070159912</v>
      </c>
      <c r="N518" s="5">
        <v>0.80801242589950595</v>
      </c>
      <c r="O518" s="5">
        <f>EXP(M518)</f>
        <v>1.6801903157101392</v>
      </c>
      <c r="Q518" s="16" t="s">
        <v>263</v>
      </c>
      <c r="R518" s="16" t="s">
        <v>1082</v>
      </c>
      <c r="S518" s="17">
        <v>4.0386253671800001E-47</v>
      </c>
      <c r="T518" s="16">
        <v>0.55696199999999996</v>
      </c>
      <c r="U518" s="16" t="s">
        <v>942</v>
      </c>
      <c r="V518" s="16">
        <v>0.82107574094401803</v>
      </c>
      <c r="W518" s="16" t="s">
        <v>1083</v>
      </c>
      <c r="X518" s="16">
        <v>6531</v>
      </c>
      <c r="Y518" s="16">
        <v>121</v>
      </c>
    </row>
    <row r="519" spans="2:25" x14ac:dyDescent="0.2">
      <c r="J519" s="2" t="s">
        <v>107</v>
      </c>
      <c r="K519" s="2" t="s">
        <v>154</v>
      </c>
      <c r="L519" s="5">
        <v>0.88920909166336104</v>
      </c>
      <c r="M519" s="5">
        <v>-1.93975865840912E-5</v>
      </c>
      <c r="N519" s="5">
        <v>0.88532984256744396</v>
      </c>
      <c r="O519" s="5">
        <f>EXP(M519)</f>
        <v>0.99998060260154786</v>
      </c>
      <c r="Q519" s="16" t="s">
        <v>154</v>
      </c>
      <c r="R519" s="16" t="s">
        <v>1082</v>
      </c>
      <c r="S519" s="17">
        <v>7.1670276824400003E-8</v>
      </c>
      <c r="T519" s="16">
        <v>0.75287400000000004</v>
      </c>
      <c r="U519" s="16" t="s">
        <v>942</v>
      </c>
      <c r="V519" s="16">
        <v>0.94952951240376404</v>
      </c>
      <c r="W519" s="16" t="s">
        <v>1084</v>
      </c>
      <c r="X519" s="16">
        <v>6531</v>
      </c>
      <c r="Y519" s="16">
        <v>1926</v>
      </c>
    </row>
    <row r="520" spans="2:25" x14ac:dyDescent="0.2">
      <c r="B520" s="21" t="s">
        <v>110</v>
      </c>
      <c r="C520" s="21" t="s">
        <v>229</v>
      </c>
      <c r="D520" s="22">
        <v>0.95748418569564797</v>
      </c>
      <c r="E520" s="22">
        <v>2.67846584320068</v>
      </c>
      <c r="F520" s="22">
        <v>0.61015945672988903</v>
      </c>
      <c r="G520" s="21" t="s">
        <v>1113</v>
      </c>
      <c r="H520" s="22">
        <f>POWER(10,E520)</f>
        <v>476.9423016390777</v>
      </c>
      <c r="J520" s="2" t="s">
        <v>110</v>
      </c>
      <c r="K520" s="2" t="s">
        <v>229</v>
      </c>
      <c r="L520" s="5">
        <v>0.88669252395629905</v>
      </c>
      <c r="M520" s="5">
        <v>1.7814956903457599</v>
      </c>
      <c r="N520" s="5">
        <v>0.62970548868179299</v>
      </c>
      <c r="O520" s="5">
        <f>EXP(M520)</f>
        <v>5.9387322837063818</v>
      </c>
      <c r="Q520" s="16" t="s">
        <v>229</v>
      </c>
      <c r="R520" s="16" t="s">
        <v>1085</v>
      </c>
      <c r="S520" s="17">
        <v>1.4449652585599999E-10</v>
      </c>
      <c r="T520" s="16">
        <v>0.69318199999999996</v>
      </c>
      <c r="U520" s="16" t="s">
        <v>942</v>
      </c>
      <c r="V520" s="16">
        <v>0.76704208654416095</v>
      </c>
      <c r="W520" s="16" t="s">
        <v>1086</v>
      </c>
      <c r="X520" s="16">
        <v>6532</v>
      </c>
      <c r="Y520" s="16">
        <v>1656</v>
      </c>
    </row>
    <row r="521" spans="2:25" x14ac:dyDescent="0.2">
      <c r="B521" s="21" t="s">
        <v>110</v>
      </c>
      <c r="C521" s="21" t="s">
        <v>218</v>
      </c>
      <c r="D521" s="22">
        <v>0.97431391477584794</v>
      </c>
      <c r="E521" s="22">
        <v>-1.1282252073287999</v>
      </c>
      <c r="F521" s="22">
        <v>0.87236601114273105</v>
      </c>
      <c r="G521" s="21" t="s">
        <v>1113</v>
      </c>
      <c r="H521" s="22">
        <f>POWER(10,E521)</f>
        <v>7.4434588652313977E-2</v>
      </c>
      <c r="J521" s="2" t="s">
        <v>110</v>
      </c>
      <c r="K521" s="2" t="s">
        <v>218</v>
      </c>
      <c r="L521" s="5">
        <v>0.89660519361496005</v>
      </c>
      <c r="M521" s="5">
        <v>-1.2549804449081401</v>
      </c>
      <c r="N521" s="5">
        <v>0.89663571119308505</v>
      </c>
      <c r="O521" s="5">
        <f>EXP(M521)</f>
        <v>0.28508142296335975</v>
      </c>
      <c r="Q521" s="16" t="s">
        <v>218</v>
      </c>
      <c r="R521" s="16" t="s">
        <v>1085</v>
      </c>
      <c r="S521" s="17">
        <v>1.49068374734E-47</v>
      </c>
      <c r="T521" s="16">
        <v>0.64705900000000005</v>
      </c>
      <c r="U521" s="16" t="s">
        <v>942</v>
      </c>
      <c r="V521" s="16">
        <v>0.76704208654416095</v>
      </c>
      <c r="W521" s="16" t="s">
        <v>1086</v>
      </c>
      <c r="X521" s="16">
        <v>6532</v>
      </c>
      <c r="Y521" s="16">
        <v>346</v>
      </c>
    </row>
    <row r="522" spans="2:25" x14ac:dyDescent="0.2">
      <c r="B522" s="21" t="s">
        <v>110</v>
      </c>
      <c r="C522" s="21" t="s">
        <v>16</v>
      </c>
      <c r="D522" s="22">
        <v>0.97241801023483299</v>
      </c>
      <c r="E522" s="22">
        <v>0.800242960453033</v>
      </c>
      <c r="F522" s="22">
        <v>0.11063988506793999</v>
      </c>
      <c r="G522" s="21" t="s">
        <v>1113</v>
      </c>
      <c r="H522" s="22">
        <f>POWER(10,E522)</f>
        <v>6.3131042419189392</v>
      </c>
      <c r="J522" s="2" t="s">
        <v>110</v>
      </c>
      <c r="K522" s="2" t="s">
        <v>16</v>
      </c>
      <c r="L522" s="5">
        <v>0.89714014530181896</v>
      </c>
      <c r="M522" s="5">
        <v>1.31333303451538</v>
      </c>
      <c r="N522" s="5">
        <v>0.13306522369384799</v>
      </c>
      <c r="O522" s="5">
        <f>EXP(M522)</f>
        <v>3.7185471261660745</v>
      </c>
      <c r="Q522" s="16" t="s">
        <v>16</v>
      </c>
      <c r="R522" s="16" t="s">
        <v>1085</v>
      </c>
      <c r="S522" s="17">
        <v>1.4093179656299999E-5</v>
      </c>
      <c r="T522" s="16">
        <v>0.60827200000000003</v>
      </c>
      <c r="U522" s="16" t="s">
        <v>942</v>
      </c>
      <c r="V522" s="16">
        <v>0.76704208654416095</v>
      </c>
      <c r="W522" s="16" t="s">
        <v>1086</v>
      </c>
      <c r="X522" s="16">
        <v>6532</v>
      </c>
      <c r="Y522" s="16">
        <v>2201</v>
      </c>
    </row>
    <row r="523" spans="2:25" x14ac:dyDescent="0.2">
      <c r="B523" s="21" t="s">
        <v>110</v>
      </c>
      <c r="C523" s="21" t="s">
        <v>260</v>
      </c>
      <c r="D523" s="22">
        <v>0.963986396789551</v>
      </c>
      <c r="E523" s="22">
        <v>0.32264393568038902</v>
      </c>
      <c r="F523" s="22">
        <v>0.775351762771606</v>
      </c>
      <c r="G523" s="21" t="s">
        <v>1113</v>
      </c>
      <c r="H523" s="22">
        <f>POWER(10,E523)</f>
        <v>2.1020543251848194</v>
      </c>
      <c r="J523" s="2" t="s">
        <v>110</v>
      </c>
      <c r="K523" s="2" t="s">
        <v>260</v>
      </c>
      <c r="L523" s="5">
        <v>0.88624250888824496</v>
      </c>
      <c r="M523" s="5">
        <v>1.1676287651062001</v>
      </c>
      <c r="N523" s="5">
        <v>0.79992735385894798</v>
      </c>
      <c r="O523" s="5">
        <f>EXP(M523)</f>
        <v>3.2143615882384435</v>
      </c>
      <c r="Q523" s="16" t="s">
        <v>260</v>
      </c>
      <c r="R523" s="16" t="s">
        <v>1085</v>
      </c>
      <c r="S523" s="17">
        <v>2.31194441369E-9</v>
      </c>
      <c r="T523" s="16">
        <v>0.56756799999999996</v>
      </c>
      <c r="U523" s="16" t="s">
        <v>942</v>
      </c>
      <c r="V523" s="16">
        <v>0.76704208654416095</v>
      </c>
      <c r="W523" s="16" t="s">
        <v>1086</v>
      </c>
      <c r="X523" s="16">
        <v>6532</v>
      </c>
      <c r="Y523" s="16">
        <v>1772</v>
      </c>
    </row>
    <row r="524" spans="2:25" x14ac:dyDescent="0.2">
      <c r="B524" s="21" t="s">
        <v>110</v>
      </c>
      <c r="C524" s="21" t="s">
        <v>17</v>
      </c>
      <c r="D524" s="22">
        <v>0.963453888893127</v>
      </c>
      <c r="E524" s="22">
        <v>-0.42655411362647999</v>
      </c>
      <c r="F524" s="22">
        <v>0.88335001468658503</v>
      </c>
      <c r="G524" s="21" t="s">
        <v>1113</v>
      </c>
      <c r="H524" s="22">
        <f>POWER(10,E524)</f>
        <v>0.3744948816061266</v>
      </c>
      <c r="J524" s="2" t="s">
        <v>110</v>
      </c>
      <c r="K524" s="2" t="s">
        <v>17</v>
      </c>
      <c r="L524" s="5">
        <v>0.888410985469818</v>
      </c>
      <c r="M524" s="5">
        <v>-0.102603487670422</v>
      </c>
      <c r="N524" s="5">
        <v>0.94362813234329201</v>
      </c>
      <c r="O524" s="5">
        <f>EXP(M524)</f>
        <v>0.90248474887583674</v>
      </c>
      <c r="Q524" s="16" t="s">
        <v>17</v>
      </c>
      <c r="R524" s="16" t="s">
        <v>1085</v>
      </c>
      <c r="S524" s="17">
        <v>6.4125786568699901E-14</v>
      </c>
      <c r="T524" s="16">
        <v>0.64827599999999996</v>
      </c>
      <c r="U524" s="16" t="s">
        <v>942</v>
      </c>
      <c r="V524" s="16">
        <v>0.76704208654416095</v>
      </c>
      <c r="W524" s="16" t="s">
        <v>1086</v>
      </c>
      <c r="X524" s="16">
        <v>6532</v>
      </c>
      <c r="Y524" s="16">
        <v>1406</v>
      </c>
    </row>
    <row r="525" spans="2:25" x14ac:dyDescent="0.2">
      <c r="B525" s="21" t="s">
        <v>110</v>
      </c>
      <c r="C525" s="21" t="s">
        <v>108</v>
      </c>
      <c r="D525" s="22">
        <v>0.97625428438186701</v>
      </c>
      <c r="E525" s="22">
        <v>-9.5572724938392598E-2</v>
      </c>
      <c r="F525" s="22">
        <v>0.98231607675552401</v>
      </c>
      <c r="G525" s="21" t="s">
        <v>1113</v>
      </c>
      <c r="H525" s="22">
        <f>POWER(10,E525)</f>
        <v>0.80246717219245811</v>
      </c>
      <c r="J525" s="2" t="s">
        <v>110</v>
      </c>
      <c r="K525" s="2" t="s">
        <v>108</v>
      </c>
      <c r="L525" s="5">
        <v>0.90179347991943404</v>
      </c>
      <c r="M525" s="5">
        <v>-0.37393456697464</v>
      </c>
      <c r="N525" s="5">
        <v>0.98914110660553001</v>
      </c>
      <c r="O525" s="5">
        <f>EXP(M525)</f>
        <v>0.68802192971251031</v>
      </c>
      <c r="Q525" s="16" t="s">
        <v>108</v>
      </c>
      <c r="R525" s="16" t="s">
        <v>1085</v>
      </c>
      <c r="S525" s="17">
        <v>2.4018432297099999E-15</v>
      </c>
      <c r="T525" s="16">
        <v>0.61111099999999996</v>
      </c>
      <c r="U525" s="16" t="s">
        <v>942</v>
      </c>
      <c r="V525" s="16">
        <v>0.76704208654416095</v>
      </c>
      <c r="W525" s="16" t="s">
        <v>1086</v>
      </c>
      <c r="X525" s="16">
        <v>6532</v>
      </c>
      <c r="Y525" s="16">
        <v>1316</v>
      </c>
    </row>
    <row r="526" spans="2:25" x14ac:dyDescent="0.2">
      <c r="B526" s="21" t="s">
        <v>110</v>
      </c>
      <c r="C526" s="21" t="s">
        <v>181</v>
      </c>
      <c r="D526" s="22">
        <v>0.97351562976837203</v>
      </c>
      <c r="E526" s="22">
        <v>0.69632476568222101</v>
      </c>
      <c r="F526" s="22">
        <v>0.67856013774871804</v>
      </c>
      <c r="G526" s="21" t="s">
        <v>1113</v>
      </c>
      <c r="H526" s="22">
        <f>POWER(10,E526)</f>
        <v>4.969638123787691</v>
      </c>
      <c r="J526" s="2" t="s">
        <v>110</v>
      </c>
      <c r="K526" s="2" t="s">
        <v>181</v>
      </c>
      <c r="L526" s="5">
        <v>0.89941781759262096</v>
      </c>
      <c r="M526" s="5">
        <v>1.05594658851624</v>
      </c>
      <c r="N526" s="5">
        <v>0.58476197719573997</v>
      </c>
      <c r="O526" s="5">
        <f>EXP(M526)</f>
        <v>2.8746950196947285</v>
      </c>
      <c r="Q526" s="16" t="s">
        <v>181</v>
      </c>
      <c r="R526" s="16" t="s">
        <v>1085</v>
      </c>
      <c r="S526" s="17">
        <v>4.1020216042899999E-22</v>
      </c>
      <c r="T526" s="16">
        <v>0.71</v>
      </c>
      <c r="U526" s="16" t="s">
        <v>942</v>
      </c>
      <c r="V526" s="16">
        <v>0.76704208654416095</v>
      </c>
      <c r="W526" s="16" t="s">
        <v>1086</v>
      </c>
      <c r="X526" s="16">
        <v>6532</v>
      </c>
      <c r="Y526" s="16">
        <v>950</v>
      </c>
    </row>
    <row r="527" spans="2:25" x14ac:dyDescent="0.2">
      <c r="B527" s="21" t="s">
        <v>110</v>
      </c>
      <c r="C527" s="21" t="s">
        <v>73</v>
      </c>
      <c r="D527" s="22">
        <v>0.97149670124053999</v>
      </c>
      <c r="E527" s="22">
        <v>1.6878181695938099</v>
      </c>
      <c r="F527" s="22">
        <v>0.685127913951874</v>
      </c>
      <c r="G527" s="21" t="s">
        <v>1113</v>
      </c>
      <c r="H527" s="22">
        <f>POWER(10,E527)</f>
        <v>48.7324414407747</v>
      </c>
      <c r="J527" s="2" t="s">
        <v>110</v>
      </c>
      <c r="K527" s="2" t="s">
        <v>73</v>
      </c>
      <c r="L527" s="5">
        <v>0.89641112089157104</v>
      </c>
      <c r="M527" s="5">
        <v>2.00886058807373</v>
      </c>
      <c r="N527" s="5">
        <v>0.60991066694259599</v>
      </c>
      <c r="O527" s="5">
        <f>EXP(M527)</f>
        <v>7.454818397346088</v>
      </c>
      <c r="Q527" s="16" t="s">
        <v>73</v>
      </c>
      <c r="R527" s="16" t="s">
        <v>1085</v>
      </c>
      <c r="S527" s="17">
        <v>5.7798610342299998E-8</v>
      </c>
      <c r="T527" s="16">
        <v>0.62992099999999995</v>
      </c>
      <c r="U527" s="16" t="s">
        <v>942</v>
      </c>
      <c r="V527" s="16">
        <v>0.76704208654416095</v>
      </c>
      <c r="W527" s="16" t="s">
        <v>1086</v>
      </c>
      <c r="X527" s="16">
        <v>6532</v>
      </c>
      <c r="Y527" s="16">
        <v>1922</v>
      </c>
    </row>
    <row r="528" spans="2:25" x14ac:dyDescent="0.2">
      <c r="B528" s="21" t="s">
        <v>110</v>
      </c>
      <c r="C528" s="21" t="s">
        <v>230</v>
      </c>
      <c r="D528" s="22">
        <v>0.97076636552810702</v>
      </c>
      <c r="E528" s="22">
        <v>0.98276489973068204</v>
      </c>
      <c r="F528" s="22">
        <v>0.67046374082565297</v>
      </c>
      <c r="G528" s="21" t="s">
        <v>1113</v>
      </c>
      <c r="H528" s="22">
        <f>POWER(10,E528)</f>
        <v>9.6109186162852236</v>
      </c>
      <c r="J528" s="2" t="s">
        <v>110</v>
      </c>
      <c r="K528" s="2" t="s">
        <v>230</v>
      </c>
      <c r="L528" s="5">
        <v>0.89163094758987405</v>
      </c>
      <c r="M528" s="5">
        <v>1.47982597351074</v>
      </c>
      <c r="N528" s="5">
        <v>0.73650133609771695</v>
      </c>
      <c r="O528" s="5">
        <f>EXP(M528)</f>
        <v>4.392181258521199</v>
      </c>
      <c r="Q528" s="16" t="s">
        <v>230</v>
      </c>
      <c r="R528" s="16" t="s">
        <v>1085</v>
      </c>
      <c r="S528" s="17">
        <v>1.54957056708E-20</v>
      </c>
      <c r="T528" s="16">
        <v>0.68604699999999996</v>
      </c>
      <c r="U528" s="16" t="s">
        <v>942</v>
      </c>
      <c r="V528" s="16">
        <v>0.76704208654416095</v>
      </c>
      <c r="W528" s="16" t="s">
        <v>1086</v>
      </c>
      <c r="X528" s="16">
        <v>6532</v>
      </c>
      <c r="Y528" s="16">
        <v>1025</v>
      </c>
    </row>
    <row r="529" spans="2:25" x14ac:dyDescent="0.2">
      <c r="B529" s="21" t="s">
        <v>110</v>
      </c>
      <c r="C529" s="21" t="s">
        <v>221</v>
      </c>
      <c r="D529" s="22">
        <v>0.97257483005523704</v>
      </c>
      <c r="E529" s="22">
        <v>-0.72302293777465798</v>
      </c>
      <c r="F529" s="22">
        <v>0.91203016042709395</v>
      </c>
      <c r="G529" s="21" t="s">
        <v>1113</v>
      </c>
      <c r="H529" s="22">
        <f>POWER(10,E529)</f>
        <v>0.18922436749269328</v>
      </c>
      <c r="J529" s="2" t="s">
        <v>110</v>
      </c>
      <c r="K529" s="2" t="s">
        <v>221</v>
      </c>
      <c r="L529" s="5">
        <v>0.89299458265304599</v>
      </c>
      <c r="M529" s="5">
        <v>-1.0093632936477701</v>
      </c>
      <c r="N529" s="5">
        <v>0.94169658422470104</v>
      </c>
      <c r="O529" s="5">
        <f>EXP(M529)</f>
        <v>0.36445095395136301</v>
      </c>
      <c r="Q529" s="16" t="s">
        <v>221</v>
      </c>
      <c r="R529" s="16" t="s">
        <v>1085</v>
      </c>
      <c r="S529" s="17">
        <v>5.2310852823199897E-59</v>
      </c>
      <c r="T529" s="16">
        <v>0.62105299999999997</v>
      </c>
      <c r="U529" s="16" t="s">
        <v>942</v>
      </c>
      <c r="V529" s="16">
        <v>0.76704208654416095</v>
      </c>
      <c r="W529" s="16" t="s">
        <v>1086</v>
      </c>
      <c r="X529" s="16">
        <v>6532</v>
      </c>
      <c r="Y529" s="16">
        <v>247</v>
      </c>
    </row>
    <row r="530" spans="2:25" x14ac:dyDescent="0.2">
      <c r="B530" s="21" t="s">
        <v>110</v>
      </c>
      <c r="C530" s="21" t="s">
        <v>269</v>
      </c>
      <c r="D530" s="22">
        <v>0.96352064609527599</v>
      </c>
      <c r="E530" s="22">
        <v>1.1187227964401201</v>
      </c>
      <c r="F530" s="22">
        <v>0.26825594902038602</v>
      </c>
      <c r="G530" s="21" t="s">
        <v>1113</v>
      </c>
      <c r="H530" s="22">
        <f>POWER(10,E530)</f>
        <v>13.143856120526003</v>
      </c>
      <c r="J530" s="2" t="s">
        <v>110</v>
      </c>
      <c r="K530" s="2" t="s">
        <v>269</v>
      </c>
      <c r="L530" s="5">
        <v>0.89839214086532604</v>
      </c>
      <c r="M530" s="5">
        <v>0.50015157461166404</v>
      </c>
      <c r="N530" s="5">
        <v>0.36885550618171697</v>
      </c>
      <c r="O530" s="5">
        <f>EXP(M530)</f>
        <v>1.6489711939270062</v>
      </c>
      <c r="Q530" s="16" t="s">
        <v>269</v>
      </c>
      <c r="R530" s="16" t="s">
        <v>1085</v>
      </c>
      <c r="S530" s="17">
        <v>2.3986423292E-8</v>
      </c>
      <c r="T530" s="16">
        <v>0.51176500000000003</v>
      </c>
      <c r="U530" s="16" t="s">
        <v>942</v>
      </c>
      <c r="V530" s="16">
        <v>0.85294117647058798</v>
      </c>
      <c r="W530" s="16" t="s">
        <v>1087</v>
      </c>
      <c r="X530" s="16">
        <v>6532</v>
      </c>
      <c r="Y530" s="16">
        <v>1881</v>
      </c>
    </row>
    <row r="531" spans="2:25" x14ac:dyDescent="0.2">
      <c r="B531" s="21" t="s">
        <v>110</v>
      </c>
      <c r="C531" s="21" t="s">
        <v>263</v>
      </c>
      <c r="D531" s="22">
        <v>0.96496486663818404</v>
      </c>
      <c r="E531" s="22">
        <v>5.83453513681889E-2</v>
      </c>
      <c r="F531" s="22">
        <v>0.87235456705093395</v>
      </c>
      <c r="G531" s="21" t="s">
        <v>1113</v>
      </c>
      <c r="H531" s="22">
        <f>POWER(10,E531)</f>
        <v>1.1437875141263816</v>
      </c>
      <c r="J531" s="2" t="s">
        <v>110</v>
      </c>
      <c r="K531" s="2" t="s">
        <v>263</v>
      </c>
      <c r="L531" s="5">
        <v>0.90001928806304898</v>
      </c>
      <c r="M531" s="5">
        <v>-2.3511227220296901E-2</v>
      </c>
      <c r="N531" s="5">
        <v>0.86540454626083396</v>
      </c>
      <c r="O531" s="5">
        <f>EXP(M531)</f>
        <v>0.97676300827381113</v>
      </c>
      <c r="Q531" s="16" t="s">
        <v>263</v>
      </c>
      <c r="R531" s="16" t="s">
        <v>1085</v>
      </c>
      <c r="S531" s="17">
        <v>4.8972878237599998E-20</v>
      </c>
      <c r="T531" s="16">
        <v>0.55520499999999995</v>
      </c>
      <c r="U531" s="16" t="s">
        <v>942</v>
      </c>
      <c r="V531" s="16">
        <v>0.76704208654416095</v>
      </c>
      <c r="W531" s="16" t="s">
        <v>1086</v>
      </c>
      <c r="X531" s="16">
        <v>6532</v>
      </c>
      <c r="Y531" s="16">
        <v>1047</v>
      </c>
    </row>
    <row r="532" spans="2:25" x14ac:dyDescent="0.2">
      <c r="B532" s="21" t="s">
        <v>110</v>
      </c>
      <c r="C532" s="21" t="s">
        <v>226</v>
      </c>
      <c r="D532" s="22">
        <v>0.96241819858551003</v>
      </c>
      <c r="E532" s="22">
        <v>-0.27064400911331199</v>
      </c>
      <c r="F532" s="22">
        <v>0.71678507328033503</v>
      </c>
      <c r="G532" s="21" t="s">
        <v>1113</v>
      </c>
      <c r="H532" s="22">
        <f>POWER(10,E532)</f>
        <v>0.5362360297151757</v>
      </c>
      <c r="J532" s="2" t="s">
        <v>110</v>
      </c>
      <c r="K532" s="2" t="s">
        <v>226</v>
      </c>
      <c r="L532" s="5">
        <v>0.89351969957351696</v>
      </c>
      <c r="M532" s="5">
        <v>-0.41542291641235402</v>
      </c>
      <c r="N532" s="5">
        <v>0.760081768035889</v>
      </c>
      <c r="O532" s="5">
        <f>EXP(M532)</f>
        <v>0.66006107100787759</v>
      </c>
      <c r="Q532" s="16" t="s">
        <v>226</v>
      </c>
      <c r="R532" s="16" t="s">
        <v>1085</v>
      </c>
      <c r="S532" s="17">
        <v>1.9426112936000001E-6</v>
      </c>
      <c r="T532" s="16">
        <v>0.66995099999999996</v>
      </c>
      <c r="U532" s="16" t="s">
        <v>942</v>
      </c>
      <c r="V532" s="16">
        <v>0.76704208654416095</v>
      </c>
      <c r="W532" s="16" t="s">
        <v>1086</v>
      </c>
      <c r="X532" s="16">
        <v>6532</v>
      </c>
      <c r="Y532" s="16">
        <v>2088</v>
      </c>
    </row>
    <row r="533" spans="2:25" x14ac:dyDescent="0.2">
      <c r="B533" s="21" t="s">
        <v>112</v>
      </c>
      <c r="C533" s="21" t="s">
        <v>156</v>
      </c>
      <c r="D533" s="22">
        <v>0.91560190916061401</v>
      </c>
      <c r="E533" s="22">
        <v>-1.3503214120864899</v>
      </c>
      <c r="F533" s="22">
        <v>0.204776495695114</v>
      </c>
      <c r="G533" s="21" t="s">
        <v>1113</v>
      </c>
      <c r="H533" s="22">
        <f>POWER(10,E533)</f>
        <v>4.4635313344593031E-2</v>
      </c>
      <c r="J533" s="2" t="s">
        <v>112</v>
      </c>
      <c r="K533" s="2" t="s">
        <v>156</v>
      </c>
      <c r="L533" s="5">
        <v>0.83784133195877097</v>
      </c>
      <c r="M533" s="5">
        <v>-0.98739176988601696</v>
      </c>
      <c r="N533" s="5">
        <v>0.13771431148052199</v>
      </c>
      <c r="O533" s="5">
        <f>EXP(M533)</f>
        <v>0.37254711352968978</v>
      </c>
      <c r="Q533" s="16" t="s">
        <v>156</v>
      </c>
      <c r="R533" s="16" t="s">
        <v>1040</v>
      </c>
      <c r="S533" s="17">
        <v>4.2651162667399997E-22</v>
      </c>
      <c r="T533" s="16">
        <v>0.65480400000000005</v>
      </c>
      <c r="U533" s="16" t="s">
        <v>942</v>
      </c>
      <c r="V533" s="16">
        <v>0.39926962872793698</v>
      </c>
      <c r="W533" s="16" t="s">
        <v>1041</v>
      </c>
      <c r="X533" s="16">
        <v>6869</v>
      </c>
      <c r="Y533" s="16">
        <v>951</v>
      </c>
    </row>
    <row r="534" spans="2:25" x14ac:dyDescent="0.2">
      <c r="B534" s="21" t="s">
        <v>295</v>
      </c>
      <c r="C534" s="21" t="s">
        <v>296</v>
      </c>
      <c r="D534" s="22">
        <v>0.90516012907028198</v>
      </c>
      <c r="E534" s="22">
        <v>2.20199418067932</v>
      </c>
      <c r="F534" s="22">
        <v>0.15369358658790599</v>
      </c>
      <c r="G534" s="21" t="s">
        <v>1113</v>
      </c>
      <c r="H534" s="22">
        <f>POWER(10,E534)</f>
        <v>159.21873924234438</v>
      </c>
      <c r="J534" s="2" t="s">
        <v>295</v>
      </c>
      <c r="K534" s="2" t="s">
        <v>296</v>
      </c>
      <c r="L534" s="5">
        <v>0.53013300895690896</v>
      </c>
      <c r="M534" s="5">
        <v>0.94866317510604903</v>
      </c>
      <c r="N534" s="5">
        <v>0.16967672109603901</v>
      </c>
      <c r="O534" s="5">
        <f>EXP(M534)</f>
        <v>2.5822553277074229</v>
      </c>
      <c r="Q534" s="16" t="s">
        <v>296</v>
      </c>
      <c r="R534" s="16" t="s">
        <v>1089</v>
      </c>
      <c r="S534" s="17">
        <v>2.1862324362E-7</v>
      </c>
      <c r="T534" s="16">
        <v>0.57191800000000004</v>
      </c>
      <c r="U534" s="16" t="s">
        <v>942</v>
      </c>
      <c r="V534" s="16">
        <v>0.79104477611940305</v>
      </c>
      <c r="W534" s="16" t="s">
        <v>1090</v>
      </c>
      <c r="X534" s="16">
        <v>6915</v>
      </c>
      <c r="Y534" s="16">
        <v>1975</v>
      </c>
    </row>
    <row r="535" spans="2:25" x14ac:dyDescent="0.2">
      <c r="B535" s="21" t="s">
        <v>295</v>
      </c>
      <c r="C535" s="21" t="s">
        <v>299</v>
      </c>
      <c r="D535" s="22">
        <v>0.92080146074295</v>
      </c>
      <c r="E535" s="22">
        <v>-0.96105575561523404</v>
      </c>
      <c r="F535" s="22">
        <v>0.96615380048751798</v>
      </c>
      <c r="G535" s="21" t="s">
        <v>1113</v>
      </c>
      <c r="H535" s="22">
        <f>POWER(10,E535)</f>
        <v>0.10938159309277158</v>
      </c>
      <c r="J535" s="2" t="s">
        <v>295</v>
      </c>
      <c r="K535" s="2" t="s">
        <v>299</v>
      </c>
      <c r="L535" s="5">
        <v>0.51700711250305198</v>
      </c>
      <c r="M535" s="5">
        <v>-0.61945438385009799</v>
      </c>
      <c r="N535" s="5">
        <v>0.71459257602691695</v>
      </c>
      <c r="O535" s="5">
        <f>EXP(M535)</f>
        <v>0.53823802885435901</v>
      </c>
      <c r="Q535" s="16" t="s">
        <v>299</v>
      </c>
      <c r="R535" s="16" t="s">
        <v>1089</v>
      </c>
      <c r="S535" s="17">
        <v>3.4680975871700001E-28</v>
      </c>
      <c r="T535" s="16">
        <v>0.50769200000000003</v>
      </c>
      <c r="U535" s="16" t="s">
        <v>942</v>
      </c>
      <c r="V535" s="16">
        <v>0.5</v>
      </c>
      <c r="W535" s="16" t="s">
        <v>1091</v>
      </c>
      <c r="X535" s="16">
        <v>6915</v>
      </c>
      <c r="Y535" s="16">
        <v>758</v>
      </c>
    </row>
    <row r="536" spans="2:25" x14ac:dyDescent="0.2">
      <c r="B536" s="21" t="s">
        <v>295</v>
      </c>
      <c r="C536" s="21" t="s">
        <v>287</v>
      </c>
      <c r="D536" s="22">
        <v>0.92797338962554898</v>
      </c>
      <c r="E536" s="22">
        <v>1.09343934059143</v>
      </c>
      <c r="F536" s="22">
        <v>0.49904611706733698</v>
      </c>
      <c r="G536" s="21" t="s">
        <v>1113</v>
      </c>
      <c r="H536" s="22">
        <f>POWER(10,E536)</f>
        <v>12.400504109034864</v>
      </c>
      <c r="J536" s="2" t="s">
        <v>295</v>
      </c>
      <c r="K536" s="2" t="s">
        <v>287</v>
      </c>
      <c r="L536" s="5">
        <v>0.56467396020889304</v>
      </c>
      <c r="M536" s="5">
        <v>1.4931935071945199</v>
      </c>
      <c r="N536" s="5">
        <v>0.235631883144379</v>
      </c>
      <c r="O536" s="5">
        <f>EXP(M536)</f>
        <v>4.4512880654040199</v>
      </c>
      <c r="Q536" s="16" t="s">
        <v>287</v>
      </c>
      <c r="R536" s="16" t="s">
        <v>1089</v>
      </c>
      <c r="S536" s="17">
        <v>1.5750121318300001E-8</v>
      </c>
      <c r="T536" s="16">
        <v>0.446154</v>
      </c>
      <c r="U536" s="16" t="s">
        <v>942</v>
      </c>
      <c r="V536" s="16">
        <v>0.79104477611940305</v>
      </c>
      <c r="W536" s="16" t="s">
        <v>1090</v>
      </c>
      <c r="X536" s="16">
        <v>6915</v>
      </c>
      <c r="Y536" s="16">
        <v>1859</v>
      </c>
    </row>
    <row r="537" spans="2:25" x14ac:dyDescent="0.2">
      <c r="B537" s="21" t="s">
        <v>295</v>
      </c>
      <c r="C537" s="21" t="s">
        <v>298</v>
      </c>
      <c r="D537" s="22">
        <v>0.89558166265487704</v>
      </c>
      <c r="E537" s="22">
        <v>1.8090616464614899</v>
      </c>
      <c r="F537" s="22">
        <v>0.11956286430358901</v>
      </c>
      <c r="G537" s="21" t="s">
        <v>1113</v>
      </c>
      <c r="H537" s="22">
        <f>POWER(10,E537)</f>
        <v>64.426070939946285</v>
      </c>
      <c r="J537" s="2" t="s">
        <v>295</v>
      </c>
      <c r="K537" s="2" t="s">
        <v>298</v>
      </c>
      <c r="L537" s="5">
        <v>0.549824059009552</v>
      </c>
      <c r="M537" s="5">
        <v>1.17721199989319</v>
      </c>
      <c r="N537" s="5">
        <v>0.151533752679825</v>
      </c>
      <c r="O537" s="5">
        <f>EXP(M537)</f>
        <v>3.2453136435535481</v>
      </c>
      <c r="Q537" s="16" t="s">
        <v>298</v>
      </c>
      <c r="R537" s="16" t="s">
        <v>1089</v>
      </c>
      <c r="S537" s="17">
        <v>2.2782767231699999E-5</v>
      </c>
      <c r="T537" s="16">
        <v>0.41304299999999999</v>
      </c>
      <c r="U537" s="16" t="s">
        <v>942</v>
      </c>
      <c r="V537" s="16">
        <v>0.79104477611940305</v>
      </c>
      <c r="W537" s="16" t="s">
        <v>1090</v>
      </c>
      <c r="X537" s="16">
        <v>6915</v>
      </c>
      <c r="Y537" s="16">
        <v>2223</v>
      </c>
    </row>
    <row r="538" spans="2:25" x14ac:dyDescent="0.2">
      <c r="B538" s="21" t="s">
        <v>295</v>
      </c>
      <c r="C538" s="21" t="s">
        <v>297</v>
      </c>
      <c r="D538" s="22">
        <v>0.91013604402542103</v>
      </c>
      <c r="E538" s="22">
        <v>2.81808662414551</v>
      </c>
      <c r="F538" s="22">
        <v>0.33404150605201699</v>
      </c>
      <c r="G538" s="21" t="s">
        <v>1113</v>
      </c>
      <c r="H538" s="22">
        <f>POWER(10,E538)</f>
        <v>657.78902651959118</v>
      </c>
      <c r="J538" s="2" t="s">
        <v>295</v>
      </c>
      <c r="K538" s="2" t="s">
        <v>297</v>
      </c>
      <c r="L538" s="5">
        <v>0.55206215381622303</v>
      </c>
      <c r="M538" s="5">
        <v>1.5009003877639799</v>
      </c>
      <c r="N538" s="5">
        <v>0.37724649906158497</v>
      </c>
      <c r="O538" s="5">
        <f>EXP(M538)</f>
        <v>4.4857261455327766</v>
      </c>
      <c r="Q538" s="16" t="s">
        <v>297</v>
      </c>
      <c r="R538" s="16" t="s">
        <v>1089</v>
      </c>
      <c r="S538" s="17">
        <v>3.9750994262900001E-7</v>
      </c>
      <c r="T538" s="16">
        <v>0.37036999999999998</v>
      </c>
      <c r="U538" s="16" t="s">
        <v>942</v>
      </c>
      <c r="V538" s="16">
        <v>0.79104477611940305</v>
      </c>
      <c r="W538" s="16" t="s">
        <v>1090</v>
      </c>
      <c r="X538" s="16">
        <v>6915</v>
      </c>
      <c r="Y538" s="16">
        <v>1996</v>
      </c>
    </row>
    <row r="539" spans="2:25" x14ac:dyDescent="0.2">
      <c r="B539" s="21" t="s">
        <v>295</v>
      </c>
      <c r="C539" s="21" t="s">
        <v>280</v>
      </c>
      <c r="D539" s="22">
        <v>0.91747456789016701</v>
      </c>
      <c r="E539" s="22">
        <v>2.2404489517211901</v>
      </c>
      <c r="F539" s="22">
        <v>0.55181884765625</v>
      </c>
      <c r="G539" s="21" t="s">
        <v>1113</v>
      </c>
      <c r="H539" s="22">
        <f>POWER(10,E539)</f>
        <v>173.95982084180415</v>
      </c>
      <c r="J539" s="2" t="s">
        <v>295</v>
      </c>
      <c r="K539" s="2" t="s">
        <v>280</v>
      </c>
      <c r="L539" s="5">
        <v>0.57594072818756104</v>
      </c>
      <c r="M539" s="5">
        <v>1.25880599021912</v>
      </c>
      <c r="N539" s="5">
        <v>0.204812526702881</v>
      </c>
      <c r="O539" s="5">
        <f>EXP(M539)</f>
        <v>3.5212146116529146</v>
      </c>
      <c r="Q539" s="16" t="s">
        <v>280</v>
      </c>
      <c r="R539" s="16" t="s">
        <v>1089</v>
      </c>
      <c r="S539" s="17">
        <v>4.6657928198800001E-7</v>
      </c>
      <c r="T539" s="16">
        <v>0.45945900000000001</v>
      </c>
      <c r="U539" s="16" t="s">
        <v>942</v>
      </c>
      <c r="V539" s="16">
        <v>0.79104477611940305</v>
      </c>
      <c r="W539" s="16" t="s">
        <v>1090</v>
      </c>
      <c r="X539" s="16">
        <v>6915</v>
      </c>
      <c r="Y539" s="16">
        <v>2004</v>
      </c>
    </row>
    <row r="540" spans="2:25" x14ac:dyDescent="0.2">
      <c r="B540" s="21" t="s">
        <v>295</v>
      </c>
      <c r="C540" s="21" t="s">
        <v>165</v>
      </c>
      <c r="D540" s="22">
        <v>0.92213821411132801</v>
      </c>
      <c r="E540" s="22">
        <v>1.97561383247375</v>
      </c>
      <c r="F540" s="22">
        <v>0.132138282060623</v>
      </c>
      <c r="G540" s="21" t="s">
        <v>1113</v>
      </c>
      <c r="H540" s="22">
        <f>POWER(10,E540)</f>
        <v>94.539615676943598</v>
      </c>
      <c r="J540" s="2" t="s">
        <v>295</v>
      </c>
      <c r="K540" s="2" t="s">
        <v>165</v>
      </c>
      <c r="L540" s="5">
        <v>0.55502891540527299</v>
      </c>
      <c r="M540" s="5">
        <v>0.91724777221679699</v>
      </c>
      <c r="N540" s="5">
        <v>0.13431799411773701</v>
      </c>
      <c r="O540" s="5">
        <f>EXP(M540)</f>
        <v>2.5023937461297048</v>
      </c>
      <c r="Q540" s="16" t="s">
        <v>165</v>
      </c>
      <c r="R540" s="16" t="s">
        <v>1089</v>
      </c>
      <c r="S540" s="17">
        <v>5.1641663305600004E-13</v>
      </c>
      <c r="T540" s="16">
        <v>0.600823</v>
      </c>
      <c r="U540" s="16" t="s">
        <v>942</v>
      </c>
      <c r="V540" s="16">
        <v>0.79104477611940305</v>
      </c>
      <c r="W540" s="16" t="s">
        <v>1090</v>
      </c>
      <c r="X540" s="16">
        <v>6915</v>
      </c>
      <c r="Y540" s="16">
        <v>1480</v>
      </c>
    </row>
  </sheetData>
  <sortState xmlns:xlrd2="http://schemas.microsoft.com/office/spreadsheetml/2017/richdata2" ref="J2:O540">
    <sortCondition ref="J2:J540"/>
    <sortCondition ref="K2:K540"/>
  </sortState>
  <phoneticPr fontId="3" type="noConversion"/>
  <conditionalFormatting sqref="Y1">
    <cfRule type="duplicateValues" dxfId="72" priority="73"/>
  </conditionalFormatting>
  <conditionalFormatting sqref="Y2:Y10">
    <cfRule type="duplicateValues" dxfId="71" priority="72"/>
  </conditionalFormatting>
  <conditionalFormatting sqref="Y11:Y19">
    <cfRule type="duplicateValues" dxfId="70" priority="71"/>
  </conditionalFormatting>
  <conditionalFormatting sqref="Y20:Y23">
    <cfRule type="duplicateValues" dxfId="69" priority="70"/>
  </conditionalFormatting>
  <conditionalFormatting sqref="Y24:Y36">
    <cfRule type="duplicateValues" dxfId="68" priority="69"/>
  </conditionalFormatting>
  <conditionalFormatting sqref="Y37:Y49">
    <cfRule type="duplicateValues" dxfId="67" priority="68"/>
  </conditionalFormatting>
  <conditionalFormatting sqref="Y50:Y61">
    <cfRule type="duplicateValues" dxfId="66" priority="67"/>
  </conditionalFormatting>
  <conditionalFormatting sqref="Y62:Y73">
    <cfRule type="duplicateValues" dxfId="65" priority="66"/>
  </conditionalFormatting>
  <conditionalFormatting sqref="Y74:Y103">
    <cfRule type="duplicateValues" dxfId="64" priority="65"/>
  </conditionalFormatting>
  <conditionalFormatting sqref="Y104:Y108 Y111:Y112">
    <cfRule type="duplicateValues" dxfId="63" priority="64"/>
  </conditionalFormatting>
  <conditionalFormatting sqref="Y116">
    <cfRule type="duplicateValues" dxfId="62" priority="63"/>
  </conditionalFormatting>
  <conditionalFormatting sqref="Y121">
    <cfRule type="duplicateValues" dxfId="61" priority="62"/>
  </conditionalFormatting>
  <conditionalFormatting sqref="Y123">
    <cfRule type="duplicateValues" dxfId="60" priority="61"/>
  </conditionalFormatting>
  <conditionalFormatting sqref="Y113:Y115">
    <cfRule type="duplicateValues" dxfId="59" priority="60"/>
  </conditionalFormatting>
  <conditionalFormatting sqref="Y117:Y120">
    <cfRule type="duplicateValues" dxfId="58" priority="59"/>
  </conditionalFormatting>
  <conditionalFormatting sqref="Y122">
    <cfRule type="duplicateValues" dxfId="57" priority="58"/>
  </conditionalFormatting>
  <conditionalFormatting sqref="Y124:Y132">
    <cfRule type="duplicateValues" dxfId="56" priority="57"/>
  </conditionalFormatting>
  <conditionalFormatting sqref="Y141:Y142">
    <cfRule type="duplicateValues" dxfId="55" priority="56"/>
  </conditionalFormatting>
  <conditionalFormatting sqref="Y143">
    <cfRule type="duplicateValues" dxfId="54" priority="55"/>
  </conditionalFormatting>
  <conditionalFormatting sqref="Y145">
    <cfRule type="duplicateValues" dxfId="53" priority="54"/>
  </conditionalFormatting>
  <conditionalFormatting sqref="Y146">
    <cfRule type="duplicateValues" dxfId="52" priority="53"/>
  </conditionalFormatting>
  <conditionalFormatting sqref="Y147:Y148">
    <cfRule type="duplicateValues" dxfId="51" priority="52"/>
  </conditionalFormatting>
  <conditionalFormatting sqref="Y149:Y161">
    <cfRule type="duplicateValues" dxfId="50" priority="51"/>
  </conditionalFormatting>
  <conditionalFormatting sqref="Y182">
    <cfRule type="duplicateValues" dxfId="49" priority="50"/>
  </conditionalFormatting>
  <conditionalFormatting sqref="Y183">
    <cfRule type="duplicateValues" dxfId="48" priority="49"/>
  </conditionalFormatting>
  <conditionalFormatting sqref="Y184:Y206">
    <cfRule type="duplicateValues" dxfId="47" priority="48"/>
  </conditionalFormatting>
  <conditionalFormatting sqref="Y207:Y230">
    <cfRule type="duplicateValues" dxfId="46" priority="47"/>
  </conditionalFormatting>
  <conditionalFormatting sqref="Y231:Y243">
    <cfRule type="duplicateValues" dxfId="45" priority="46"/>
  </conditionalFormatting>
  <conditionalFormatting sqref="Y244">
    <cfRule type="duplicateValues" dxfId="44" priority="45"/>
  </conditionalFormatting>
  <conditionalFormatting sqref="Y245:Y253">
    <cfRule type="duplicateValues" dxfId="43" priority="44"/>
  </conditionalFormatting>
  <conditionalFormatting sqref="Y254">
    <cfRule type="duplicateValues" dxfId="42" priority="43"/>
  </conditionalFormatting>
  <conditionalFormatting sqref="Y255:Y268">
    <cfRule type="duplicateValues" dxfId="41" priority="42"/>
  </conditionalFormatting>
  <conditionalFormatting sqref="Y269:Y274">
    <cfRule type="duplicateValues" dxfId="40" priority="41"/>
  </conditionalFormatting>
  <conditionalFormatting sqref="Y162:Y171">
    <cfRule type="duplicateValues" dxfId="39" priority="40"/>
  </conditionalFormatting>
  <conditionalFormatting sqref="Y275:Y286">
    <cfRule type="duplicateValues" dxfId="38" priority="39"/>
  </conditionalFormatting>
  <conditionalFormatting sqref="Y397">
    <cfRule type="duplicateValues" dxfId="37" priority="38"/>
  </conditionalFormatting>
  <conditionalFormatting sqref="Y287:Y291">
    <cfRule type="duplicateValues" dxfId="36" priority="37"/>
  </conditionalFormatting>
  <conditionalFormatting sqref="Y307:Y311">
    <cfRule type="duplicateValues" dxfId="35" priority="36"/>
  </conditionalFormatting>
  <conditionalFormatting sqref="Y312:Y317">
    <cfRule type="duplicateValues" dxfId="34" priority="35"/>
  </conditionalFormatting>
  <conditionalFormatting sqref="Y318:Y324">
    <cfRule type="duplicateValues" dxfId="33" priority="34"/>
  </conditionalFormatting>
  <conditionalFormatting sqref="Y325:Y330">
    <cfRule type="duplicateValues" dxfId="32" priority="33"/>
  </conditionalFormatting>
  <conditionalFormatting sqref="Y331:Y343">
    <cfRule type="duplicateValues" dxfId="31" priority="32"/>
  </conditionalFormatting>
  <conditionalFormatting sqref="Y344:Y359">
    <cfRule type="duplicateValues" dxfId="30" priority="31"/>
  </conditionalFormatting>
  <conditionalFormatting sqref="Y360:Y383">
    <cfRule type="duplicateValues" dxfId="29" priority="30"/>
  </conditionalFormatting>
  <conditionalFormatting sqref="Y384:Y390">
    <cfRule type="duplicateValues" dxfId="28" priority="29"/>
  </conditionalFormatting>
  <conditionalFormatting sqref="Y533">
    <cfRule type="duplicateValues" dxfId="27" priority="28"/>
  </conditionalFormatting>
  <conditionalFormatting sqref="Y292:Y306">
    <cfRule type="duplicateValues" dxfId="26" priority="27"/>
  </conditionalFormatting>
  <conditionalFormatting sqref="Y391:Y393">
    <cfRule type="duplicateValues" dxfId="25" priority="26"/>
  </conditionalFormatting>
  <conditionalFormatting sqref="Y394">
    <cfRule type="duplicateValues" dxfId="24" priority="25"/>
  </conditionalFormatting>
  <conditionalFormatting sqref="Y395:Y396">
    <cfRule type="duplicateValues" dxfId="23" priority="24"/>
  </conditionalFormatting>
  <conditionalFormatting sqref="Y398:Y403">
    <cfRule type="duplicateValues" dxfId="22" priority="23"/>
  </conditionalFormatting>
  <conditionalFormatting sqref="Y404:Y433">
    <cfRule type="duplicateValues" dxfId="21" priority="22"/>
  </conditionalFormatting>
  <conditionalFormatting sqref="Y434:Y439">
    <cfRule type="duplicateValues" dxfId="20" priority="21"/>
  </conditionalFormatting>
  <conditionalFormatting sqref="Y440:Y467">
    <cfRule type="duplicateValues" dxfId="19" priority="20"/>
  </conditionalFormatting>
  <conditionalFormatting sqref="Y468:Y470">
    <cfRule type="duplicateValues" dxfId="18" priority="19"/>
  </conditionalFormatting>
  <conditionalFormatting sqref="Y471:Y479">
    <cfRule type="duplicateValues" dxfId="17" priority="74"/>
  </conditionalFormatting>
  <conditionalFormatting sqref="Y483:Y490">
    <cfRule type="duplicateValues" dxfId="16" priority="17"/>
  </conditionalFormatting>
  <conditionalFormatting sqref="Y491:Y495">
    <cfRule type="duplicateValues" dxfId="15" priority="16"/>
  </conditionalFormatting>
  <conditionalFormatting sqref="Y480:Y482">
    <cfRule type="duplicateValues" dxfId="14" priority="15"/>
  </conditionalFormatting>
  <conditionalFormatting sqref="Y497:Y498">
    <cfRule type="duplicateValues" dxfId="13" priority="14"/>
  </conditionalFormatting>
  <conditionalFormatting sqref="Y499:Y509">
    <cfRule type="duplicateValues" dxfId="12" priority="13"/>
  </conditionalFormatting>
  <conditionalFormatting sqref="Y510:Y519">
    <cfRule type="duplicateValues" dxfId="11" priority="12"/>
  </conditionalFormatting>
  <conditionalFormatting sqref="Y520:Y530">
    <cfRule type="duplicateValues" dxfId="10" priority="11"/>
  </conditionalFormatting>
  <conditionalFormatting sqref="Y531:Y532">
    <cfRule type="duplicateValues" dxfId="9" priority="10"/>
  </conditionalFormatting>
  <conditionalFormatting sqref="Y496">
    <cfRule type="duplicateValues" dxfId="8" priority="9"/>
  </conditionalFormatting>
  <conditionalFormatting sqref="Y534:Y540">
    <cfRule type="duplicateValues" dxfId="7" priority="8"/>
  </conditionalFormatting>
  <conditionalFormatting sqref="Y133:Y136">
    <cfRule type="duplicateValues" dxfId="6" priority="7"/>
  </conditionalFormatting>
  <conditionalFormatting sqref="Y137">
    <cfRule type="duplicateValues" dxfId="5" priority="6"/>
  </conditionalFormatting>
  <conditionalFormatting sqref="Y138">
    <cfRule type="duplicateValues" dxfId="4" priority="5"/>
  </conditionalFormatting>
  <conditionalFormatting sqref="Y109:Y110">
    <cfRule type="duplicateValues" dxfId="3" priority="4"/>
  </conditionalFormatting>
  <conditionalFormatting sqref="Y172:Y173">
    <cfRule type="duplicateValues" dxfId="2" priority="3"/>
  </conditionalFormatting>
  <conditionalFormatting sqref="Y174:Y175">
    <cfRule type="duplicateValues" dxfId="1" priority="2"/>
  </conditionalFormatting>
  <conditionalFormatting sqref="Y176:Y17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True Positive</vt:lpstr>
      <vt:lpstr>False Positive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Wu</dc:creator>
  <cp:lastModifiedBy>Fenn, Jack</cp:lastModifiedBy>
  <dcterms:created xsi:type="dcterms:W3CDTF">2025-11-21T00:42:11Z</dcterms:created>
  <dcterms:modified xsi:type="dcterms:W3CDTF">2025-12-02T01:38:21Z</dcterms:modified>
</cp:coreProperties>
</file>