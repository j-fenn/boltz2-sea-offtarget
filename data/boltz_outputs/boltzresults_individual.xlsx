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fenn/Desktop/AICD3_201/off_target_project/"/>
    </mc:Choice>
  </mc:AlternateContent>
  <xr:revisionPtr revIDLastSave="0" documentId="13_ncr:1_{59B0D346-5CBB-4E4D-AFE5-9F70BADDD4DE}" xr6:coauthVersionLast="47" xr6:coauthVersionMax="47" xr10:uidLastSave="{00000000-0000-0000-0000-000000000000}"/>
  <bookViews>
    <workbookView xWindow="28820" yWindow="-860" windowWidth="19440" windowHeight="16500" firstSheet="2" activeTab="6" xr2:uid="{2D4886FF-F9B3-024B-A4BB-186A5018E623}"/>
  </bookViews>
  <sheets>
    <sheet name="TruePDB" sheetId="1" r:id="rId1"/>
    <sheet name="TrueUni" sheetId="2" r:id="rId2"/>
    <sheet name="TrueSea" sheetId="3" r:id="rId3"/>
    <sheet name="FalsePDB" sheetId="4" r:id="rId4"/>
    <sheet name="FalseUni" sheetId="5" r:id="rId5"/>
    <sheet name="FalseSea" sheetId="6" r:id="rId6"/>
    <sheet name="Below_0.8" sheetId="12" r:id="rId7"/>
    <sheet name="Confidence Score Cutoff" sheetId="10" r:id="rId8"/>
    <sheet name="cutoff results" sheetId="11" r:id="rId9"/>
    <sheet name="True_affinity" sheetId="7" r:id="rId10"/>
    <sheet name="UnivsConf" sheetId="8" r:id="rId11"/>
    <sheet name="average differen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  <c r="J6" i="1"/>
  <c r="J4" i="1"/>
  <c r="J3" i="1"/>
  <c r="J2" i="1"/>
  <c r="H3" i="10"/>
  <c r="H4" i="10"/>
  <c r="H5" i="10"/>
  <c r="H2" i="10"/>
  <c r="G3" i="10"/>
  <c r="G4" i="10"/>
  <c r="G5" i="10"/>
  <c r="G2" i="10"/>
  <c r="F3" i="10"/>
  <c r="F4" i="10"/>
  <c r="F5" i="10"/>
  <c r="F2" i="10"/>
  <c r="D3" i="10"/>
  <c r="D4" i="10"/>
  <c r="D5" i="10"/>
  <c r="D2" i="10"/>
  <c r="C3" i="10"/>
  <c r="C4" i="10"/>
  <c r="C5" i="10"/>
  <c r="C2" i="10"/>
  <c r="B3" i="10"/>
  <c r="B4" i="10"/>
  <c r="B5" i="10"/>
  <c r="B2" i="10"/>
  <c r="C36" i="9"/>
  <c r="B36" i="9"/>
  <c r="O34" i="8"/>
  <c r="O33" i="8"/>
  <c r="O32" i="8"/>
  <c r="O31" i="8"/>
  <c r="O30" i="8"/>
  <c r="O29" i="8"/>
  <c r="O28" i="8"/>
  <c r="O27" i="8"/>
  <c r="O26" i="8"/>
  <c r="O25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P6" i="8"/>
  <c r="O5" i="8"/>
  <c r="O4" i="8"/>
  <c r="P4" i="8"/>
  <c r="O3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2" i="8"/>
  <c r="P25" i="8"/>
  <c r="P34" i="8"/>
  <c r="P33" i="8"/>
  <c r="P32" i="8"/>
  <c r="P31" i="8"/>
  <c r="P30" i="8"/>
  <c r="P29" i="8"/>
  <c r="P28" i="8"/>
  <c r="P27" i="8"/>
  <c r="P26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3" i="8"/>
  <c r="P2" i="8"/>
  <c r="O2" i="8"/>
  <c r="M129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2" i="8"/>
  <c r="E132" i="3"/>
  <c r="E131" i="3"/>
  <c r="D543" i="6"/>
  <c r="D542" i="6"/>
  <c r="J543" i="6"/>
  <c r="J54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2" i="6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2" i="3"/>
  <c r="L132" i="3" s="1"/>
  <c r="C543" i="5"/>
  <c r="C543" i="4"/>
  <c r="C132" i="2"/>
  <c r="C132" i="1"/>
  <c r="C542" i="5"/>
  <c r="C542" i="4"/>
  <c r="C131" i="2"/>
  <c r="C131" i="1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7" i="4"/>
  <c r="G515" i="4"/>
  <c r="G514" i="4"/>
  <c r="G513" i="4"/>
  <c r="G512" i="4"/>
  <c r="G511" i="4"/>
  <c r="G510" i="4"/>
  <c r="G508" i="4"/>
  <c r="G507" i="4"/>
  <c r="G506" i="4"/>
  <c r="G505" i="4"/>
  <c r="G504" i="4"/>
  <c r="G503" i="4"/>
  <c r="G502" i="4"/>
  <c r="G501" i="4"/>
  <c r="G499" i="4"/>
  <c r="G498" i="4"/>
  <c r="G497" i="4"/>
  <c r="G495" i="4"/>
  <c r="G494" i="4"/>
  <c r="G492" i="4"/>
  <c r="G490" i="4"/>
  <c r="G484" i="4"/>
  <c r="G482" i="4"/>
  <c r="G481" i="4"/>
  <c r="G480" i="4"/>
  <c r="G477" i="4"/>
  <c r="G476" i="4"/>
  <c r="G472" i="4"/>
  <c r="G471" i="4"/>
  <c r="G470" i="4"/>
  <c r="G469" i="4"/>
  <c r="G468" i="4"/>
  <c r="G466" i="4"/>
  <c r="G464" i="4"/>
  <c r="G460" i="4"/>
  <c r="G457" i="4"/>
  <c r="G443" i="4"/>
  <c r="G438" i="4"/>
  <c r="G436" i="4"/>
  <c r="G434" i="4"/>
  <c r="G432" i="4"/>
  <c r="G428" i="4"/>
  <c r="G427" i="4"/>
  <c r="G426" i="4"/>
  <c r="G424" i="4"/>
  <c r="G420" i="4"/>
  <c r="G419" i="4"/>
  <c r="G416" i="4"/>
  <c r="G415" i="4"/>
  <c r="G412" i="4"/>
  <c r="G411" i="4"/>
  <c r="G410" i="4"/>
  <c r="G409" i="4"/>
  <c r="G408" i="4"/>
  <c r="G406" i="4"/>
  <c r="G405" i="4"/>
  <c r="G397" i="4"/>
  <c r="G396" i="4"/>
  <c r="G395" i="4"/>
  <c r="G394" i="4"/>
  <c r="G393" i="4"/>
  <c r="G392" i="4"/>
  <c r="G391" i="4"/>
  <c r="G389" i="4"/>
  <c r="G388" i="4"/>
  <c r="G387" i="4"/>
  <c r="G384" i="4"/>
  <c r="G382" i="4"/>
  <c r="G369" i="4"/>
  <c r="G362" i="4"/>
  <c r="G355" i="4"/>
  <c r="G350" i="4"/>
  <c r="G345" i="4"/>
  <c r="G343" i="4"/>
  <c r="G339" i="4"/>
  <c r="G336" i="4"/>
  <c r="G334" i="4"/>
  <c r="G333" i="4"/>
  <c r="G330" i="4"/>
  <c r="G325" i="4"/>
  <c r="G324" i="4"/>
  <c r="G322" i="4"/>
  <c r="G321" i="4"/>
  <c r="G320" i="4"/>
  <c r="G319" i="4"/>
  <c r="G318" i="4"/>
  <c r="G317" i="4"/>
  <c r="G316" i="4"/>
  <c r="G313" i="4"/>
  <c r="G312" i="4"/>
  <c r="G306" i="4"/>
  <c r="G305" i="4"/>
  <c r="G304" i="4"/>
  <c r="G303" i="4"/>
  <c r="G302" i="4"/>
  <c r="G300" i="4"/>
  <c r="G299" i="4"/>
  <c r="G298" i="4"/>
  <c r="G297" i="4"/>
  <c r="G295" i="4"/>
  <c r="G294" i="4"/>
  <c r="G293" i="4"/>
  <c r="G291" i="4"/>
  <c r="G290" i="4"/>
  <c r="G289" i="4"/>
  <c r="G288" i="4"/>
  <c r="G287" i="4"/>
  <c r="G274" i="4"/>
  <c r="G273" i="4"/>
  <c r="G272" i="4"/>
  <c r="G271" i="4"/>
  <c r="G270" i="4"/>
  <c r="G269" i="4"/>
  <c r="G267" i="4"/>
  <c r="G261" i="4"/>
  <c r="G259" i="4"/>
  <c r="G257" i="4"/>
  <c r="G253" i="4"/>
  <c r="G252" i="4"/>
  <c r="G251" i="4"/>
  <c r="G250" i="4"/>
  <c r="G248" i="4"/>
  <c r="G247" i="4"/>
  <c r="G246" i="4"/>
  <c r="G245" i="4"/>
  <c r="G244" i="4"/>
  <c r="G243" i="4"/>
  <c r="G242" i="4"/>
  <c r="G240" i="4"/>
  <c r="G239" i="4"/>
  <c r="G238" i="4"/>
  <c r="G237" i="4"/>
  <c r="G236" i="4"/>
  <c r="G235" i="4"/>
  <c r="G234" i="4"/>
  <c r="G233" i="4"/>
  <c r="G232" i="4"/>
  <c r="G229" i="4"/>
  <c r="G226" i="4"/>
  <c r="G224" i="4"/>
  <c r="G223" i="4"/>
  <c r="G220" i="4"/>
  <c r="G219" i="4"/>
  <c r="G214" i="4"/>
  <c r="G213" i="4"/>
  <c r="G212" i="4"/>
  <c r="G211" i="4"/>
  <c r="G209" i="4"/>
  <c r="G207" i="4"/>
  <c r="G206" i="4"/>
  <c r="G204" i="4"/>
  <c r="G203" i="4"/>
  <c r="G202" i="4"/>
  <c r="G196" i="4"/>
  <c r="G195" i="4"/>
  <c r="G190" i="4"/>
  <c r="G186" i="4"/>
  <c r="G185" i="4"/>
  <c r="G183" i="4"/>
  <c r="G179" i="4"/>
  <c r="G178" i="4"/>
  <c r="G174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1" i="4"/>
  <c r="G150" i="4"/>
  <c r="G149" i="4"/>
  <c r="G148" i="4"/>
  <c r="G147" i="4"/>
  <c r="G146" i="4"/>
  <c r="G145" i="4"/>
  <c r="G144" i="4"/>
  <c r="G143" i="4"/>
  <c r="G142" i="4"/>
  <c r="G141" i="4"/>
  <c r="G132" i="4"/>
  <c r="G130" i="4"/>
  <c r="G129" i="4"/>
  <c r="G128" i="4"/>
  <c r="G126" i="4"/>
  <c r="G124" i="4"/>
  <c r="G112" i="4"/>
  <c r="G111" i="4"/>
  <c r="G110" i="4"/>
  <c r="G108" i="4"/>
  <c r="G107" i="4"/>
  <c r="G106" i="4"/>
  <c r="G105" i="4"/>
  <c r="G103" i="4"/>
  <c r="G100" i="4"/>
  <c r="G98" i="4"/>
  <c r="G97" i="4"/>
  <c r="G96" i="4"/>
  <c r="G95" i="4"/>
  <c r="G94" i="4"/>
  <c r="G93" i="4"/>
  <c r="G88" i="4"/>
  <c r="G87" i="4"/>
  <c r="G85" i="4"/>
  <c r="G83" i="4"/>
  <c r="G78" i="4"/>
  <c r="G76" i="4"/>
  <c r="G73" i="4"/>
  <c r="G71" i="4"/>
  <c r="G70" i="4"/>
  <c r="G69" i="4"/>
  <c r="G68" i="4"/>
  <c r="G67" i="4"/>
  <c r="G66" i="4"/>
  <c r="G64" i="4"/>
  <c r="G63" i="4"/>
  <c r="G62" i="4"/>
  <c r="G49" i="4"/>
  <c r="G48" i="4"/>
  <c r="G46" i="4"/>
  <c r="G44" i="4"/>
  <c r="G42" i="4"/>
  <c r="G39" i="4"/>
  <c r="G32" i="4"/>
  <c r="G31" i="4"/>
  <c r="G29" i="4"/>
  <c r="G27" i="4"/>
  <c r="G26" i="4"/>
  <c r="G19" i="4"/>
  <c r="G18" i="4"/>
  <c r="G17" i="4"/>
  <c r="G16" i="4"/>
  <c r="G15" i="4"/>
  <c r="G14" i="4"/>
  <c r="G13" i="4"/>
  <c r="G12" i="4"/>
  <c r="G10" i="4"/>
  <c r="G9" i="4"/>
  <c r="G8" i="4"/>
  <c r="G7" i="4"/>
  <c r="G6" i="4"/>
  <c r="G4" i="4"/>
  <c r="G3" i="4"/>
  <c r="G2" i="4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L131" i="3" l="1"/>
</calcChain>
</file>

<file path=xl/sharedStrings.xml><?xml version="1.0" encoding="utf-8"?>
<sst xmlns="http://schemas.openxmlformats.org/spreadsheetml/2006/main" count="6499" uniqueCount="802">
  <si>
    <t>Target</t>
  </si>
  <si>
    <t>Drug</t>
  </si>
  <si>
    <t>Confidence_score</t>
  </si>
  <si>
    <t>Affinity</t>
  </si>
  <si>
    <t>Affinity_score</t>
  </si>
  <si>
    <t>Experiment_result</t>
  </si>
  <si>
    <t>Affinity uM</t>
    <phoneticPr fontId="0" type="noConversion"/>
  </si>
  <si>
    <t>ADRA1A</t>
  </si>
  <si>
    <t>Azatadine</t>
  </si>
  <si>
    <t>Positive</t>
  </si>
  <si>
    <t>Domperidone</t>
  </si>
  <si>
    <t>Dyclonine</t>
  </si>
  <si>
    <t>Ketotifen</t>
  </si>
  <si>
    <t>Meperidine</t>
  </si>
  <si>
    <t>Pizotifen</t>
  </si>
  <si>
    <t>Rescinnamine</t>
  </si>
  <si>
    <t>Reserpine</t>
  </si>
  <si>
    <t>Tripelennamine</t>
  </si>
  <si>
    <t>ADRA2A</t>
  </si>
  <si>
    <t>Benzquinamide</t>
  </si>
  <si>
    <t>Buphenin</t>
  </si>
  <si>
    <t>Dextromethorphan</t>
  </si>
  <si>
    <t>Dobutamine</t>
  </si>
  <si>
    <t>Fasudil</t>
  </si>
  <si>
    <t>Levorphanol</t>
  </si>
  <si>
    <t>ADRA2B</t>
  </si>
  <si>
    <t>Benzphetamine</t>
  </si>
  <si>
    <t>Trazodone</t>
  </si>
  <si>
    <t>ADRB1</t>
  </si>
  <si>
    <t>Tamsulosin</t>
  </si>
  <si>
    <t>ADRB2</t>
  </si>
  <si>
    <t>Desloratadine</t>
  </si>
  <si>
    <t>Pimozide</t>
  </si>
  <si>
    <t>Prenylamine</t>
  </si>
  <si>
    <t>AR</t>
  </si>
  <si>
    <t>Dihydrotachysterol</t>
  </si>
  <si>
    <t>Fluorometholone</t>
  </si>
  <si>
    <t>Medrysone</t>
  </si>
  <si>
    <t>Prednicarbate</t>
  </si>
  <si>
    <t>CHRM1</t>
  </si>
  <si>
    <t>Clemastine</t>
  </si>
  <si>
    <t>Ranitidine</t>
  </si>
  <si>
    <t>Tramadol</t>
  </si>
  <si>
    <t>CHRM2</t>
  </si>
  <si>
    <t>Isopropamide</t>
  </si>
  <si>
    <t>Loxapine</t>
  </si>
  <si>
    <t>DRD1</t>
  </si>
  <si>
    <t>Dihydroergotamine</t>
  </si>
  <si>
    <t>Phenylephrine</t>
  </si>
  <si>
    <t>Terfenadine</t>
  </si>
  <si>
    <t>DRD2</t>
  </si>
  <si>
    <t>Masoprocol</t>
  </si>
  <si>
    <t>DRD3</t>
  </si>
  <si>
    <t>Cisapride</t>
  </si>
  <si>
    <t>Meclozine</t>
  </si>
  <si>
    <t>Oxamniquine</t>
  </si>
  <si>
    <t>DRD4</t>
  </si>
  <si>
    <t>Donepezil</t>
  </si>
  <si>
    <t>GABRA1</t>
  </si>
  <si>
    <t>Tegaserod</t>
  </si>
  <si>
    <t>HRH1</t>
  </si>
  <si>
    <t>Sertraline</t>
  </si>
  <si>
    <t>HRH2</t>
  </si>
  <si>
    <t>HRH3</t>
  </si>
  <si>
    <t>Aripiprazole</t>
  </si>
  <si>
    <t>Dilazep</t>
  </si>
  <si>
    <t>HTR1A</t>
  </si>
  <si>
    <t>HTR2A</t>
  </si>
  <si>
    <t>Ephedrine</t>
  </si>
  <si>
    <t>Pseudoephedrine</t>
  </si>
  <si>
    <t>HTR2B</t>
  </si>
  <si>
    <t>Alosetron</t>
  </si>
  <si>
    <t>Bevantolol</t>
  </si>
  <si>
    <t>Metaraminol</t>
  </si>
  <si>
    <t>Rizatriptan</t>
  </si>
  <si>
    <t>HTR2C</t>
  </si>
  <si>
    <t>HTR3A</t>
  </si>
  <si>
    <t>KCNH2</t>
  </si>
  <si>
    <t>NR3C1</t>
  </si>
  <si>
    <t>Anecortave</t>
  </si>
  <si>
    <t>Ethinyl</t>
  </si>
  <si>
    <t>Exemestane</t>
  </si>
  <si>
    <t>Medroxyprogesterone</t>
  </si>
  <si>
    <t>Mestranol</t>
  </si>
  <si>
    <t>Norethindrone</t>
  </si>
  <si>
    <t>Quinestrol</t>
  </si>
  <si>
    <t>OPRD1</t>
  </si>
  <si>
    <t>Cinnarizine</t>
  </si>
  <si>
    <t>OPRK1</t>
  </si>
  <si>
    <t>Diperodon</t>
  </si>
  <si>
    <t>Encainide</t>
  </si>
  <si>
    <t>Methylphenidate</t>
  </si>
  <si>
    <t>Tolterodine</t>
  </si>
  <si>
    <t>OPRM1</t>
  </si>
  <si>
    <t>PDE4D</t>
  </si>
  <si>
    <t>Zafirlukast</t>
  </si>
  <si>
    <t>PGR</t>
  </si>
  <si>
    <t>Cyproterone</t>
  </si>
  <si>
    <t>Hydrocortisone</t>
  </si>
  <si>
    <t>Methylprednisolone</t>
  </si>
  <si>
    <t>Prednisone</t>
  </si>
  <si>
    <t>Rimexolone</t>
  </si>
  <si>
    <t>Testosterone</t>
  </si>
  <si>
    <t>PTGS1</t>
  </si>
  <si>
    <t>Chlorotrianisene</t>
  </si>
  <si>
    <t>Diethylstilbestrol</t>
  </si>
  <si>
    <t>SLC6A2</t>
  </si>
  <si>
    <t>SLC6A3</t>
  </si>
  <si>
    <t>Diphenhydramine</t>
  </si>
  <si>
    <t>Fluspirilene</t>
  </si>
  <si>
    <t>SLC6A4</t>
  </si>
  <si>
    <t>Clobutinol</t>
  </si>
  <si>
    <t>TACR1</t>
  </si>
  <si>
    <t>Haloperidol</t>
  </si>
  <si>
    <t>Affinity, uM</t>
    <phoneticPr fontId="0" type="noConversion"/>
  </si>
  <si>
    <t>ADRA2C</t>
  </si>
  <si>
    <t>Deserpidine</t>
  </si>
  <si>
    <t>Verapamil</t>
  </si>
  <si>
    <t>Drug name</t>
  </si>
  <si>
    <t>Drug SMILES</t>
  </si>
  <si>
    <t>Closest ChEMBL neighbor SMILES</t>
  </si>
  <si>
    <t>ECFP_4 Tc</t>
  </si>
  <si>
    <t>Combined Tc</t>
  </si>
  <si>
    <t>SEA E-value</t>
  </si>
  <si>
    <t>Closest known target</t>
  </si>
  <si>
    <t>BLAST E-value</t>
  </si>
  <si>
    <t>Confirmed activity [uM]</t>
  </si>
  <si>
    <t>Functional annotation</t>
  </si>
  <si>
    <t>CN1CCC(CC1)=C1C2=NC=CC=C2CCC2=C1C=CC=C2</t>
  </si>
  <si>
    <t>CN1CCC(=C2c(n3CCc(c24)cccc4)ccc3)CC1</t>
  </si>
  <si>
    <t>0.50</t>
  </si>
  <si>
    <t>HRH4</t>
  </si>
  <si>
    <t>Binding</t>
  </si>
  <si>
    <t>ClC1=CC2=C(C=C1)N(C1CCN(CCCN3C(=O)NC4=C3C=CC=C4)CC1)C(=O)N2</t>
  </si>
  <si>
    <t>Clc1cc2c(S(=O)(=O)N(CCCCN3CCC(N4c(c5OC4=O)cccc5)CC3)C2=O)cc1</t>
  </si>
  <si>
    <t>0.43</t>
  </si>
  <si>
    <t>CCCCOC1=CC=C(C=C1)C(=O)CCN1CCCCC1</t>
  </si>
  <si>
    <t>Fc1ccc(C(CCN2CCN(c3ncc(F)cn3)CC2)=O)cc1</t>
  </si>
  <si>
    <t>0.38</t>
  </si>
  <si>
    <t>SCN10A</t>
  </si>
  <si>
    <t>CN1CCC(CC1)=C1C2=C(SC=C2)C(=O)CC2=C1C=CC=C2</t>
  </si>
  <si>
    <t>0.45</t>
  </si>
  <si>
    <t>3.8e-012</t>
  </si>
  <si>
    <t>1.3e-035</t>
  </si>
  <si>
    <t>15.000</t>
  </si>
  <si>
    <t>Antagonist</t>
  </si>
  <si>
    <t>CCOC(=O)C1(CCN(C)CC1)C1=CC=CC=C1</t>
  </si>
  <si>
    <t>COC(C1(c2ccccc2)CCN(CCCNC(Cc3ccc(C)cc3)=O)CC1)=O</t>
  </si>
  <si>
    <t>7.4e-021</t>
  </si>
  <si>
    <t>2.7e-021</t>
  </si>
  <si>
    <t>7.800</t>
  </si>
  <si>
    <t>CN1CCC(CC1)=C3C2C=CSC=2CCc4ccccc34</t>
  </si>
  <si>
    <t>0.52</t>
  </si>
  <si>
    <t>4.0e-013</t>
  </si>
  <si>
    <t>HTR1B</t>
  </si>
  <si>
    <t>1.5e-055</t>
  </si>
  <si>
    <t>1.200</t>
  </si>
  <si>
    <t>[H][C@]12C[C@@H](OC(=O)C=CC3=CC(OC)=C(OC)C(OC)=C3)[C@H](OC)[C@@H](C(=O)OC)[C@@]1([H])C[C@@]1([H])N(CCC3=C1NC1=C3C=CC(OC)=C1)C2</t>
  </si>
  <si>
    <t>COC([C@@H]1[C@H]([C@H]2CC[C@@H]1O)C[C@H](N3C2)c4c(c(c5[nH]4)cccc5)CC3)=O</t>
  </si>
  <si>
    <t>0.48</t>
  </si>
  <si>
    <t>0.79</t>
  </si>
  <si>
    <t>5.8e-010</t>
  </si>
  <si>
    <t>ABCB1</t>
  </si>
  <si>
    <t>[H][C@]12C[C@@H](OC(=O)C3=CC(OC)=C(OC)C(OC)=C3)[C@H](OC)[C@@H](C(=O)OC)[C@@]1([H])C[C@@]1([H])N(CCC3=C1NC1=C3C=CC(OC)=C1)C2</t>
  </si>
  <si>
    <t>2.9e-010</t>
  </si>
  <si>
    <t>CN(C)CCN(CC1=CC=CC=C1)C1=NC=CC=C1</t>
  </si>
  <si>
    <t>Clc1c(N2CCN(Cc3ccccc3)CC2)nccc1</t>
  </si>
  <si>
    <t>CCN(CC)C(=O)C1CN2CCC3=C(C=C(OC)C(OC)=C3)C2CC1OC(C)=O</t>
  </si>
  <si>
    <t>COc1c(OC)cc(c2c1)CN(Cc3c(c4c(OC)cc3)cc(C(N5CCC(N6CCCC6)CC5)=O)o4)CC2</t>
  </si>
  <si>
    <t>0.31</t>
  </si>
  <si>
    <t>0.51</t>
  </si>
  <si>
    <t>8.0e-040</t>
  </si>
  <si>
    <t>CHRM5</t>
  </si>
  <si>
    <t>4.9e-029</t>
  </si>
  <si>
    <t>0.450</t>
  </si>
  <si>
    <t>CC(CCc1ccccc1)NC(C)C(O)c2ccc(O)cc2</t>
  </si>
  <si>
    <t>C[C@H](N1CCC(Cc2ccccc2)CC1)[C@@H](c3ccc(O)cc3)O</t>
  </si>
  <si>
    <t>ADRA1B</t>
  </si>
  <si>
    <t>[H][C@]12CCCC[C@]11CCN(C)[C@H]2CC2=C1C=C(OC)C=C2</t>
  </si>
  <si>
    <t>COc1cc(c2cc1)C3[C@H](N(C)CCO3)CC2</t>
  </si>
  <si>
    <t>0.40</t>
  </si>
  <si>
    <t>CC(CCC1=CC=C(O)C=C1)NCCC1=CC(O)=C(O)C=C1</t>
  </si>
  <si>
    <t>NCCc1cc(O)c(O)cc1</t>
  </si>
  <si>
    <t>O=S(=O)(N1CCCNCC1)C1=CC=CC2=C1C=CN=C2</t>
  </si>
  <si>
    <t>Clc1c(N2CCNCC2)ccnc1</t>
  </si>
  <si>
    <t>CCR2</t>
  </si>
  <si>
    <t>[H][C@@]12CCCC[C@@]11CCN(C)[C@@H]2CC2=C1C=C(O)C=C2</t>
  </si>
  <si>
    <t>CN1[C@H]2C(c(c3CC2)cc(O)cc3)OCC1</t>
  </si>
  <si>
    <t>0.70</t>
  </si>
  <si>
    <t>3.9e-016</t>
  </si>
  <si>
    <t>2.7e-019</t>
  </si>
  <si>
    <t>8.980</t>
  </si>
  <si>
    <t>2.0e-009</t>
  </si>
  <si>
    <t>3.6e-041</t>
  </si>
  <si>
    <t>7.250</t>
  </si>
  <si>
    <t>CNCC(c1cc(O)ccc1)O</t>
  </si>
  <si>
    <t>Salmeterol</t>
  </si>
  <si>
    <t>OCC1=C(O)C=CC(=C1)C(O)CNCCCCCCOCCCCC1=CC=CC=C1</t>
  </si>
  <si>
    <t>CNCC(c1cc(O)c(O)cc1)O</t>
  </si>
  <si>
    <t>ClC1=CC=CC(=C1)N1CCN(CCCN2N=C3C=CC=CN3C2=O)CC1</t>
  </si>
  <si>
    <t>Cc1ccc(C(c(c2C(=O)N3CCCCN4CCN(c5cc(Cl)ccc5)CC4)cccc2)=N3)cc1</t>
  </si>
  <si>
    <t>CC(CC1=CC=CC=C1)N(C)CC1=CC=CC=C1</t>
  </si>
  <si>
    <t>CN(c1ccccc1)CC(NCC2)=N2</t>
  </si>
  <si>
    <t>COC1=C(OC)C=C(CCNCC(O)COC2=CC(C)=CC=C2)C=C1</t>
  </si>
  <si>
    <t>COc1c(c2ccc1)CCC[C@H]2CNCCc3cc(c4cc3)OCO4</t>
  </si>
  <si>
    <t>[H][C@]12C[C@@H](OC(=O)C3=CC(OC)=C(OC)C(OC)=C3)[C@H](OC)[C@@H](C(=O)OC)[C@@]1([H])C[C@@]1([H])N(CCC3=C1NC1=C3C=CC=C1)C2</t>
  </si>
  <si>
    <t>0.82</t>
  </si>
  <si>
    <t>SLC18A2</t>
  </si>
  <si>
    <t>COC1=C(OC)C=C(CCN(C)CCCC(C#N)(C(C)C)C2=CC(OC)=C(OC)C=C2)C=C1</t>
  </si>
  <si>
    <t>COc1c(OC)c(c2cc1)CCC[C@H]2CN(CCc3cc(c4cc3)OCO4)C</t>
  </si>
  <si>
    <t>CCOC1=C(OCCN[C@H](C)CC2=CC(=C(OC)C=C2)S(N)(=O)=O)C=CC=C1</t>
  </si>
  <si>
    <t>CCOc1c(C(O)=O)ccc(c2ccc(C[C@H](NC[C@@H](c3ccccc3)O)C)cc2)c1</t>
  </si>
  <si>
    <t>0.54</t>
  </si>
  <si>
    <t>ClC1=CC2=C(C=C1)C(=C1CCNCC1)C1=NC=CC=C1CC2</t>
  </si>
  <si>
    <t>CN(CCCN1c(c2CCc(c13)cccc3)cc(Cl)cc2)C</t>
  </si>
  <si>
    <t>0.25</t>
  </si>
  <si>
    <t>CHRM3</t>
  </si>
  <si>
    <t>FC1=CC=C(C=C1)C(CCCN1CCC(CC1)N1C(=O)NC2=C1C=CC=C2)C1=CC=C(F)C=C1</t>
  </si>
  <si>
    <t>CC(N[C@H]1[C@H](O)c(c(c2NC3=O)N3CC1)ccc2)C</t>
  </si>
  <si>
    <t>CNCCC=C1c(c2CCc(c13)cccc3)cccc2</t>
  </si>
  <si>
    <t>HTR4</t>
  </si>
  <si>
    <t>CC(CC1=CC=CC=C1)NCCC(C1=CC=CC=C1)C1=CC=CC=C1</t>
  </si>
  <si>
    <t>CC(NCC(c1ccc(O)cc1)O)CCc2ccc(O)cc2</t>
  </si>
  <si>
    <t>0.30</t>
  </si>
  <si>
    <t>1.4e-010</t>
  </si>
  <si>
    <t>SCN11A</t>
  </si>
  <si>
    <t>COc1c(OC)cc([C@@H](NC[C@@H](Cc2cc(NS(C)(=O)=O)c(O)cc2)O)Cc3ccccc3)cc1</t>
  </si>
  <si>
    <t>ADRA1D</t>
  </si>
  <si>
    <t>CC(C)C(C)\C=C\C(C)C1CCC2C1(C)CCC\C2=C/C=C1/CC(O)CCC1C</t>
  </si>
  <si>
    <t>CC(C(C=CC(C1C(C)(C2CC1)CCCC2=CC=C3C(=C)CC[C@H](O)C3)C)C)C</t>
  </si>
  <si>
    <t>VDR</t>
  </si>
  <si>
    <t>[H][C@@]12CC[C@](O)(C(C)=O)[C@@]1(C)C[C@H](O)[C@@]1(F)[C@@]2([H])C[C@H](C)C2=CC(=O)C=C[C@]12C</t>
  </si>
  <si>
    <t>C[C@@H]1C([C@@]2(C)[C@@H]3C([C@H]4[C@]([C@](C(C)=O)(OC(C)=O)CC4)(C)CC3)C1)=CC(=O)CC2</t>
  </si>
  <si>
    <t>[H][C@@]12CC[C@H](C(C)=O)[C@@]1(C)C[C@H](O)[C@@]1([H])[C@@]2([H])C[C@H](C)C2=CC(=O)CC[C@]12C</t>
  </si>
  <si>
    <t>CC(C1C(C)(C2CC1)C[C@@H](O)C(C23)C(C)(C(=C4)CC3)CCC4=O)=O</t>
  </si>
  <si>
    <t>0.83</t>
  </si>
  <si>
    <t>CCOC(=O)OC1(CCC2C3CCC4=CC(=O)C=CC4(C)C3C(O)CC12C)C(=O)COC(=O)CC</t>
  </si>
  <si>
    <t>CCC(O[C@@H]1[C@](C)([C@H]2CC1)CC[C@@H]([C@H]23)[C@](C)(C(=C4)CC3)CCC4=O)=O</t>
  </si>
  <si>
    <t>CN1CCC[C@@H]1CCO[C@](C)(C1=CC=CC=C1)C1=CC=C(Cl)C=C1</t>
  </si>
  <si>
    <t>CN1CCC(OC(C(c2ccccc2)(c3ccccc3)O)=O)CC1</t>
  </si>
  <si>
    <t>0.81</t>
  </si>
  <si>
    <t>CN\C(NCCSCC1=CC=C(CN(C)C)O1)=C/[N+]([O-])=O</t>
  </si>
  <si>
    <t>CN(Cc1ccc(CSCCNC=C([N+]([O-])=O)NCCSCc2ccc(CN(C)C)o2)o1)C</t>
  </si>
  <si>
    <t>COC1=CC=CC(=C1)[C@@]1(O)CCCC[C@@H]1CN(C)C</t>
  </si>
  <si>
    <t>COc1cc(CN2CCN(CC(C(c3ccccc3)(C4CCC4)O)=O)CC2)ccc1</t>
  </si>
  <si>
    <t>1.2e-009</t>
  </si>
  <si>
    <t>2.1e-045</t>
  </si>
  <si>
    <t>0.080</t>
  </si>
  <si>
    <t>CN1C(CCC=C2c(c3Cc(c24)cccc4)cccc3)CCCC1</t>
  </si>
  <si>
    <t>0.36</t>
  </si>
  <si>
    <t>1.420</t>
  </si>
  <si>
    <t>CC(C)[N+](C)(CCC(C(N)=O)(C1=CC=CC=C1)C1=CC=CC=C1)C(C)C</t>
  </si>
  <si>
    <t>NC(C(c1ccccc1)(c2ccccc2)CCN3CCCC3)=O</t>
  </si>
  <si>
    <t>1.5e-012</t>
  </si>
  <si>
    <t>CHRM4</t>
  </si>
  <si>
    <t>8.1e-143</t>
  </si>
  <si>
    <t>0.010</t>
  </si>
  <si>
    <t>CN1CCN(CC1)C1=NC2=C(OC3=C1C=C(Cl)C=C3)C=CC=C2</t>
  </si>
  <si>
    <t>CN1CCN(C(c(c2Oc(c34)ccc(Cl)c3)cccc2)=N4)CC1</t>
  </si>
  <si>
    <t>6.6e-109</t>
  </si>
  <si>
    <t>9.990</t>
  </si>
  <si>
    <t>[H][C@@]12CCCN1C(=O)[C@H](CC1=CC=CC=C1)N1C(=O)[C@](C)(NC(=O)[C@H]3CN(C)[C@]4([H])CC5=CNC6=C5C(=CC=C6)[C@@]4([H])C3)O[C@@]21O</t>
  </si>
  <si>
    <t>CCN(S(N[C@@H]1CN(C)[C@H]2[C@@H](c(c(c3[nH]c4)c4C2)ccc3)C1)(=O)=O)CC</t>
  </si>
  <si>
    <t>HTR6</t>
  </si>
  <si>
    <t>4.2e-047</t>
  </si>
  <si>
    <t>0.210</t>
  </si>
  <si>
    <t>Agonist</t>
  </si>
  <si>
    <t>0.67</t>
  </si>
  <si>
    <t>CNC[C@H](O)C1=CC(O)=CC=C1</t>
  </si>
  <si>
    <t>CCCN(CCc1cc(O)ccc1)CCC</t>
  </si>
  <si>
    <t>CC(C)(C)C1=CC=C(C=C1)C(O)CCCN1CCC(CC1)C(O)(C1=CC=CC=C1)C1=CC=CC=C1</t>
  </si>
  <si>
    <t>OC(c1ccc(F)cc1)CCCN2C[C@@H]3[C@@H](N(c4ccccc4)c(c35)cccc5)CC2</t>
  </si>
  <si>
    <t>C[C@@H](CC1=CC(O)=C(O)C=C1)[C@H](C)CC1=CC(O)=C(O)C=C1</t>
  </si>
  <si>
    <t>LTB4R</t>
  </si>
  <si>
    <t>CCCN(C1Cc(c2CC1)cc(O)cc2)CCc3ccccc3</t>
  </si>
  <si>
    <t>0.64</t>
  </si>
  <si>
    <t>COC1CN(CCCOC2=CC=C(F)C=C2)CCC1NC(=O)C1=C(OC)C=C(N)C(Cl)=C1</t>
  </si>
  <si>
    <t>COc1c(C(N[C@H]2CN(Cc3ccccc3)CC2)=O)cc(Cl)c(N)c1</t>
  </si>
  <si>
    <t>CC1=CC=CC(CN2CCN(CC2)C(C2=CC=CC=C2)C2=CC=C(Cl)C=C2)=C1</t>
  </si>
  <si>
    <t>Clc1ccc(C(c2ccccc2)N3CCN(CCCCN4C(=O)c(c5C4=O)cccc5)CC3)cc1</t>
  </si>
  <si>
    <t>CC(C)NCC1CCC2=C(N1)C=C(C(CO)=C2)[N+]([O-])=O</t>
  </si>
  <si>
    <t>CCN1[C@H](CNC(c2c(OC)c([N+]([O-])=O)cc(Br)c2O)=O)CCC1</t>
  </si>
  <si>
    <t>CYP2D6</t>
  </si>
  <si>
    <t>Clc1cc(N2CCN(CCCOc3ccc(c4[nH]c(c5n4)cccc5)cc3)CC2)ccc1</t>
  </si>
  <si>
    <t>[H][C@@]1(CC2CCN(CC3=CC=CC=C3)CC2)CC2=CC(OC)=C(OC)C=C2C1=O</t>
  </si>
  <si>
    <t>COc1c(C(NCC2CCN(Cc3ccccc3)CC2)=O)cc(c4c1)cccc4</t>
  </si>
  <si>
    <t>OCc1c(Cl)cc(N2CCN(CCC(c3ccc(Cl)cc3)=O)CC2)cc1</t>
  </si>
  <si>
    <t>Cc1cc(CN2CCC(n3c(O)nc(c4ccccc4)c3C)CC2)ccc1</t>
  </si>
  <si>
    <t>CCCCCNC(=N)N/N=C\C1=CNc2ccc(cc12)OC</t>
  </si>
  <si>
    <t>COc1ccc(CNC(C(c2c(c3[nH]c2)cc(OC)cc3)=O)=O)cc1</t>
  </si>
  <si>
    <t>HTR3B</t>
  </si>
  <si>
    <t>CN(C(c1ccc(OCCCN2CCCCC2)cc1)=O)CCC=C3c(c4CCc(c35)cccc5)cccc4</t>
  </si>
  <si>
    <t>C(NCCc1[nH]cnc1)Cc2nc(CCC(c3ccccc3)c4ccccc4)[nH]c2</t>
  </si>
  <si>
    <t>SCN5A</t>
  </si>
  <si>
    <t>CN[C@H]1CC[C@@H](C2=CC(Cl)=C(Cl)C=C2)C2=C1C=CC=C2</t>
  </si>
  <si>
    <t>CNC1Cc(c2C(c3ccccc3)C1)cccc2</t>
  </si>
  <si>
    <t>CCc1ccc(S(N[C@@H]2CN(CCCOc3ccc(C(C4CC4)=O)cc3)CC2)(=O)=O)cc1</t>
  </si>
  <si>
    <t>CNC1Cc(c2C(c3ccccc3)C1)cc(Cl)c(O)c2</t>
  </si>
  <si>
    <t>ClC1=CC=CC(N2CCN(CCCCOC3=CC4=C(CCC(=O)N4)C=C3)CC2)=C1Cl</t>
  </si>
  <si>
    <t>C(CN1CCCCC1)COc2cc(c3cc2)NCCC3</t>
  </si>
  <si>
    <t>COc1cc(cc(OC)c1OC)C(=O)OCCCN3CCCN(CCCOC(=O)c2cc(OC)c(OC)c(c2)OC)CC3</t>
  </si>
  <si>
    <t>COc1c(COc2c(C(N(C)C)=O)cc(OCCCN3CCCCC3)cc2)cccc1</t>
  </si>
  <si>
    <t>SCN8A</t>
  </si>
  <si>
    <t>CCCCCC(c1ccc(OCCCN2CCN(C(OCC)=O)CC2)cc1)=O</t>
  </si>
  <si>
    <t>CN(CCc1ccccc1)C</t>
  </si>
  <si>
    <t>0.29</t>
  </si>
  <si>
    <t>1.8e-018</t>
  </si>
  <si>
    <t>7.9e-055</t>
  </si>
  <si>
    <t>11.750</t>
  </si>
  <si>
    <t>Clc1cc(N2CCN(CCCCCN3c(c4NC3=O)cccc4)CC2)ccc1</t>
  </si>
  <si>
    <t>NC(NN=Cc1c(c2[nH]c1)cc(O)cc2)=N</t>
  </si>
  <si>
    <t>0.47</t>
  </si>
  <si>
    <t>2.2e-011</t>
  </si>
  <si>
    <t>1.2e-032</t>
  </si>
  <si>
    <t>0.870</t>
  </si>
  <si>
    <t>CN[C@@H](C)[C@@H](O)C1=CC=CC=C1</t>
  </si>
  <si>
    <t>OC(c1ccccc1)C2CCN(CCc3ccccc3)CC2</t>
  </si>
  <si>
    <t>CN1C2=C(C3=C1C=CC=C3)C(=O)N(CC1=C(C)NC=N1)CC2</t>
  </si>
  <si>
    <t>Cn1c(c2c(c13)C(N(CCCC(c4ccc(F)cc4)=O)C5C3)CC5)cccc2</t>
  </si>
  <si>
    <t>1.6e-017</t>
  </si>
  <si>
    <t>KCNH7</t>
  </si>
  <si>
    <t>3.6e+002</t>
  </si>
  <si>
    <t>0.190</t>
  </si>
  <si>
    <t>COc1cc(CCc2c(OCC(CN(C)C)O)cccc2)ccc1</t>
  </si>
  <si>
    <t>2.3e-037</t>
  </si>
  <si>
    <t>13.960</t>
  </si>
  <si>
    <t>COc1cc(c2cc1)CCC(C3CCN(Cc4ccccc4)CC3)C2=O</t>
  </si>
  <si>
    <t>C[C@H](N)[C@H](O)C1=CC(O)=CC=C1</t>
  </si>
  <si>
    <t>CC(Cc1c(c2[nH]c1)cc(O)cc2)N</t>
  </si>
  <si>
    <t>1.3e-020</t>
  </si>
  <si>
    <t>7.380</t>
  </si>
  <si>
    <t>12.420</t>
  </si>
  <si>
    <t>CN(C)CCC1=CNC2=C1C=C(CN1C=NC=N1)C=C2</t>
  </si>
  <si>
    <t>CN(CCc1c(c2[nH]c1)cc(O)cc2)C</t>
  </si>
  <si>
    <t>OC(c1ccc(F)cc1)CC2CCN(CCc3ccccc3)CC2</t>
  </si>
  <si>
    <t>1.8e-031</t>
  </si>
  <si>
    <t>4.280</t>
  </si>
  <si>
    <t>Cn1c(c2c(c13)CN(CCCOc4ccc(N)cc4)CC3)cccc2</t>
  </si>
  <si>
    <t>CNCCc1c(c2[nH]c1)cc(OC)cc2</t>
  </si>
  <si>
    <t>Cn1c(c2c(c13)CN(CCCC(c4ccc(F)cc4)O)CC3)cccc2</t>
  </si>
  <si>
    <t>CCCCOc1cc(c2cc1)C(=NN3C(=O)N(CCCCN4CCCCC4)C(=O)C3)CCO2</t>
  </si>
  <si>
    <t>CC(=O)OCC(=O)[C@@]4(O)CC[C@H]3[C@@H]2CCC1=CC(=O)CC[C@]1(C)C2=CC[C@@]34C</t>
  </si>
  <si>
    <t>CC#C[C@]1([C@](C)(C2CC1)CC=C(C23)[C@](Cc4ccc(C)cc4)(C(=C5)CC3)CCC5=O)O</t>
  </si>
  <si>
    <t>CYP19A1</t>
  </si>
  <si>
    <t>Ethinyl estradiol</t>
  </si>
  <si>
    <t>[H][C@@]12CC[C@@](O)(C#C)[C@@]1(C)CC[C@]1([H])C3=C(CC[C@@]21[H])C=C(O)C=C3</t>
  </si>
  <si>
    <t>CC#C[C@@]1(C[C@@H]2[C@@](c(c3CC2)ccc(O)c3)(C)CC1)O</t>
  </si>
  <si>
    <t>ESR1</t>
  </si>
  <si>
    <t>[H][C@@]12CCC(=O)[C@@]1(C)CC[C@@]1([H])[C@@]2([H])CC(=C)C2=CC(=O)C=C[C@]12C</t>
  </si>
  <si>
    <t>C[C@@]1([C@](C(CO)=O)(O)CC2)[C@@H]2C3[C@@H]([C@](C)(C(=C4)CC3)C=CC4=O)[C@@H](O)C1</t>
  </si>
  <si>
    <t>[H][C@@]12CC[C@](O)(C(C)=O)[C@@]1(C)CC[C@@]1([H])[C@@]2([H])C[C@H](C)C2=CC(=O)CC[C@]12C</t>
  </si>
  <si>
    <t>C[C@@H]1C([C@@]2(C)C([C@H]3C1)CC[C@@](C)([C@H]34)[C@](C(C)=O)(OC(C)=O)CC4)=CC(=O)CC2</t>
  </si>
  <si>
    <t>[H][C@@]12CC[C@@](O)(C#C)[C@@]1(C)CC[C@]1([H])C3=C(CC[C@@]21[H])C=C(OC)C=C3</t>
  </si>
  <si>
    <t>COc1cc(C)c([C@@H]2C([C@@H]3[C@H]4[C@]([C@@](C#CC)(O)CC4)(C)C2)=C(C(=C5)CC3)CCC5=O)cc1</t>
  </si>
  <si>
    <t>[H][C@@]12CC[C@@](O)(C#C)[C@@]1(C)CC[C@]1([H])[C@@]3([H])CCC(=O)C=C3CC[C@@]21[H]</t>
  </si>
  <si>
    <t>CN(c1ccc([C@@H]2C([C@@H]3[C@H]4[C@]([C@@](C#C)(O)CC4)(C)C2)=C(C(=C5)CC3)CCC5=O)cc1)C(C)=O</t>
  </si>
  <si>
    <t>NR3C2</t>
  </si>
  <si>
    <t>[H][C@@]12CC[C@@](O)(C#C)[C@@]1(C)CC[C@]1([H])C3=C(CC[C@@]21[H])C=C(OC1CCCC1)C=C3</t>
  </si>
  <si>
    <t>C(C=CC1=CC=CC=C1)N1CCN(CC1)C(C1=CC=CC=C1)C1=CC=CC=C1</t>
  </si>
  <si>
    <t>C=CCN1CCN(C(c2ccc(c3cnccc3)cc2)c4ccccc4)CC1</t>
  </si>
  <si>
    <t>CCC(C(c1ccc(O)cc1)C2CCN(CCc3ccccc3)CC2)=O</t>
  </si>
  <si>
    <t>O=C(Nc1ccccc1)OCC(CN2CCCCC2)OC(=O)Nc3ccccc3</t>
  </si>
  <si>
    <t>CC([C@H](NC(Cc1ccccc1)=O)CN2CCCC2)C</t>
  </si>
  <si>
    <t>SCNN1A</t>
  </si>
  <si>
    <t>CN(C(C(C(NCCc1ccccc1)=O)(C)C)c2cc(O)ccc2)CC3CC3</t>
  </si>
  <si>
    <t>COc1ccc(cc1)C(=O)Nc2ccccc2CCC3CCCCN3C</t>
  </si>
  <si>
    <t>COc1ccc(C(NCC(N([C@@H](c2ccccc2)CN3C[C@H](O)CC3)C)=O)=O)cc1</t>
  </si>
  <si>
    <t>COC(=O)[C@@H]([C@H]1CCCCN1)C1=CC=CC=C1</t>
  </si>
  <si>
    <t>CNC(C(C(NCC1CCCCC1)=O)(C)C)c2ccccc2</t>
  </si>
  <si>
    <t>CC(C)N(CC[C@@H](C1=CC=CC=C1)C1=CC(C)=CC=C1O)C(C)C</t>
  </si>
  <si>
    <t>C[C@H](C(N(CCCc1ccccc1)C)=O)NC(C(Cc2c(C)cc(O)cc2C)N)=O</t>
  </si>
  <si>
    <t>Fc1ccc(C(c2ccc(F)cc2)CCCN3CCC(N4c(c5NC4=O)cccc5)CC3)cc1</t>
  </si>
  <si>
    <t>0.56</t>
  </si>
  <si>
    <t>6.1e-015</t>
  </si>
  <si>
    <t>3.6e-020</t>
  </si>
  <si>
    <t>2.000</t>
  </si>
  <si>
    <t>CNC(C(C(NCCc1ccccc1)=O)(C)C)c2ccccc2</t>
  </si>
  <si>
    <t>CACNA1G</t>
  </si>
  <si>
    <t>CN(C(CCCOc1cc(c2cc1)CN(CC(N3CCCCC3)=O)C(N)=N2)=O)C4CCCCC4</t>
  </si>
  <si>
    <t>COC1=C(CC2=CN(C)C3=C2C=C(NC(=O)OC2CCCC2)C=C3)C=CC(=C1)C(=O)NS(=O)(=O)C1=C(C)C=CC=C1</t>
  </si>
  <si>
    <t>COc1c(OC2CCCC2)cc(C(Nc3c(C)cccc3C)=O)cc1</t>
  </si>
  <si>
    <t>[H][C@@]12C[C@]1([H])[C@@]1(C)C(=CC2=O)C(Cl)=C[C@@]2([H])[C@]3([H])CC[C@](O)(C(C)=O)[C@@]3(C)CC[C@]12[H]</t>
  </si>
  <si>
    <t>CC1([C@@](C#C)(O)CC2)C2C3C(C(C(=C4)CC3)CCC4=O)CC1</t>
  </si>
  <si>
    <t>CC=C1[C@](C)(C2CC1=O)CCC(C23)[C@](C)(C(=C4)CC3)CCC4=O</t>
  </si>
  <si>
    <t>Fluoxymesterone</t>
  </si>
  <si>
    <t>[H][C@@]12CC[C@](C)(O)[C@@]1(C)C[C@H](O)[C@@]1(F)[C@@]2([H])CCC2=CC(=O)CC[C@]12C</t>
  </si>
  <si>
    <t>C[C@@H]1[C@@](C(CO)=O)(OC(NC2CCCCC2)=O)[C@](C)([C@H]3C1)C[C@H](O)[C@@](F)([C@H]34)[C@](C)(C(=C5)CC4)C=CC5=O</t>
  </si>
  <si>
    <t>[H][C@@]12CC[C@](O)(C(=O)CO)[C@@]1(C)C[C@]([H])(O)[C@@]1([H])[C@@]2([H])CCC2=CC(=O)CC[C@]12C</t>
  </si>
  <si>
    <t>CC([C@@H]1[C@](C)([C@H]2CC1)CC[C@@H]([C@H]23)[C@](C)(C(=C4)CC3)CCC4=O)=O</t>
  </si>
  <si>
    <t>[H][C@@]12CC[C@](O)(C(=O)CO)[C@@]1(C)C[C@H](O)[C@@]1([H])[C@@]2([H])C[C@H](C)C2=CC(=O)C=C[C@]12C</t>
  </si>
  <si>
    <t>C[C@@H]1C([C@@]2(C)[C@@H]3C([C@H]4[C@]([C@](C(C)=O)(CC(C)=O)CC4)(C)CC3)C1)=CC(=O)CC2</t>
  </si>
  <si>
    <t>[H][C@@]12CC[C@](O)(C(=O)CO)[C@@]1(C)CC(=O)[C@@]1([H])[C@@]2([H])CCC2=CC(=O)C=C[C@]12C</t>
  </si>
  <si>
    <t>CCC(=O)[C@@]1(C)[C@H](C)CC2C3CCC4=CC(=O)C=C[C@]4(C)C3[C@@H](O)C[C@]12C</t>
  </si>
  <si>
    <t>CCCNC(O[C@@]1(C(CO)=O)[C@](C)([C@H]2C[C@@H]1C)C[C@H](O)[C@@](F)([C@H]23)[C@](C)(C(=C4)CC3)C=CC4=O)=O</t>
  </si>
  <si>
    <t>Testosterone propionate</t>
  </si>
  <si>
    <t>[H][C@@]12CC[C@H](OC(=O)CC)[C@@]1(C)CC[C@@]1([H])[C@@]2([H])CCC2=CC(=O)CC[C@]12C</t>
  </si>
  <si>
    <t>COC1=CC=C(C=C1)C(Cl)=C(C1=CC=C(OC)C=C1)C1=CC=C(OC)C=C1</t>
  </si>
  <si>
    <t>COc1cc2c(n(C(c3ccc(Cl)cc3)=O)c(C)c2CC(O)=O)cc1</t>
  </si>
  <si>
    <t>CCC(=C(CC)C1=CC=C(O)C=C1)C1=CC=C(O)C=C1</t>
  </si>
  <si>
    <t>CCC(c1cc(O)cc(O)c1)=Cc2ccc(C(F)(F)F)cc2</t>
  </si>
  <si>
    <t>PDIA2</t>
  </si>
  <si>
    <t>C(C(N1CCNCC1)Cc2ccccc2)Cc3ccccc3</t>
  </si>
  <si>
    <t>CN(C)CCOC(C1=CC=CC=C1)C1=CC=CC=C1</t>
  </si>
  <si>
    <t>CN(CCCc1ccccc1)CCCN(CCOC(c2ccccc2)c3ccccc3)C</t>
  </si>
  <si>
    <t>FC1=CC=C(C=C1)C(CCCN1CCC2(CC1)N(CNC2=O)C1=CC=CC=C1)C1=CC=C(F)C=C1</t>
  </si>
  <si>
    <t>Fc1ccc(C(c2ccc(F)cc2)OCCN3CCN(CCCc4ccccc4)CC3)cc1</t>
  </si>
  <si>
    <t>COC(C1C2CCC(CN2C)CC1OC(c3ccccc3)=O)=O</t>
  </si>
  <si>
    <t>OC(c1ccc(F)cc1)CCCN(C2CC3)C3CC(c4ccccc4)C2</t>
  </si>
  <si>
    <t>SLC6A5</t>
  </si>
  <si>
    <t>COc1ccc(CC(NCC(COc2c(C#N)c(Cl)ccc2)O)(C)C)cc1</t>
  </si>
  <si>
    <t>CNC(C(c1ccccc1)(c2ccccc2)CCN3CCC(c4ccc(Cl)cc4)(O)CC3)=O</t>
  </si>
  <si>
    <t>CC(CN(C)C)C(C)(O)Cc1ccc(Cl)cc1</t>
  </si>
  <si>
    <t>CN(CC(C1(CCCCC1)O)c2ccc(Cl)cc2)C</t>
  </si>
  <si>
    <t>OC1(CCN(CCCC(=O)C2=CC=C(F)C=C2)CC1)C1=CC=C(Cl)C=C1</t>
  </si>
  <si>
    <t>CON=C(C(c1cc(Cl)c(Cl)cc1)CCN2CCC(c3ccccc3)(O)CC2)CN(C(c4cc(Cl)cc(Cl)c4)=O)C</t>
  </si>
  <si>
    <t>ADORA1</t>
  </si>
  <si>
    <t>bucladesine</t>
  </si>
  <si>
    <t>inactive</t>
  </si>
  <si>
    <t>Cytarabine</t>
  </si>
  <si>
    <t>Didanosine</t>
  </si>
  <si>
    <t>Famciclovir</t>
  </si>
  <si>
    <t>Gemcitabine</t>
  </si>
  <si>
    <t>Pentoxifylline</t>
  </si>
  <si>
    <t>Ribavirin</t>
  </si>
  <si>
    <t>Zalcitabine</t>
  </si>
  <si>
    <t>ADORA2A</t>
  </si>
  <si>
    <t>Fenoterol</t>
  </si>
  <si>
    <t>Ritodrine</t>
  </si>
  <si>
    <t>Salbutamol</t>
  </si>
  <si>
    <t>Bupropion</t>
  </si>
  <si>
    <t>Carbidopa</t>
  </si>
  <si>
    <t>Chlorphenesin</t>
  </si>
  <si>
    <t>Diethylpropion</t>
  </si>
  <si>
    <t>Dofetilide</t>
  </si>
  <si>
    <t>Guaifenesin</t>
  </si>
  <si>
    <t>Levodopa</t>
  </si>
  <si>
    <t>Methyldopa</t>
  </si>
  <si>
    <t>Norephedrine_Phenylpropanolamine</t>
  </si>
  <si>
    <t>Fluoxetine</t>
  </si>
  <si>
    <t>melatonin</t>
  </si>
  <si>
    <t>Methocarbamol</t>
  </si>
  <si>
    <t>Phenmetrazine_Hydrochloride</t>
  </si>
  <si>
    <t>Selegiline</t>
  </si>
  <si>
    <t>ADRB3</t>
  </si>
  <si>
    <t>PhenylpropanolamineNorephedrine_P</t>
  </si>
  <si>
    <t>Anecortave_acetate</t>
  </si>
  <si>
    <t>Gabapentin</t>
  </si>
  <si>
    <t>Tranexamic_Acid</t>
  </si>
  <si>
    <t>CACNA1B</t>
  </si>
  <si>
    <t>Dyclonine_hydrochloride</t>
  </si>
  <si>
    <t>CACNA1C</t>
  </si>
  <si>
    <t>dobutamine</t>
  </si>
  <si>
    <t>isoproterenol</t>
  </si>
  <si>
    <t>Tramadol_HCl</t>
  </si>
  <si>
    <t>Venlafaxine_HCl</t>
  </si>
  <si>
    <t>CCKAR</t>
  </si>
  <si>
    <t>Benazepril</t>
  </si>
  <si>
    <t>Bromazepam</t>
  </si>
  <si>
    <t>Camazepam</t>
  </si>
  <si>
    <t>Nitrazepam</t>
  </si>
  <si>
    <t>Nordazepam</t>
  </si>
  <si>
    <t>Oxazepam</t>
  </si>
  <si>
    <t>Tadalafil_HCl</t>
  </si>
  <si>
    <t>Temazepam</t>
  </si>
  <si>
    <t>Timodepressin</t>
  </si>
  <si>
    <t>CCKBR</t>
  </si>
  <si>
    <t>Flurazepam</t>
  </si>
  <si>
    <t>Lorazepam</t>
  </si>
  <si>
    <t>Saquinavir_Mesylate</t>
  </si>
  <si>
    <t>Thalidomide</t>
  </si>
  <si>
    <t>CNR1</t>
  </si>
  <si>
    <t>Tolazamide</t>
  </si>
  <si>
    <t>Diazepam</t>
  </si>
  <si>
    <t>Phenindamine</t>
  </si>
  <si>
    <t>Moclobemide</t>
  </si>
  <si>
    <t>Nadolol</t>
  </si>
  <si>
    <t>Procyclidine</t>
  </si>
  <si>
    <t>Terfenadine_seldane</t>
  </si>
  <si>
    <t>Droperidol</t>
  </si>
  <si>
    <t>Atenolol</t>
  </si>
  <si>
    <t>Metoprolol</t>
  </si>
  <si>
    <t>propranolol</t>
  </si>
  <si>
    <t>Viloxazine_hydrochloride</t>
  </si>
  <si>
    <t>Hesperetin</t>
  </si>
  <si>
    <t>ESR2</t>
  </si>
  <si>
    <t>fludrocortisone</t>
  </si>
  <si>
    <t>prednisolone</t>
  </si>
  <si>
    <t>Warfarin</t>
  </si>
  <si>
    <t>GHSR</t>
  </si>
  <si>
    <t>Levosulpiride</t>
  </si>
  <si>
    <t>Pyrimethamine</t>
  </si>
  <si>
    <t>Remoxipride</t>
  </si>
  <si>
    <t>Terguride</t>
  </si>
  <si>
    <t>GRIN3A</t>
  </si>
  <si>
    <t>Buprenorphine</t>
  </si>
  <si>
    <t>Fexofenadine</t>
  </si>
  <si>
    <t>Glutethimide</t>
  </si>
  <si>
    <t>Hydrocodone</t>
  </si>
  <si>
    <t>Naftifine</t>
  </si>
  <si>
    <t>Aprindine</t>
  </si>
  <si>
    <t>Phensuximide</t>
  </si>
  <si>
    <t>Bisoprolol</t>
  </si>
  <si>
    <t>Raloxifene</t>
  </si>
  <si>
    <t>Inactive</t>
  </si>
  <si>
    <t>Fentanyl</t>
  </si>
  <si>
    <t>Ropinirole</t>
  </si>
  <si>
    <t>Benztropine</t>
  </si>
  <si>
    <t>phenformin</t>
  </si>
  <si>
    <t>Scopolamine</t>
  </si>
  <si>
    <t>NPY1R</t>
  </si>
  <si>
    <t>NPY2R</t>
  </si>
  <si>
    <t>NR1I2</t>
  </si>
  <si>
    <t>Testolactone</t>
  </si>
  <si>
    <t>Cetirizine</t>
  </si>
  <si>
    <t>Diphemanil_Methylsulfate</t>
  </si>
  <si>
    <t>Enalapril</t>
  </si>
  <si>
    <t>Hydroxyzine</t>
  </si>
  <si>
    <t>Lisinopril</t>
  </si>
  <si>
    <t>Meclozine_HCl</t>
  </si>
  <si>
    <t>Methylphenidate_HCl</t>
  </si>
  <si>
    <t>Praziquantel</t>
  </si>
  <si>
    <t>Quinapril</t>
  </si>
  <si>
    <t>PDE3A</t>
  </si>
  <si>
    <t>Dibucaine</t>
  </si>
  <si>
    <t>Doxazosin</t>
  </si>
  <si>
    <t>Glibenclamide</t>
  </si>
  <si>
    <t>Methsuximide</t>
  </si>
  <si>
    <t>Efavirenz</t>
  </si>
  <si>
    <t>Bezafibrate</t>
  </si>
  <si>
    <t>probucol</t>
  </si>
  <si>
    <t>PTGS2</t>
  </si>
  <si>
    <t>Sulfanilamide</t>
  </si>
  <si>
    <t>SLC29A1</t>
  </si>
  <si>
    <t>Atropine</t>
  </si>
  <si>
    <t>Chlophedianol</t>
  </si>
  <si>
    <t>Cyclopentolate</t>
  </si>
  <si>
    <t>Ramipril</t>
  </si>
  <si>
    <t>TBXA2R</t>
  </si>
  <si>
    <t>Acetohexamide</t>
  </si>
  <si>
    <t>Alprostadil</t>
  </si>
  <si>
    <t>chlorpropamide</t>
  </si>
  <si>
    <t>Niacin_Nicotinic_Acid</t>
  </si>
  <si>
    <t>Phenylbutyrate</t>
  </si>
  <si>
    <t>tolbutamide</t>
  </si>
  <si>
    <t>Affinity, boltz2</t>
    <phoneticPr fontId="0" type="noConversion"/>
  </si>
  <si>
    <t>Etomidate</t>
  </si>
  <si>
    <t>Acyclovir</t>
  </si>
  <si>
    <t>Dextroamphetamine</t>
  </si>
  <si>
    <t>Ciprofloxacin</t>
  </si>
  <si>
    <t>Norfloxacin</t>
  </si>
  <si>
    <t>Phentermine_Hydrochloride</t>
  </si>
  <si>
    <t>Chlorphentermine_Hydrochloride</t>
  </si>
  <si>
    <t>Cyclobenzaprine_HCl</t>
  </si>
  <si>
    <t>Doxepin</t>
  </si>
  <si>
    <t>Guanfacine</t>
  </si>
  <si>
    <t>Imipramine</t>
  </si>
  <si>
    <t>Iprindole</t>
  </si>
  <si>
    <t>Amitriptyline</t>
  </si>
  <si>
    <t>AGTR1</t>
  </si>
  <si>
    <t>Candesartan</t>
  </si>
  <si>
    <t>Candesartan_active_compound</t>
  </si>
  <si>
    <t>Eprosartan</t>
  </si>
  <si>
    <t>Irbesartan</t>
  </si>
  <si>
    <t>Losartan</t>
  </si>
  <si>
    <t>Olmesartan</t>
  </si>
  <si>
    <t>Telmisartan</t>
  </si>
  <si>
    <t>Valsartan</t>
  </si>
  <si>
    <t>Zofenopril_calcium</t>
  </si>
  <si>
    <t>Beclomethasone</t>
  </si>
  <si>
    <t>Hyoscyamine</t>
  </si>
  <si>
    <t>AVPR1A</t>
  </si>
  <si>
    <t>Carteolol</t>
  </si>
  <si>
    <t>Indapamide</t>
  </si>
  <si>
    <t>AVPR2</t>
  </si>
  <si>
    <t>AVPR3</t>
  </si>
  <si>
    <t>AVPR4</t>
  </si>
  <si>
    <t>Famotidine</t>
  </si>
  <si>
    <t>Nizatidine</t>
  </si>
  <si>
    <t>CHRNA10</t>
  </si>
  <si>
    <t>Celecoxib</t>
  </si>
  <si>
    <t>Clomipramine</t>
  </si>
  <si>
    <t>Vildagliptin</t>
  </si>
  <si>
    <t>EDNRB</t>
  </si>
  <si>
    <t>Sulfamethoxazole</t>
  </si>
  <si>
    <t>Testosterone_Propionate</t>
  </si>
  <si>
    <t>Carprofen</t>
  </si>
  <si>
    <t>Finasteride</t>
  </si>
  <si>
    <t>genistein</t>
  </si>
  <si>
    <t>Loxapine_succinate</t>
  </si>
  <si>
    <t>Sumatriptan</t>
  </si>
  <si>
    <t>Disopyramide</t>
  </si>
  <si>
    <t>Pilocarpine</t>
  </si>
  <si>
    <t>NTSR1</t>
  </si>
  <si>
    <t>indomethacin</t>
  </si>
  <si>
    <t>Naproxen</t>
  </si>
  <si>
    <t>Mebendazole</t>
  </si>
  <si>
    <t>Baclofen</t>
  </si>
  <si>
    <t>Fenclofenac</t>
  </si>
  <si>
    <t>Gemfibrozil</t>
  </si>
  <si>
    <t>Pirprofen</t>
  </si>
  <si>
    <t>o_name</t>
  </si>
  <si>
    <t>chembl</t>
  </si>
  <si>
    <t>E-value</t>
  </si>
  <si>
    <t>Max Tc</t>
  </si>
  <si>
    <t>Charge Filter</t>
  </si>
  <si>
    <t>Charge Probability</t>
  </si>
  <si>
    <t>o_chemblgene</t>
  </si>
  <si>
    <t>gene_id</t>
  </si>
  <si>
    <t>Prediction_id</t>
  </si>
  <si>
    <t>AA1R</t>
  </si>
  <si>
    <t>Pass</t>
  </si>
  <si>
    <t>AA1R_HUMAN</t>
  </si>
  <si>
    <t>AA1R_BOVIN</t>
  </si>
  <si>
    <t>AA2AR</t>
  </si>
  <si>
    <t>AA2AR_CAVPO</t>
  </si>
  <si>
    <t>AA2AR_HUMAN</t>
  </si>
  <si>
    <t>ADA1A</t>
  </si>
  <si>
    <t>ADA1A_BOVIN</t>
  </si>
  <si>
    <t>ADA1A_RAT</t>
  </si>
  <si>
    <t>ADA2A</t>
  </si>
  <si>
    <t>ADA2A_BOVIN</t>
  </si>
  <si>
    <t>ADA2A_RAT</t>
  </si>
  <si>
    <t>ADA2A_HUMAN</t>
  </si>
  <si>
    <t>ADA2B</t>
  </si>
  <si>
    <t>ADA2B_BOVIN</t>
  </si>
  <si>
    <t>ADA2B_RAT</t>
  </si>
  <si>
    <t>ADA2B_HUMAN</t>
  </si>
  <si>
    <t>ADA2C</t>
  </si>
  <si>
    <t>ADA2C_HUMAN</t>
  </si>
  <si>
    <t>ADA2C_RAT</t>
  </si>
  <si>
    <t>ADRB1_HUMAN</t>
  </si>
  <si>
    <t>ADRB1_RAT</t>
  </si>
  <si>
    <t>ADRB2_RAT</t>
  </si>
  <si>
    <t>ADRB2_BOVIN</t>
  </si>
  <si>
    <t>ADRB2_HUMAN</t>
  </si>
  <si>
    <t>ADRB2_CAVPO</t>
  </si>
  <si>
    <t>ADRB3_RAT</t>
  </si>
  <si>
    <t>ADRB3_HUMAN</t>
  </si>
  <si>
    <t>AGTRB</t>
  </si>
  <si>
    <t>AGTRB_RAT</t>
  </si>
  <si>
    <t>AGTR1_BOVIN</t>
  </si>
  <si>
    <t>AGTRA</t>
  </si>
  <si>
    <t>AGTRA_RAT</t>
  </si>
  <si>
    <t>ANDR</t>
  </si>
  <si>
    <t>ANDR_HUMAN</t>
  </si>
  <si>
    <t>ANDR_MOUSE</t>
  </si>
  <si>
    <t>V1AR</t>
  </si>
  <si>
    <t>V1AR_RAT</t>
  </si>
  <si>
    <t>V2R</t>
  </si>
  <si>
    <t>V2R_HUMAN</t>
  </si>
  <si>
    <t>V2R_RAT</t>
  </si>
  <si>
    <t>CAC1B</t>
  </si>
  <si>
    <t>CAC1B_HUMAN</t>
  </si>
  <si>
    <t>CAC1C</t>
  </si>
  <si>
    <t>CAC1C_HUMAN</t>
  </si>
  <si>
    <t>CAC1C_RABIT</t>
  </si>
  <si>
    <t>CCKAR_HUMAN</t>
  </si>
  <si>
    <t>CCKAR_MOUSE</t>
  </si>
  <si>
    <t>CCKAR_RAT</t>
  </si>
  <si>
    <t>GASR</t>
  </si>
  <si>
    <t>GASR_HUMAN</t>
  </si>
  <si>
    <t>ACM1</t>
  </si>
  <si>
    <t>ACM1_HUMAN</t>
  </si>
  <si>
    <t>ACM1_MOUSE</t>
  </si>
  <si>
    <t>ACM2</t>
  </si>
  <si>
    <t>ACM2_HUMAN</t>
  </si>
  <si>
    <t>ACM2_MOUSE</t>
  </si>
  <si>
    <t>ACM3</t>
  </si>
  <si>
    <t>ACM3_RAT</t>
  </si>
  <si>
    <t>ACM3_HUMAN</t>
  </si>
  <si>
    <t>CNR1_RAT</t>
  </si>
  <si>
    <t>CNR1_HUMAN</t>
  </si>
  <si>
    <t>DRD1_RAT</t>
  </si>
  <si>
    <t>DRD1_HUMAN</t>
  </si>
  <si>
    <t>DRD1_BOVIN</t>
  </si>
  <si>
    <t>DRD1_PIG</t>
  </si>
  <si>
    <t>DRD2_HUMAN</t>
  </si>
  <si>
    <t>DRD2_RAT</t>
  </si>
  <si>
    <t>DRD2_MOUSE</t>
  </si>
  <si>
    <t>DRD2_BOVIN</t>
  </si>
  <si>
    <t>DRD3_RAT</t>
  </si>
  <si>
    <t>DRD3_HUMAN</t>
  </si>
  <si>
    <t>DRD4_HUMAN</t>
  </si>
  <si>
    <t>DRD4_RAT</t>
  </si>
  <si>
    <t>EDNRB_PIG</t>
  </si>
  <si>
    <t>ESR1_RAT</t>
  </si>
  <si>
    <t>ESR1_HUMAN</t>
  </si>
  <si>
    <t>ESR2_HUMAN</t>
  </si>
  <si>
    <t>GBRA1</t>
  </si>
  <si>
    <t>GBRA1_BOVIN</t>
  </si>
  <si>
    <t>GBRA1_RAT</t>
  </si>
  <si>
    <t>GBRA1_MOUSE</t>
  </si>
  <si>
    <t>GHSR_HUMAN</t>
  </si>
  <si>
    <t>NMDZ1</t>
  </si>
  <si>
    <t>NMDZ1_RAT</t>
  </si>
  <si>
    <t>NMDZ1_HUMAN</t>
  </si>
  <si>
    <t>HRH1_RAT</t>
  </si>
  <si>
    <t>HRH1_MOUSE</t>
  </si>
  <si>
    <t>HRH1_CAVPO</t>
  </si>
  <si>
    <t>HRH2_HUMAN</t>
  </si>
  <si>
    <t>HRH2_CAVPO</t>
  </si>
  <si>
    <t>HRH2_RAT</t>
  </si>
  <si>
    <t>HRH3_HUMAN</t>
  </si>
  <si>
    <t>HRH3_RAT</t>
  </si>
  <si>
    <t>5HT1A</t>
  </si>
  <si>
    <t>5HT1A_HUMAN</t>
  </si>
  <si>
    <t>5HT1A_RAT</t>
  </si>
  <si>
    <t>5HT2A</t>
  </si>
  <si>
    <t>5HT2A_RAT</t>
  </si>
  <si>
    <t>5HT2A_MOUSE</t>
  </si>
  <si>
    <t>5HT2A_HUMAN</t>
  </si>
  <si>
    <t>5HT2B</t>
  </si>
  <si>
    <t>5HT2B_RAT</t>
  </si>
  <si>
    <t>5HT2B_HUMAN</t>
  </si>
  <si>
    <t>5HT2B_MOUSE</t>
  </si>
  <si>
    <t>5HT2C</t>
  </si>
  <si>
    <t>5HT2C_RAT</t>
  </si>
  <si>
    <t>5HT2C_HUMAN</t>
  </si>
  <si>
    <t>5HT2C_MOUSE</t>
  </si>
  <si>
    <t>5HT3A</t>
  </si>
  <si>
    <t>5HT3A_HUMAN</t>
  </si>
  <si>
    <t>5HT3A_RAT</t>
  </si>
  <si>
    <t>5HT3A_MOUSE</t>
  </si>
  <si>
    <t>NPY1R_HUMAN</t>
  </si>
  <si>
    <t>NPY2R_HUMAN</t>
  </si>
  <si>
    <t>NR1I2_HUMAN</t>
  </si>
  <si>
    <t>GCR</t>
  </si>
  <si>
    <t>GCR_HUMAN</t>
  </si>
  <si>
    <t>NTR1</t>
  </si>
  <si>
    <t>NTR1_RAT</t>
  </si>
  <si>
    <t>NTR1_MOUSE</t>
  </si>
  <si>
    <t>OPRD</t>
  </si>
  <si>
    <t>OPRD_PIG</t>
  </si>
  <si>
    <t>OPRD_HUMAN</t>
  </si>
  <si>
    <t>OPRD_RAT</t>
  </si>
  <si>
    <t>OPRK</t>
  </si>
  <si>
    <t>OPRK_HUMAN</t>
  </si>
  <si>
    <t>OPRK_CAVPO</t>
  </si>
  <si>
    <t>OPRK_RAT</t>
  </si>
  <si>
    <t>OPRM</t>
  </si>
  <si>
    <t>OPRM_RAT</t>
  </si>
  <si>
    <t>OPRM_HUMAN</t>
  </si>
  <si>
    <t>OPRM_BOVIN</t>
  </si>
  <si>
    <t>OPRM_MOUSE</t>
  </si>
  <si>
    <t>PDE3A_HUMAN</t>
  </si>
  <si>
    <t>PDE4D_HUMAN</t>
  </si>
  <si>
    <t>PDE4D_MOUSE</t>
  </si>
  <si>
    <t>PDE4D_RAT</t>
  </si>
  <si>
    <t>PRGR</t>
  </si>
  <si>
    <t>PRGR_HUMAN</t>
  </si>
  <si>
    <t>PGH1</t>
  </si>
  <si>
    <t>PGH1_BOVIN</t>
  </si>
  <si>
    <t>PGH1_HUMAN</t>
  </si>
  <si>
    <t>PGH1_SHEEP</t>
  </si>
  <si>
    <t>PGH2</t>
  </si>
  <si>
    <t>PGH2_BOVIN</t>
  </si>
  <si>
    <t>PGH2_HUMAN</t>
  </si>
  <si>
    <t>PGH2_MOUSE</t>
  </si>
  <si>
    <t>SCN5A_RAT</t>
  </si>
  <si>
    <t>S29A1</t>
  </si>
  <si>
    <t>S29A1_HUMAN</t>
  </si>
  <si>
    <t>SC6A2</t>
  </si>
  <si>
    <t>SC6A2_HUMAN</t>
  </si>
  <si>
    <t>SC6A3</t>
  </si>
  <si>
    <t>SC6A3_HUMAN</t>
  </si>
  <si>
    <t>SC6A3_RAT</t>
  </si>
  <si>
    <t>SC6A4</t>
  </si>
  <si>
    <t>SC6A4_HUMAN</t>
  </si>
  <si>
    <t>SC6A4_MACMU</t>
  </si>
  <si>
    <t>NK1R</t>
  </si>
  <si>
    <t>NK1R_HUMAN</t>
  </si>
  <si>
    <t>TA2R</t>
  </si>
  <si>
    <t>TA2R_HUMAN</t>
  </si>
  <si>
    <t>TA2R_RAT</t>
  </si>
  <si>
    <t>averages</t>
  </si>
  <si>
    <t>sd</t>
  </si>
  <si>
    <t>LOG10</t>
  </si>
  <si>
    <t>average</t>
  </si>
  <si>
    <t>log10</t>
  </si>
  <si>
    <t>PDB affinity</t>
  </si>
  <si>
    <t>uniprot affinity</t>
  </si>
  <si>
    <t>Confirmed activity</t>
  </si>
  <si>
    <t>Confirmed activity (uM)</t>
  </si>
  <si>
    <t>Uniprot affinity (uM)</t>
  </si>
  <si>
    <t>log confirmed</t>
  </si>
  <si>
    <t>log uniprot</t>
  </si>
  <si>
    <t>log pdb</t>
  </si>
  <si>
    <t>confirmedvuni</t>
  </si>
  <si>
    <t>confirmedvpdb</t>
  </si>
  <si>
    <t>average difference PDB</t>
  </si>
  <si>
    <t>average difference uniprot</t>
  </si>
  <si>
    <t>SD uniprot</t>
  </si>
  <si>
    <t>Cutoff</t>
  </si>
  <si>
    <t>TP PDB ≥ cutoff</t>
  </si>
  <si>
    <t>FP PDB ≥ cutoff</t>
  </si>
  <si>
    <t>Precision PDB</t>
  </si>
  <si>
    <t>Precision Uni</t>
  </si>
  <si>
    <t>FP Uni ≥ cutoff</t>
  </si>
  <si>
    <t>TP Uni ≥ cutoff</t>
  </si>
  <si>
    <t>True PDB</t>
  </si>
  <si>
    <t>False PDB</t>
  </si>
  <si>
    <t>confidence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</si>
</sst>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_ "/>
    <numFmt numFmtId="165" formatCode="0.00_ "/>
    <numFmt numFmtId="166" formatCode="0.00_);[Red]\(0.00\)"/>
  </numFmts>
  <fonts count="6" x14ac:knownFonts="1"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99BBE8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99BBE8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99BBE8"/>
      </bottom>
      <diagonal/>
    </border>
    <border>
      <left style="thin">
        <color rgb="FFD0D0D0"/>
      </left>
      <right style="thin">
        <color rgb="FF99BBE8"/>
      </right>
      <top style="thin">
        <color rgb="FFD0D0D0"/>
      </top>
      <bottom style="thin">
        <color rgb="FF99BBE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11" fontId="0" fillId="0" borderId="0" xfId="0" applyNumberFormat="1"/>
    <xf numFmtId="0" fontId="5" fillId="0" borderId="0" xfId="0" applyFont="1"/>
    <xf numFmtId="11" fontId="5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4" fillId="0" borderId="0" xfId="0" applyFont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1" xfId="0" applyNumberFormat="1" applyFont="1" applyBorder="1" applyAlignment="1">
      <alignment horizontal="left" vertical="top"/>
    </xf>
    <xf numFmtId="0" fontId="4" fillId="0" borderId="5" xfId="0" applyNumberFormat="1" applyFont="1" applyBorder="1" applyAlignment="1">
      <alignment horizontal="left" vertical="top"/>
    </xf>
    <xf numFmtId="11" fontId="4" fillId="0" borderId="1" xfId="0" applyNumberFormat="1" applyFont="1" applyBorder="1" applyAlignment="1">
      <alignment horizontal="left" vertical="top"/>
    </xf>
    <xf numFmtId="11" fontId="4" fillId="0" borderId="5" xfId="0" applyNumberFormat="1" applyFont="1" applyBorder="1" applyAlignment="1">
      <alignment horizontal="left" vertical="top"/>
    </xf>
  </cellXfs>
  <cellStyles count="1"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True_affinity!$I$1</c:f>
              <c:strCache>
                <c:ptCount val="1"/>
                <c:pt idx="0">
                  <c:v>uniprot affinity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True_affinity!$H$2:$H$129</c:f>
              <c:numCache>
                <c:formatCode>General</c:formatCode>
                <c:ptCount val="128"/>
                <c:pt idx="0">
                  <c:v>8.6419999999999995</c:v>
                </c:pt>
                <c:pt idx="1">
                  <c:v>0.128</c:v>
                </c:pt>
                <c:pt idx="2">
                  <c:v>9.6579999999999995</c:v>
                </c:pt>
                <c:pt idx="3">
                  <c:v>10.379</c:v>
                </c:pt>
                <c:pt idx="4">
                  <c:v>2.56</c:v>
                </c:pt>
                <c:pt idx="5">
                  <c:v>0.16200000000000001</c:v>
                </c:pt>
                <c:pt idx="6">
                  <c:v>3.5</c:v>
                </c:pt>
                <c:pt idx="7">
                  <c:v>12</c:v>
                </c:pt>
                <c:pt idx="8">
                  <c:v>10.763999999999999</c:v>
                </c:pt>
                <c:pt idx="9">
                  <c:v>0.82499999999999996</c:v>
                </c:pt>
                <c:pt idx="10">
                  <c:v>9.39</c:v>
                </c:pt>
                <c:pt idx="11">
                  <c:v>11.172000000000001</c:v>
                </c:pt>
                <c:pt idx="12">
                  <c:v>10.831</c:v>
                </c:pt>
                <c:pt idx="13">
                  <c:v>3.99</c:v>
                </c:pt>
                <c:pt idx="14">
                  <c:v>8.98</c:v>
                </c:pt>
                <c:pt idx="15">
                  <c:v>0.57699999999999996</c:v>
                </c:pt>
                <c:pt idx="16">
                  <c:v>0.73299999999999998</c:v>
                </c:pt>
                <c:pt idx="17">
                  <c:v>5.8</c:v>
                </c:pt>
                <c:pt idx="18">
                  <c:v>13.317</c:v>
                </c:pt>
                <c:pt idx="19">
                  <c:v>3.44</c:v>
                </c:pt>
                <c:pt idx="20">
                  <c:v>0.68100000000000005</c:v>
                </c:pt>
                <c:pt idx="21">
                  <c:v>1.7390000000000001</c:v>
                </c:pt>
                <c:pt idx="22">
                  <c:v>9.3699999999999992</c:v>
                </c:pt>
                <c:pt idx="23">
                  <c:v>0.64100000000000001</c:v>
                </c:pt>
                <c:pt idx="24">
                  <c:v>11.785</c:v>
                </c:pt>
                <c:pt idx="25">
                  <c:v>10.64</c:v>
                </c:pt>
                <c:pt idx="26">
                  <c:v>0.49</c:v>
                </c:pt>
                <c:pt idx="27">
                  <c:v>0.35299999999999998</c:v>
                </c:pt>
                <c:pt idx="28">
                  <c:v>4.3310000000000004</c:v>
                </c:pt>
                <c:pt idx="29">
                  <c:v>2.5</c:v>
                </c:pt>
                <c:pt idx="30">
                  <c:v>12.545999999999999</c:v>
                </c:pt>
                <c:pt idx="31">
                  <c:v>6.3</c:v>
                </c:pt>
                <c:pt idx="32">
                  <c:v>5.8</c:v>
                </c:pt>
                <c:pt idx="33">
                  <c:v>3.4860000000000002</c:v>
                </c:pt>
                <c:pt idx="34">
                  <c:v>2.2000000000000002</c:v>
                </c:pt>
                <c:pt idx="35">
                  <c:v>17</c:v>
                </c:pt>
                <c:pt idx="36">
                  <c:v>0.82899999999999996</c:v>
                </c:pt>
                <c:pt idx="37">
                  <c:v>0.25700000000000001</c:v>
                </c:pt>
                <c:pt idx="38">
                  <c:v>0.71</c:v>
                </c:pt>
                <c:pt idx="39">
                  <c:v>0.111</c:v>
                </c:pt>
                <c:pt idx="40">
                  <c:v>0.13500000000000001</c:v>
                </c:pt>
                <c:pt idx="41">
                  <c:v>8.5739999999999998</c:v>
                </c:pt>
                <c:pt idx="42">
                  <c:v>11.082000000000001</c:v>
                </c:pt>
                <c:pt idx="43">
                  <c:v>6.4000000000000001E-2</c:v>
                </c:pt>
                <c:pt idx="44">
                  <c:v>0.92900000000000005</c:v>
                </c:pt>
                <c:pt idx="45">
                  <c:v>7.0000000000000001E-3</c:v>
                </c:pt>
                <c:pt idx="46">
                  <c:v>1.123</c:v>
                </c:pt>
                <c:pt idx="47">
                  <c:v>5.5629999999999997</c:v>
                </c:pt>
                <c:pt idx="48">
                  <c:v>4.8099999999999996</c:v>
                </c:pt>
                <c:pt idx="49">
                  <c:v>13</c:v>
                </c:pt>
                <c:pt idx="50">
                  <c:v>2.8</c:v>
                </c:pt>
                <c:pt idx="51">
                  <c:v>9.0869999999999997</c:v>
                </c:pt>
                <c:pt idx="52">
                  <c:v>6.9</c:v>
                </c:pt>
                <c:pt idx="53">
                  <c:v>1.2889999999999999</c:v>
                </c:pt>
                <c:pt idx="54">
                  <c:v>6.3230000000000004</c:v>
                </c:pt>
                <c:pt idx="55">
                  <c:v>0.53</c:v>
                </c:pt>
                <c:pt idx="56">
                  <c:v>0.94699999999999995</c:v>
                </c:pt>
                <c:pt idx="57">
                  <c:v>7.4</c:v>
                </c:pt>
                <c:pt idx="58">
                  <c:v>5.0460000000000003</c:v>
                </c:pt>
                <c:pt idx="59">
                  <c:v>1.48</c:v>
                </c:pt>
                <c:pt idx="60">
                  <c:v>2.4169999999999998</c:v>
                </c:pt>
                <c:pt idx="61">
                  <c:v>0.82399999999999995</c:v>
                </c:pt>
                <c:pt idx="62">
                  <c:v>4.1070000000000002</c:v>
                </c:pt>
                <c:pt idx="63">
                  <c:v>4.24</c:v>
                </c:pt>
                <c:pt idx="64">
                  <c:v>13</c:v>
                </c:pt>
                <c:pt idx="65">
                  <c:v>8.5229999999999997</c:v>
                </c:pt>
                <c:pt idx="66">
                  <c:v>7.8680000000000003</c:v>
                </c:pt>
                <c:pt idx="67">
                  <c:v>23</c:v>
                </c:pt>
                <c:pt idx="68">
                  <c:v>3.1269999999999998</c:v>
                </c:pt>
                <c:pt idx="69">
                  <c:v>1.44</c:v>
                </c:pt>
                <c:pt idx="70">
                  <c:v>3.0609999999999999</c:v>
                </c:pt>
                <c:pt idx="71">
                  <c:v>3.778</c:v>
                </c:pt>
                <c:pt idx="72">
                  <c:v>3.8889999999999998</c:v>
                </c:pt>
                <c:pt idx="73">
                  <c:v>3.3820000000000001</c:v>
                </c:pt>
                <c:pt idx="74">
                  <c:v>7.22</c:v>
                </c:pt>
                <c:pt idx="75">
                  <c:v>0.14299999999999999</c:v>
                </c:pt>
                <c:pt idx="76">
                  <c:v>1.625</c:v>
                </c:pt>
                <c:pt idx="77">
                  <c:v>1.625</c:v>
                </c:pt>
                <c:pt idx="78">
                  <c:v>1.7999999999999999E-2</c:v>
                </c:pt>
                <c:pt idx="79">
                  <c:v>13.96</c:v>
                </c:pt>
                <c:pt idx="80">
                  <c:v>8.2059999999999995</c:v>
                </c:pt>
                <c:pt idx="81">
                  <c:v>7.38</c:v>
                </c:pt>
                <c:pt idx="82">
                  <c:v>14</c:v>
                </c:pt>
                <c:pt idx="83">
                  <c:v>0.66500000000000004</c:v>
                </c:pt>
                <c:pt idx="84">
                  <c:v>6.8319999999999999</c:v>
                </c:pt>
                <c:pt idx="85">
                  <c:v>0.19700000000000001</c:v>
                </c:pt>
                <c:pt idx="86">
                  <c:v>8.4580000000000002</c:v>
                </c:pt>
                <c:pt idx="87">
                  <c:v>0.377</c:v>
                </c:pt>
                <c:pt idx="88">
                  <c:v>3.3</c:v>
                </c:pt>
                <c:pt idx="89">
                  <c:v>1.7</c:v>
                </c:pt>
                <c:pt idx="90">
                  <c:v>0.12</c:v>
                </c:pt>
                <c:pt idx="91">
                  <c:v>6.76</c:v>
                </c:pt>
                <c:pt idx="92">
                  <c:v>1E-3</c:v>
                </c:pt>
                <c:pt idx="93">
                  <c:v>0.51600000000000001</c:v>
                </c:pt>
                <c:pt idx="94">
                  <c:v>8.2000000000000003E-2</c:v>
                </c:pt>
                <c:pt idx="95">
                  <c:v>9.7000000000000003E-2</c:v>
                </c:pt>
                <c:pt idx="96">
                  <c:v>24</c:v>
                </c:pt>
                <c:pt idx="97">
                  <c:v>4.9779999999999998</c:v>
                </c:pt>
                <c:pt idx="98">
                  <c:v>1.423</c:v>
                </c:pt>
                <c:pt idx="99">
                  <c:v>5.3</c:v>
                </c:pt>
                <c:pt idx="100">
                  <c:v>3.6030000000000002</c:v>
                </c:pt>
                <c:pt idx="101">
                  <c:v>6.9039999999999999</c:v>
                </c:pt>
                <c:pt idx="102">
                  <c:v>10.263</c:v>
                </c:pt>
                <c:pt idx="103">
                  <c:v>6.7110000000000003</c:v>
                </c:pt>
                <c:pt idx="104">
                  <c:v>4.3849999999999998</c:v>
                </c:pt>
                <c:pt idx="105">
                  <c:v>1.794</c:v>
                </c:pt>
                <c:pt idx="106">
                  <c:v>11.302</c:v>
                </c:pt>
                <c:pt idx="107">
                  <c:v>5.3840000000000003</c:v>
                </c:pt>
                <c:pt idx="108">
                  <c:v>3.0000000000000001E-3</c:v>
                </c:pt>
                <c:pt idx="109">
                  <c:v>29.26</c:v>
                </c:pt>
                <c:pt idx="110">
                  <c:v>7.3999999999999996E-2</c:v>
                </c:pt>
                <c:pt idx="111">
                  <c:v>7.61</c:v>
                </c:pt>
                <c:pt idx="112">
                  <c:v>3.0000000000000001E-3</c:v>
                </c:pt>
                <c:pt idx="113">
                  <c:v>1.3</c:v>
                </c:pt>
                <c:pt idx="114">
                  <c:v>23.283999999999999</c:v>
                </c:pt>
                <c:pt idx="115">
                  <c:v>3.0000000000000001E-3</c:v>
                </c:pt>
                <c:pt idx="116">
                  <c:v>0.32800000000000001</c:v>
                </c:pt>
                <c:pt idx="117">
                  <c:v>0.16</c:v>
                </c:pt>
                <c:pt idx="118">
                  <c:v>25</c:v>
                </c:pt>
                <c:pt idx="119">
                  <c:v>11</c:v>
                </c:pt>
                <c:pt idx="120">
                  <c:v>4.8</c:v>
                </c:pt>
                <c:pt idx="121">
                  <c:v>3</c:v>
                </c:pt>
                <c:pt idx="122">
                  <c:v>13</c:v>
                </c:pt>
                <c:pt idx="123">
                  <c:v>3.62</c:v>
                </c:pt>
                <c:pt idx="124">
                  <c:v>3</c:v>
                </c:pt>
                <c:pt idx="125">
                  <c:v>0.41899999999999998</c:v>
                </c:pt>
                <c:pt idx="126">
                  <c:v>17.8</c:v>
                </c:pt>
                <c:pt idx="127">
                  <c:v>8.1620000000000008</c:v>
                </c:pt>
              </c:numCache>
            </c:numRef>
          </c:xVal>
          <c:yVal>
            <c:numRef>
              <c:f>True_affinity!$I$2:$I$129</c:f>
              <c:numCache>
                <c:formatCode>General</c:formatCode>
                <c:ptCount val="128"/>
                <c:pt idx="0">
                  <c:v>0.47010649344910505</c:v>
                </c:pt>
                <c:pt idx="1">
                  <c:v>0.26587713411403596</c:v>
                </c:pt>
                <c:pt idx="2">
                  <c:v>1.0799688834510397</c:v>
                </c:pt>
                <c:pt idx="3">
                  <c:v>0.18062898677665443</c:v>
                </c:pt>
                <c:pt idx="4">
                  <c:v>0.77478221987123197</c:v>
                </c:pt>
                <c:pt idx="5">
                  <c:v>0.19550079685996155</c:v>
                </c:pt>
                <c:pt idx="6">
                  <c:v>1.3467883482881249</c:v>
                </c:pt>
                <c:pt idx="7">
                  <c:v>0.26025061074584954</c:v>
                </c:pt>
                <c:pt idx="8">
                  <c:v>1.0058727301128421</c:v>
                </c:pt>
                <c:pt idx="9">
                  <c:v>0.41726172469092354</c:v>
                </c:pt>
                <c:pt idx="10">
                  <c:v>0.66294792051843354</c:v>
                </c:pt>
                <c:pt idx="11">
                  <c:v>0.24711224274662405</c:v>
                </c:pt>
                <c:pt idx="12">
                  <c:v>0.2170673515297481</c:v>
                </c:pt>
                <c:pt idx="13">
                  <c:v>1.2930065521264165</c:v>
                </c:pt>
                <c:pt idx="14">
                  <c:v>0.2807565131362097</c:v>
                </c:pt>
                <c:pt idx="15">
                  <c:v>0.21376738822401412</c:v>
                </c:pt>
                <c:pt idx="16">
                  <c:v>0.70111943510819363</c:v>
                </c:pt>
                <c:pt idx="17">
                  <c:v>1.0380236693265839</c:v>
                </c:pt>
                <c:pt idx="18">
                  <c:v>1.297085462748597</c:v>
                </c:pt>
                <c:pt idx="19">
                  <c:v>0.69085826309338794</c:v>
                </c:pt>
                <c:pt idx="20">
                  <c:v>0.45521456005621036</c:v>
                </c:pt>
                <c:pt idx="21">
                  <c:v>0.7702839670972994</c:v>
                </c:pt>
                <c:pt idx="22">
                  <c:v>1.1345228316119398</c:v>
                </c:pt>
                <c:pt idx="23">
                  <c:v>0.60383113834845714</c:v>
                </c:pt>
                <c:pt idx="24">
                  <c:v>1.1779254242300394</c:v>
                </c:pt>
                <c:pt idx="25">
                  <c:v>0.35388566278766892</c:v>
                </c:pt>
                <c:pt idx="26">
                  <c:v>0.25719879185568362</c:v>
                </c:pt>
                <c:pt idx="27">
                  <c:v>0.45992913592707058</c:v>
                </c:pt>
                <c:pt idx="28">
                  <c:v>1.9566195719337878</c:v>
                </c:pt>
                <c:pt idx="29">
                  <c:v>0.22082993762434994</c:v>
                </c:pt>
                <c:pt idx="30">
                  <c:v>0.61769623264475515</c:v>
                </c:pt>
                <c:pt idx="31">
                  <c:v>0.19759083465087196</c:v>
                </c:pt>
                <c:pt idx="32">
                  <c:v>0.39024780606812126</c:v>
                </c:pt>
                <c:pt idx="33">
                  <c:v>0.42938030782573344</c:v>
                </c:pt>
                <c:pt idx="34">
                  <c:v>0.1878187181324423</c:v>
                </c:pt>
                <c:pt idx="35">
                  <c:v>0.29941316728729866</c:v>
                </c:pt>
                <c:pt idx="36">
                  <c:v>0.10975097746266463</c:v>
                </c:pt>
                <c:pt idx="37">
                  <c:v>0.24463133113912694</c:v>
                </c:pt>
                <c:pt idx="38">
                  <c:v>0.87892355979015313</c:v>
                </c:pt>
                <c:pt idx="39">
                  <c:v>0.60718507528878496</c:v>
                </c:pt>
                <c:pt idx="40">
                  <c:v>0.16726658804256608</c:v>
                </c:pt>
                <c:pt idx="41">
                  <c:v>0.88146745922514547</c:v>
                </c:pt>
                <c:pt idx="42">
                  <c:v>0.86284032910007613</c:v>
                </c:pt>
                <c:pt idx="43">
                  <c:v>0.51122287059198801</c:v>
                </c:pt>
                <c:pt idx="44">
                  <c:v>0.18262792565974162</c:v>
                </c:pt>
                <c:pt idx="45">
                  <c:v>0.10064277991197416</c:v>
                </c:pt>
                <c:pt idx="46">
                  <c:v>0.44945825452264432</c:v>
                </c:pt>
                <c:pt idx="47">
                  <c:v>0.84181263036898601</c:v>
                </c:pt>
                <c:pt idx="48">
                  <c:v>0.44971376786295864</c:v>
                </c:pt>
                <c:pt idx="49">
                  <c:v>0.95330180641096263</c:v>
                </c:pt>
                <c:pt idx="50">
                  <c:v>0.72166137245237394</c:v>
                </c:pt>
                <c:pt idx="51">
                  <c:v>0.6919768513593888</c:v>
                </c:pt>
                <c:pt idx="52">
                  <c:v>0.38976277569446377</c:v>
                </c:pt>
                <c:pt idx="53">
                  <c:v>0.952300613558964</c:v>
                </c:pt>
                <c:pt idx="54">
                  <c:v>0.13580015196999085</c:v>
                </c:pt>
                <c:pt idx="55">
                  <c:v>0.11088409952721973</c:v>
                </c:pt>
                <c:pt idx="56">
                  <c:v>1.0794723499793135</c:v>
                </c:pt>
                <c:pt idx="57">
                  <c:v>2.0356306131976636</c:v>
                </c:pt>
                <c:pt idx="58">
                  <c:v>0.44936088414974396</c:v>
                </c:pt>
                <c:pt idx="59">
                  <c:v>0.41871298794181427</c:v>
                </c:pt>
                <c:pt idx="60">
                  <c:v>0.18847154812467962</c:v>
                </c:pt>
                <c:pt idx="61">
                  <c:v>0.90401985251700134</c:v>
                </c:pt>
                <c:pt idx="62">
                  <c:v>0.55569053802598045</c:v>
                </c:pt>
                <c:pt idx="63">
                  <c:v>0.98197942717287801</c:v>
                </c:pt>
                <c:pt idx="64">
                  <c:v>1.2176553797793401</c:v>
                </c:pt>
                <c:pt idx="65">
                  <c:v>0.4696813341661239</c:v>
                </c:pt>
                <c:pt idx="66">
                  <c:v>0.78465902994295433</c:v>
                </c:pt>
                <c:pt idx="67">
                  <c:v>0.30533275794874615</c:v>
                </c:pt>
                <c:pt idx="68">
                  <c:v>1.2584219903384852</c:v>
                </c:pt>
                <c:pt idx="69">
                  <c:v>0.87441534061923865</c:v>
                </c:pt>
                <c:pt idx="70">
                  <c:v>0.22513651306463309</c:v>
                </c:pt>
                <c:pt idx="71">
                  <c:v>0.11137118088012379</c:v>
                </c:pt>
                <c:pt idx="72">
                  <c:v>0.36406930755707129</c:v>
                </c:pt>
                <c:pt idx="73">
                  <c:v>0.36394563730254903</c:v>
                </c:pt>
                <c:pt idx="74">
                  <c:v>0.70957362958220704</c:v>
                </c:pt>
                <c:pt idx="75">
                  <c:v>0.18598358925911632</c:v>
                </c:pt>
                <c:pt idx="76">
                  <c:v>8.8073004873740626</c:v>
                </c:pt>
                <c:pt idx="77">
                  <c:v>8.7097618343972272</c:v>
                </c:pt>
                <c:pt idx="78">
                  <c:v>0.32087653947921585</c:v>
                </c:pt>
                <c:pt idx="79">
                  <c:v>0.33538872622999444</c:v>
                </c:pt>
                <c:pt idx="80">
                  <c:v>2.0626765745395534</c:v>
                </c:pt>
                <c:pt idx="81">
                  <c:v>1.1414930441374775</c:v>
                </c:pt>
                <c:pt idx="82">
                  <c:v>0.63448980446265202</c:v>
                </c:pt>
                <c:pt idx="83">
                  <c:v>0.40161205315634679</c:v>
                </c:pt>
                <c:pt idx="84">
                  <c:v>0.5376073878386729</c:v>
                </c:pt>
                <c:pt idx="85">
                  <c:v>0.13300972532349431</c:v>
                </c:pt>
                <c:pt idx="86">
                  <c:v>0.27224738932167392</c:v>
                </c:pt>
                <c:pt idx="87">
                  <c:v>8.7459019010757325E-2</c:v>
                </c:pt>
                <c:pt idx="88">
                  <c:v>0.94057370661382544</c:v>
                </c:pt>
                <c:pt idx="89">
                  <c:v>0.14084526831374181</c:v>
                </c:pt>
                <c:pt idx="90">
                  <c:v>0.10966957698071242</c:v>
                </c:pt>
                <c:pt idx="91">
                  <c:v>0.13268722544935455</c:v>
                </c:pt>
                <c:pt idx="92">
                  <c:v>0.13351114670827369</c:v>
                </c:pt>
                <c:pt idx="93">
                  <c:v>0.39193387583752104</c:v>
                </c:pt>
                <c:pt idx="94">
                  <c:v>0.25604572927703073</c:v>
                </c:pt>
                <c:pt idx="95">
                  <c:v>0.19487051535695343</c:v>
                </c:pt>
                <c:pt idx="96">
                  <c:v>3.662937195280175</c:v>
                </c:pt>
                <c:pt idx="97">
                  <c:v>0.4267649145184983</c:v>
                </c:pt>
                <c:pt idx="98">
                  <c:v>2.3219131766111398</c:v>
                </c:pt>
                <c:pt idx="99">
                  <c:v>0.33553957017760633</c:v>
                </c:pt>
                <c:pt idx="100">
                  <c:v>4.9973007887820344</c:v>
                </c:pt>
                <c:pt idx="101">
                  <c:v>4.6601631574909934</c:v>
                </c:pt>
                <c:pt idx="102">
                  <c:v>0.81292669554984143</c:v>
                </c:pt>
                <c:pt idx="103">
                  <c:v>0.18659073247880387</c:v>
                </c:pt>
                <c:pt idx="104">
                  <c:v>0.64155818031973777</c:v>
                </c:pt>
                <c:pt idx="105">
                  <c:v>0.93622643709700304</c:v>
                </c:pt>
                <c:pt idx="106">
                  <c:v>1.9988212522244853</c:v>
                </c:pt>
                <c:pt idx="107">
                  <c:v>0.22447934371135844</c:v>
                </c:pt>
                <c:pt idx="108">
                  <c:v>0.19131021248954441</c:v>
                </c:pt>
                <c:pt idx="109">
                  <c:v>0.1602311950007749</c:v>
                </c:pt>
                <c:pt idx="110">
                  <c:v>8.4436620939698892E-2</c:v>
                </c:pt>
                <c:pt idx="111">
                  <c:v>0.74526638569802139</c:v>
                </c:pt>
                <c:pt idx="112">
                  <c:v>0.11330673706417502</c:v>
                </c:pt>
                <c:pt idx="113">
                  <c:v>0.24026916359398273</c:v>
                </c:pt>
                <c:pt idx="114">
                  <c:v>0.24560960754689806</c:v>
                </c:pt>
                <c:pt idx="115">
                  <c:v>0.10217250755240334</c:v>
                </c:pt>
                <c:pt idx="116">
                  <c:v>0.61293350485479769</c:v>
                </c:pt>
                <c:pt idx="117">
                  <c:v>3.4373396641761231</c:v>
                </c:pt>
                <c:pt idx="118">
                  <c:v>0.84436599733729134</c:v>
                </c:pt>
                <c:pt idx="119">
                  <c:v>1.1559020558159592</c:v>
                </c:pt>
                <c:pt idx="120">
                  <c:v>1.1021281703472667</c:v>
                </c:pt>
                <c:pt idx="121">
                  <c:v>1.241802927829375</c:v>
                </c:pt>
                <c:pt idx="122">
                  <c:v>0.57021015519593921</c:v>
                </c:pt>
                <c:pt idx="123">
                  <c:v>0.69182640583069299</c:v>
                </c:pt>
                <c:pt idx="124">
                  <c:v>0.60049923536738847</c:v>
                </c:pt>
                <c:pt idx="125">
                  <c:v>1.5680665707695571</c:v>
                </c:pt>
                <c:pt idx="126">
                  <c:v>1.2210579144376921</c:v>
                </c:pt>
                <c:pt idx="127">
                  <c:v>0.4250155326424313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B4-E843-BD0F-AD049F8BA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386864"/>
        <c:axId val="1739532736"/>
      </c:scatterChart>
      <c:valAx>
        <c:axId val="95738686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532736"/>
        <c:crosses val="autoZero"/>
        <c:crossBetween val="midCat"/>
      </c:valAx>
      <c:valAx>
        <c:axId val="17395327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8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340175</xdr:colOff>
      <xdr:row>4</xdr:row>
      <xdr:rowOff>63088</xdr:rowOff>
    </xdr:from>
    <xdr:to>
      <xdr:col>15</xdr:col>
      <xdr:colOff>782958</xdr:colOff>
      <xdr:row>17</xdr:row>
      <xdr:rowOff>158968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B37FF5-369D-58E3-5B72-06F20BB9D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4A6B-208E-024D-930D-B3343E480350}">
  <dimension ref="A1:J132"/>
  <sheetViews>
    <sheetView workbookViewId="0">
      <selection activeCell="J14" sqref="J14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2" t="s">
        <v>801</v>
      </c>
    </row>
    <row r="2" spans="1:10" x14ac:dyDescent="0.2">
      <c r="A2" s="3" t="s">
        <v>7</v>
      </c>
      <c r="B2" s="3" t="s">
        <v>8</v>
      </c>
      <c r="C2" s="4">
        <v>0.91749745607376099</v>
      </c>
      <c r="D2" s="4">
        <v>-1.6217222213745099</v>
      </c>
      <c r="E2" s="4">
        <v>0.886177659034729</v>
      </c>
      <c r="F2" s="3" t="s">
        <v>9</v>
      </c>
      <c r="G2" s="4">
        <f>POWER(10,D2)</f>
        <v>2.389339036844711E-2</v>
      </c>
      <c r="I2" s="5" t="s">
        <v>7</v>
      </c>
      <c r="J2" s="20">
        <f>AVERAGE(C2:C10)</f>
        <v>0.90752476453781128</v>
      </c>
    </row>
    <row r="3" spans="1:10" x14ac:dyDescent="0.2">
      <c r="A3" s="3" t="s">
        <v>7</v>
      </c>
      <c r="B3" s="3" t="s">
        <v>10</v>
      </c>
      <c r="C3" s="4">
        <v>0.91559612751007102</v>
      </c>
      <c r="D3" s="4">
        <v>-1.5698872804641699</v>
      </c>
      <c r="E3" s="4">
        <v>0.88059759140014704</v>
      </c>
      <c r="F3" s="3" t="s">
        <v>9</v>
      </c>
      <c r="G3" s="4">
        <f>POWER(10,D3)</f>
        <v>2.6922334725527224E-2</v>
      </c>
      <c r="I3" s="5" t="s">
        <v>18</v>
      </c>
      <c r="J3" s="20">
        <f>AVERAGE(C11:C17)</f>
        <v>0.6969904814447675</v>
      </c>
    </row>
    <row r="4" spans="1:10" x14ac:dyDescent="0.2">
      <c r="A4" s="3" t="s">
        <v>7</v>
      </c>
      <c r="B4" s="3" t="s">
        <v>11</v>
      </c>
      <c r="C4" s="4">
        <v>0.90772408246993996</v>
      </c>
      <c r="D4" s="4">
        <v>-0.114217206835747</v>
      </c>
      <c r="E4" s="4">
        <v>0.64782667160034202</v>
      </c>
      <c r="F4" s="3" t="s">
        <v>9</v>
      </c>
      <c r="G4" s="4">
        <f>POWER(10,D4)</f>
        <v>0.76874586570283021</v>
      </c>
      <c r="I4" s="5" t="s">
        <v>25</v>
      </c>
      <c r="J4" s="20">
        <f>AVERAGE(C18:C21)</f>
        <v>0.86741818487644173</v>
      </c>
    </row>
    <row r="5" spans="1:10" x14ac:dyDescent="0.2">
      <c r="A5" s="3" t="s">
        <v>7</v>
      </c>
      <c r="B5" s="3" t="s">
        <v>12</v>
      </c>
      <c r="C5" s="4">
        <v>0.91449111700057995</v>
      </c>
      <c r="D5" s="4">
        <v>-1.5621038675308201</v>
      </c>
      <c r="E5" s="4">
        <v>0.81607007980346702</v>
      </c>
      <c r="F5" s="3" t="s">
        <v>9</v>
      </c>
      <c r="G5" s="4">
        <f>POWER(10,D5)</f>
        <v>2.7409185649557306E-2</v>
      </c>
      <c r="I5" s="5" t="s">
        <v>115</v>
      </c>
    </row>
    <row r="6" spans="1:10" x14ac:dyDescent="0.2">
      <c r="A6" s="3" t="s">
        <v>7</v>
      </c>
      <c r="B6" s="3" t="s">
        <v>13</v>
      </c>
      <c r="C6" s="4">
        <v>0.92222195863723799</v>
      </c>
      <c r="D6" s="4">
        <v>-0.49306851625442499</v>
      </c>
      <c r="E6" s="4">
        <v>0.81229531764984098</v>
      </c>
      <c r="F6" s="3" t="s">
        <v>9</v>
      </c>
      <c r="G6" s="4">
        <f>POWER(10,D6)</f>
        <v>0.32131535770640945</v>
      </c>
      <c r="I6" s="5" t="s">
        <v>28</v>
      </c>
      <c r="J6" s="20">
        <f>C31</f>
        <v>0.77468061447143599</v>
      </c>
    </row>
    <row r="7" spans="1:10" x14ac:dyDescent="0.2">
      <c r="A7" s="3" t="s">
        <v>7</v>
      </c>
      <c r="B7" s="3" t="s">
        <v>14</v>
      </c>
      <c r="C7" s="4">
        <v>0.92280513048171997</v>
      </c>
      <c r="D7" s="4">
        <v>-1.92823970317841</v>
      </c>
      <c r="E7" s="4">
        <v>0.91925263404846203</v>
      </c>
      <c r="F7" s="3" t="s">
        <v>9</v>
      </c>
      <c r="G7" s="4">
        <f>POWER(10,D7)</f>
        <v>1.1796693528120177E-2</v>
      </c>
      <c r="I7" s="5" t="s">
        <v>30</v>
      </c>
      <c r="J7" s="20">
        <f>AVERAGE(C32:C36)</f>
        <v>0.87324622869491575</v>
      </c>
    </row>
    <row r="8" spans="1:10" x14ac:dyDescent="0.2">
      <c r="A8" s="3" t="s">
        <v>7</v>
      </c>
      <c r="B8" s="3" t="s">
        <v>15</v>
      </c>
      <c r="C8" s="4">
        <v>0.86595726013183605</v>
      </c>
      <c r="D8" s="4">
        <v>0.78769999742507901</v>
      </c>
      <c r="E8" s="4">
        <v>0.53559160232544001</v>
      </c>
      <c r="F8" s="3" t="s">
        <v>9</v>
      </c>
      <c r="G8" s="4">
        <f>POWER(10,D8)</f>
        <v>6.1333817615615693</v>
      </c>
      <c r="I8" s="5" t="s">
        <v>34</v>
      </c>
      <c r="J8" s="20">
        <f>AVERAGE(C37:C40)</f>
        <v>0.96513579785823844</v>
      </c>
    </row>
    <row r="9" spans="1:10" x14ac:dyDescent="0.2">
      <c r="A9" s="3" t="s">
        <v>7</v>
      </c>
      <c r="B9" s="3" t="s">
        <v>16</v>
      </c>
      <c r="C9" s="4">
        <v>0.88022154569625899</v>
      </c>
      <c r="D9" s="4">
        <v>-0.93594509363174405</v>
      </c>
      <c r="E9" s="4">
        <v>0.71724861860275302</v>
      </c>
      <c r="F9" s="3" t="s">
        <v>9</v>
      </c>
      <c r="G9" s="4">
        <f>POWER(10,D9)</f>
        <v>0.11589238656802596</v>
      </c>
      <c r="I9" s="5" t="s">
        <v>39</v>
      </c>
      <c r="J9" s="20">
        <f>AVERAGE(C41:C44)</f>
        <v>0.87898291647434224</v>
      </c>
    </row>
    <row r="10" spans="1:10" x14ac:dyDescent="0.2">
      <c r="A10" s="3" t="s">
        <v>7</v>
      </c>
      <c r="B10" s="3" t="s">
        <v>17</v>
      </c>
      <c r="C10" s="4">
        <v>0.92120820283889804</v>
      </c>
      <c r="D10" s="4">
        <v>6.6061191260814695E-2</v>
      </c>
      <c r="E10" s="4">
        <v>0.70714628696441695</v>
      </c>
      <c r="F10" s="3" t="s">
        <v>9</v>
      </c>
      <c r="G10" s="4">
        <f>POWER(10,D10)</f>
        <v>1.164290064094518</v>
      </c>
      <c r="I10" s="5" t="s">
        <v>43</v>
      </c>
      <c r="J10" s="20">
        <f>AVERAGE(C45:C49)</f>
        <v>0.90578261613845856</v>
      </c>
    </row>
    <row r="11" spans="1:10" x14ac:dyDescent="0.2">
      <c r="A11" s="3" t="s">
        <v>18</v>
      </c>
      <c r="B11" s="3" t="s">
        <v>19</v>
      </c>
      <c r="C11" s="4">
        <v>0.670485138893127</v>
      </c>
      <c r="D11" s="4">
        <v>-1.2740451097488401</v>
      </c>
      <c r="E11" s="4">
        <v>0.84486663341522195</v>
      </c>
      <c r="F11" s="3" t="s">
        <v>9</v>
      </c>
      <c r="G11" s="4">
        <f>POWER(10,D11)</f>
        <v>5.3205299256556628E-2</v>
      </c>
      <c r="I11" s="5" t="s">
        <v>46</v>
      </c>
      <c r="J11" s="20">
        <f>AVERAGE(C50:C53)</f>
        <v>0.76474884152412392</v>
      </c>
    </row>
    <row r="12" spans="1:10" x14ac:dyDescent="0.2">
      <c r="A12" s="3" t="s">
        <v>18</v>
      </c>
      <c r="B12" s="3" t="s">
        <v>20</v>
      </c>
      <c r="C12" s="4">
        <v>0.69625496864318903</v>
      </c>
      <c r="D12" s="4">
        <v>-9.3227297067642198E-2</v>
      </c>
      <c r="E12" s="4">
        <v>0.38139584660530101</v>
      </c>
      <c r="F12" s="3" t="s">
        <v>9</v>
      </c>
      <c r="G12" s="4">
        <f>POWER(10,D12)</f>
        <v>0.80681265751170295</v>
      </c>
      <c r="I12" s="5" t="s">
        <v>50</v>
      </c>
      <c r="J12" s="20">
        <f>AVERAGE(C54)</f>
        <v>0.93163889646530196</v>
      </c>
    </row>
    <row r="13" spans="1:10" x14ac:dyDescent="0.2">
      <c r="A13" s="3" t="s">
        <v>18</v>
      </c>
      <c r="B13" s="3" t="s">
        <v>21</v>
      </c>
      <c r="C13" s="4">
        <v>0.70230638980865501</v>
      </c>
      <c r="D13" s="4">
        <v>0.72254860401153598</v>
      </c>
      <c r="E13" s="4">
        <v>0.56107074022293102</v>
      </c>
      <c r="F13" s="3" t="s">
        <v>9</v>
      </c>
      <c r="G13" s="4">
        <f>POWER(10,D13)</f>
        <v>5.2789628292092132</v>
      </c>
      <c r="I13" s="5" t="s">
        <v>52</v>
      </c>
      <c r="J13" s="20">
        <f>AVERAGE(C55:C61)</f>
        <v>0.9262581893375943</v>
      </c>
    </row>
    <row r="14" spans="1:10" x14ac:dyDescent="0.2">
      <c r="A14" s="3" t="s">
        <v>18</v>
      </c>
      <c r="B14" s="3" t="s">
        <v>22</v>
      </c>
      <c r="C14" s="4">
        <v>0.65834105014801003</v>
      </c>
      <c r="D14" s="4">
        <v>-0.36056393384933499</v>
      </c>
      <c r="E14" s="4">
        <v>0.43206736445426902</v>
      </c>
      <c r="F14" s="3" t="s">
        <v>9</v>
      </c>
      <c r="G14" s="4">
        <f>POWER(10,D14)</f>
        <v>0.43594938180395731</v>
      </c>
      <c r="I14" s="5" t="s">
        <v>56</v>
      </c>
    </row>
    <row r="15" spans="1:10" x14ac:dyDescent="0.2">
      <c r="A15" s="3" t="s">
        <v>18</v>
      </c>
      <c r="B15" s="3" t="s">
        <v>23</v>
      </c>
      <c r="C15" s="4">
        <v>0.74385976791381803</v>
      </c>
      <c r="D15" s="4">
        <v>0.68989050388336204</v>
      </c>
      <c r="E15" s="4">
        <v>0.55986118316650402</v>
      </c>
      <c r="F15" s="3" t="s">
        <v>9</v>
      </c>
      <c r="G15" s="4">
        <f>POWER(10,D15)</f>
        <v>4.8965534987719597</v>
      </c>
      <c r="I15" s="5" t="s">
        <v>58</v>
      </c>
    </row>
    <row r="16" spans="1:10" x14ac:dyDescent="0.2">
      <c r="A16" s="3" t="s">
        <v>18</v>
      </c>
      <c r="B16" s="3" t="s">
        <v>24</v>
      </c>
      <c r="C16" s="4">
        <v>0.69281333684921298</v>
      </c>
      <c r="D16" s="4">
        <v>0.17820303142070801</v>
      </c>
      <c r="E16" s="4">
        <v>0.68320173025131203</v>
      </c>
      <c r="F16" s="3" t="s">
        <v>9</v>
      </c>
      <c r="G16" s="4">
        <f>POWER(10,D16)</f>
        <v>1.5073115653180991</v>
      </c>
      <c r="I16" s="5" t="s">
        <v>60</v>
      </c>
    </row>
    <row r="17" spans="1:9" x14ac:dyDescent="0.2">
      <c r="A17" s="3" t="s">
        <v>18</v>
      </c>
      <c r="B17" s="3" t="s">
        <v>14</v>
      </c>
      <c r="C17" s="4">
        <v>0.71487271785736095</v>
      </c>
      <c r="D17" s="4">
        <v>9.5968589186668396E-2</v>
      </c>
      <c r="E17" s="4">
        <v>0.73594617843627896</v>
      </c>
      <c r="F17" s="3" t="s">
        <v>9</v>
      </c>
      <c r="G17" s="4">
        <f>POWER(10,D17)</f>
        <v>1.2472932991573968</v>
      </c>
      <c r="I17" s="5" t="s">
        <v>62</v>
      </c>
    </row>
    <row r="18" spans="1:9" x14ac:dyDescent="0.2">
      <c r="A18" s="3" t="s">
        <v>25</v>
      </c>
      <c r="B18" s="3" t="s">
        <v>26</v>
      </c>
      <c r="C18" s="4">
        <v>0.87103718519210804</v>
      </c>
      <c r="D18" s="4">
        <v>-0.50676208734512296</v>
      </c>
      <c r="E18" s="4">
        <v>0.89783990383148204</v>
      </c>
      <c r="F18" s="3" t="s">
        <v>9</v>
      </c>
      <c r="G18" s="4">
        <f>POWER(10,D18)</f>
        <v>0.31134214462907972</v>
      </c>
      <c r="I18" s="5" t="s">
        <v>63</v>
      </c>
    </row>
    <row r="19" spans="1:9" x14ac:dyDescent="0.2">
      <c r="A19" s="3" t="s">
        <v>25</v>
      </c>
      <c r="B19" s="3" t="s">
        <v>19</v>
      </c>
      <c r="C19" s="4">
        <v>0.87746757268905595</v>
      </c>
      <c r="D19" s="4">
        <v>-0.27581015229225198</v>
      </c>
      <c r="E19" s="4">
        <v>0.92623370885848999</v>
      </c>
      <c r="F19" s="3" t="s">
        <v>9</v>
      </c>
      <c r="G19" s="4">
        <f>POWER(10,D19)</f>
        <v>0.52989503184985576</v>
      </c>
      <c r="I19" s="5" t="s">
        <v>66</v>
      </c>
    </row>
    <row r="20" spans="1:9" x14ac:dyDescent="0.2">
      <c r="A20" s="3" t="s">
        <v>25</v>
      </c>
      <c r="B20" s="3" t="s">
        <v>20</v>
      </c>
      <c r="C20" s="4">
        <v>0.86111444234848</v>
      </c>
      <c r="D20" s="4">
        <v>0.11254867911338801</v>
      </c>
      <c r="E20" s="4">
        <v>0.84928458929061901</v>
      </c>
      <c r="F20" s="3" t="s">
        <v>9</v>
      </c>
      <c r="G20" s="4">
        <f>POWER(10,D20)</f>
        <v>1.2958319363291029</v>
      </c>
      <c r="I20" s="5" t="s">
        <v>67</v>
      </c>
    </row>
    <row r="21" spans="1:9" x14ac:dyDescent="0.2">
      <c r="A21" s="3" t="s">
        <v>25</v>
      </c>
      <c r="B21" s="3" t="s">
        <v>27</v>
      </c>
      <c r="C21" s="4">
        <v>0.86005353927612305</v>
      </c>
      <c r="D21" s="4">
        <v>-0.78316509723663297</v>
      </c>
      <c r="E21" s="4">
        <v>0.93801099061965898</v>
      </c>
      <c r="F21" s="3" t="s">
        <v>9</v>
      </c>
      <c r="G21" s="4">
        <f>POWER(10,D21)</f>
        <v>0.16475359609502996</v>
      </c>
      <c r="I21" s="5" t="s">
        <v>70</v>
      </c>
    </row>
    <row r="22" spans="1:9" x14ac:dyDescent="0.2">
      <c r="A22" s="3"/>
      <c r="B22" s="3"/>
      <c r="C22" s="4"/>
      <c r="D22" s="4"/>
      <c r="E22" s="4"/>
      <c r="F22" s="3"/>
      <c r="G22" s="4"/>
      <c r="I22" s="5" t="s">
        <v>75</v>
      </c>
    </row>
    <row r="23" spans="1:9" x14ac:dyDescent="0.2">
      <c r="A23" s="3"/>
      <c r="B23" s="3"/>
      <c r="C23" s="4"/>
      <c r="D23" s="4"/>
      <c r="E23" s="4"/>
      <c r="F23" s="3"/>
      <c r="G23" s="4"/>
      <c r="I23" s="5" t="s">
        <v>76</v>
      </c>
    </row>
    <row r="24" spans="1:9" x14ac:dyDescent="0.2">
      <c r="A24" s="1"/>
      <c r="B24" s="5"/>
      <c r="C24" s="5"/>
      <c r="D24" s="6"/>
      <c r="E24" s="6"/>
      <c r="F24" s="6"/>
      <c r="G24" s="6"/>
      <c r="I24" s="5" t="s">
        <v>77</v>
      </c>
    </row>
    <row r="25" spans="1:9" x14ac:dyDescent="0.2">
      <c r="A25" s="1"/>
      <c r="B25" s="5"/>
      <c r="C25" s="5"/>
      <c r="D25" s="6"/>
      <c r="E25" s="6"/>
      <c r="F25" s="6"/>
      <c r="G25" s="6"/>
      <c r="I25" s="5" t="s">
        <v>78</v>
      </c>
    </row>
    <row r="26" spans="1:9" x14ac:dyDescent="0.2">
      <c r="A26" s="1"/>
      <c r="B26" s="5"/>
      <c r="C26" s="5"/>
      <c r="D26" s="6"/>
      <c r="E26" s="6"/>
      <c r="F26" s="6"/>
      <c r="G26" s="6"/>
      <c r="I26" s="5" t="s">
        <v>86</v>
      </c>
    </row>
    <row r="27" spans="1:9" x14ac:dyDescent="0.2">
      <c r="A27" s="1"/>
      <c r="B27" s="5"/>
      <c r="C27" s="5"/>
      <c r="D27" s="6"/>
      <c r="E27" s="6"/>
      <c r="F27" s="6"/>
      <c r="G27" s="6"/>
      <c r="I27" s="5" t="s">
        <v>88</v>
      </c>
    </row>
    <row r="28" spans="1:9" x14ac:dyDescent="0.2">
      <c r="A28" s="1"/>
      <c r="B28" s="5"/>
      <c r="C28" s="5"/>
      <c r="D28" s="6"/>
      <c r="E28" s="6"/>
      <c r="F28" s="6"/>
      <c r="G28" s="6"/>
      <c r="I28" s="5" t="s">
        <v>93</v>
      </c>
    </row>
    <row r="29" spans="1:9" x14ac:dyDescent="0.2">
      <c r="A29" s="1"/>
      <c r="B29" s="5"/>
      <c r="C29" s="5"/>
      <c r="D29" s="6"/>
      <c r="E29" s="6"/>
      <c r="F29" s="6"/>
      <c r="G29" s="6"/>
      <c r="I29" s="5" t="s">
        <v>94</v>
      </c>
    </row>
    <row r="30" spans="1:9" x14ac:dyDescent="0.2">
      <c r="A30" s="1"/>
      <c r="B30" s="5"/>
      <c r="C30" s="5"/>
      <c r="D30" s="6"/>
      <c r="E30" s="6"/>
      <c r="F30" s="6"/>
      <c r="G30" s="6"/>
      <c r="I30" s="5" t="s">
        <v>96</v>
      </c>
    </row>
    <row r="31" spans="1:9" x14ac:dyDescent="0.2">
      <c r="A31" s="3" t="s">
        <v>28</v>
      </c>
      <c r="B31" s="3" t="s">
        <v>29</v>
      </c>
      <c r="C31" s="4">
        <v>0.77468061447143599</v>
      </c>
      <c r="D31" s="4">
        <v>-2.4280962944030802</v>
      </c>
      <c r="E31" s="4">
        <v>0.95794647932052601</v>
      </c>
      <c r="F31" s="3" t="s">
        <v>9</v>
      </c>
      <c r="G31" s="4">
        <f>POWER(10,D31)</f>
        <v>3.7316740768419819E-3</v>
      </c>
      <c r="I31" s="5" t="s">
        <v>103</v>
      </c>
    </row>
    <row r="32" spans="1:9" x14ac:dyDescent="0.2">
      <c r="A32" s="3" t="s">
        <v>30</v>
      </c>
      <c r="B32" s="3" t="s">
        <v>31</v>
      </c>
      <c r="C32" s="4">
        <v>0.86314600706100497</v>
      </c>
      <c r="D32" s="4">
        <v>-0.141480132937431</v>
      </c>
      <c r="E32" s="4">
        <v>0.98094832897186302</v>
      </c>
      <c r="F32" s="3" t="s">
        <v>9</v>
      </c>
      <c r="G32" s="4">
        <f>POWER(10,D32)</f>
        <v>0.72197118918850833</v>
      </c>
      <c r="I32" s="5" t="s">
        <v>106</v>
      </c>
    </row>
    <row r="33" spans="1:9" x14ac:dyDescent="0.2">
      <c r="A33" s="3" t="s">
        <v>30</v>
      </c>
      <c r="B33" s="3" t="s">
        <v>32</v>
      </c>
      <c r="C33" s="4">
        <v>0.86743301153182995</v>
      </c>
      <c r="D33" s="4">
        <v>-1.70298659801483</v>
      </c>
      <c r="E33" s="4">
        <v>0.95124864578247104</v>
      </c>
      <c r="F33" s="3" t="s">
        <v>9</v>
      </c>
      <c r="G33" s="4">
        <f>POWER(10,D33)</f>
        <v>1.9815881751097265E-2</v>
      </c>
      <c r="I33" s="5" t="s">
        <v>107</v>
      </c>
    </row>
    <row r="34" spans="1:9" x14ac:dyDescent="0.2">
      <c r="A34" s="3" t="s">
        <v>30</v>
      </c>
      <c r="B34" s="3" t="s">
        <v>14</v>
      </c>
      <c r="C34" s="4">
        <v>0.88174670934677102</v>
      </c>
      <c r="D34" s="4">
        <v>-1.0921492576599099</v>
      </c>
      <c r="E34" s="4">
        <v>0.87707126140594505</v>
      </c>
      <c r="F34" s="3" t="s">
        <v>9</v>
      </c>
      <c r="G34" s="4">
        <f>POWER(10,D34)</f>
        <v>8.0881787812121755E-2</v>
      </c>
      <c r="I34" s="5" t="s">
        <v>110</v>
      </c>
    </row>
    <row r="35" spans="1:9" x14ac:dyDescent="0.2">
      <c r="A35" s="3" t="s">
        <v>30</v>
      </c>
      <c r="B35" s="3" t="s">
        <v>33</v>
      </c>
      <c r="C35" s="4">
        <v>0.87534898519516002</v>
      </c>
      <c r="D35" s="4">
        <v>-0.74084430932998702</v>
      </c>
      <c r="E35" s="4">
        <v>0.89433193206787098</v>
      </c>
      <c r="F35" s="3" t="s">
        <v>9</v>
      </c>
      <c r="G35" s="4">
        <f>POWER(10,D35)</f>
        <v>0.18161666255026207</v>
      </c>
      <c r="I35" s="5" t="s">
        <v>112</v>
      </c>
    </row>
    <row r="36" spans="1:9" x14ac:dyDescent="0.2">
      <c r="A36" s="3" t="s">
        <v>30</v>
      </c>
      <c r="B36" s="3" t="s">
        <v>29</v>
      </c>
      <c r="C36" s="4">
        <v>0.87855643033981301</v>
      </c>
      <c r="D36" s="4">
        <v>-2.0233862400054901</v>
      </c>
      <c r="E36" s="4">
        <v>0.93293541669845603</v>
      </c>
      <c r="F36" s="3" t="s">
        <v>9</v>
      </c>
      <c r="G36" s="4">
        <f>POWER(10,D36)</f>
        <v>9.4757536184821682E-3</v>
      </c>
    </row>
    <row r="37" spans="1:9" x14ac:dyDescent="0.2">
      <c r="A37" s="3" t="s">
        <v>34</v>
      </c>
      <c r="B37" s="3" t="s">
        <v>35</v>
      </c>
      <c r="C37" s="4">
        <v>0.93575078248977706</v>
      </c>
      <c r="D37" s="4">
        <v>-0.30538064241409302</v>
      </c>
      <c r="E37" s="4">
        <v>0.48659387230873102</v>
      </c>
      <c r="F37" s="3" t="s">
        <v>9</v>
      </c>
      <c r="G37" s="4">
        <f>POWER(10,D37)</f>
        <v>0.49501613800645661</v>
      </c>
    </row>
    <row r="38" spans="1:9" x14ac:dyDescent="0.2">
      <c r="A38" s="3" t="s">
        <v>34</v>
      </c>
      <c r="B38" s="3" t="s">
        <v>36</v>
      </c>
      <c r="C38" s="4">
        <v>0.98173695802688599</v>
      </c>
      <c r="D38" s="4">
        <v>-1.8169646263122601</v>
      </c>
      <c r="E38" s="4">
        <v>0.930067479610443</v>
      </c>
      <c r="F38" s="3" t="s">
        <v>9</v>
      </c>
      <c r="G38" s="4">
        <f>POWER(10,D38)</f>
        <v>1.5241768943610869E-2</v>
      </c>
    </row>
    <row r="39" spans="1:9" x14ac:dyDescent="0.2">
      <c r="A39" s="3" t="s">
        <v>34</v>
      </c>
      <c r="B39" s="3" t="s">
        <v>37</v>
      </c>
      <c r="C39" s="4">
        <v>0.98093777894973799</v>
      </c>
      <c r="D39" s="4">
        <v>-1.1691691875457799</v>
      </c>
      <c r="E39" s="4">
        <v>0.87914371490478505</v>
      </c>
      <c r="F39" s="3" t="s">
        <v>9</v>
      </c>
      <c r="G39" s="4">
        <f>POWER(10,D39)</f>
        <v>6.7737757108941601E-2</v>
      </c>
    </row>
    <row r="40" spans="1:9" x14ac:dyDescent="0.2">
      <c r="A40" s="3" t="s">
        <v>34</v>
      </c>
      <c r="B40" s="3" t="s">
        <v>38</v>
      </c>
      <c r="C40" s="4">
        <v>0.96211767196655296</v>
      </c>
      <c r="D40" s="4">
        <v>-1.14928126335144</v>
      </c>
      <c r="E40" s="4">
        <v>0.74682772159576405</v>
      </c>
      <c r="F40" s="3" t="s">
        <v>9</v>
      </c>
      <c r="G40" s="4">
        <f>POWER(10,D40)</f>
        <v>7.0911837090290003E-2</v>
      </c>
    </row>
    <row r="41" spans="1:9" x14ac:dyDescent="0.2">
      <c r="A41" s="3" t="s">
        <v>39</v>
      </c>
      <c r="B41" s="3" t="s">
        <v>8</v>
      </c>
      <c r="C41" s="4">
        <v>0.88663989305496205</v>
      </c>
      <c r="D41" s="4">
        <v>-0.41518786549568198</v>
      </c>
      <c r="E41" s="4">
        <v>0.98572170734405495</v>
      </c>
      <c r="F41" s="3" t="s">
        <v>9</v>
      </c>
      <c r="G41" s="4">
        <f>POWER(10,D41)</f>
        <v>0.3844254527368226</v>
      </c>
    </row>
    <row r="42" spans="1:9" x14ac:dyDescent="0.2">
      <c r="A42" s="3" t="s">
        <v>39</v>
      </c>
      <c r="B42" s="3" t="s">
        <v>40</v>
      </c>
      <c r="C42" s="4">
        <v>0.88925188779830899</v>
      </c>
      <c r="D42" s="4">
        <v>-1.9801100492477399</v>
      </c>
      <c r="E42" s="4">
        <v>0.98388701677322399</v>
      </c>
      <c r="F42" s="3" t="s">
        <v>9</v>
      </c>
      <c r="G42" s="4">
        <f>POWER(10,D42)</f>
        <v>1.0468632416406198E-2</v>
      </c>
    </row>
    <row r="43" spans="1:9" x14ac:dyDescent="0.2">
      <c r="A43" s="3" t="s">
        <v>39</v>
      </c>
      <c r="B43" s="3" t="s">
        <v>41</v>
      </c>
      <c r="C43" s="4">
        <v>0.85438340902328502</v>
      </c>
      <c r="D43" s="4">
        <v>-0.38923543691635099</v>
      </c>
      <c r="E43" s="4">
        <v>0.52772891521453902</v>
      </c>
      <c r="F43" s="3" t="s">
        <v>9</v>
      </c>
      <c r="G43" s="4">
        <f>POWER(10,D43)</f>
        <v>0.40809809085625109</v>
      </c>
    </row>
    <row r="44" spans="1:9" x14ac:dyDescent="0.2">
      <c r="A44" s="3" t="s">
        <v>39</v>
      </c>
      <c r="B44" s="3" t="s">
        <v>42</v>
      </c>
      <c r="C44" s="4">
        <v>0.88565647602081299</v>
      </c>
      <c r="D44" s="4">
        <v>-0.16103240847587599</v>
      </c>
      <c r="E44" s="4">
        <v>0.491337209939957</v>
      </c>
      <c r="F44" s="3" t="s">
        <v>9</v>
      </c>
      <c r="G44" s="4">
        <f>POWER(10,D44)</f>
        <v>0.69018829780841984</v>
      </c>
    </row>
    <row r="45" spans="1:9" x14ac:dyDescent="0.2">
      <c r="A45" s="3" t="s">
        <v>43</v>
      </c>
      <c r="B45" s="3" t="s">
        <v>8</v>
      </c>
      <c r="C45" s="4">
        <v>0.91237270832061801</v>
      </c>
      <c r="D45" s="4">
        <v>-0.64266699552536</v>
      </c>
      <c r="E45" s="4">
        <v>0.98105901479721103</v>
      </c>
      <c r="F45" s="3" t="s">
        <v>9</v>
      </c>
      <c r="G45" s="4">
        <f>POWER(10,D45)</f>
        <v>0.22768425787999363</v>
      </c>
    </row>
    <row r="46" spans="1:9" x14ac:dyDescent="0.2">
      <c r="A46" s="3" t="s">
        <v>43</v>
      </c>
      <c r="B46" s="3" t="s">
        <v>40</v>
      </c>
      <c r="C46" s="4">
        <v>0.91716402769088801</v>
      </c>
      <c r="D46" s="4">
        <v>-2.6913213729858398</v>
      </c>
      <c r="E46" s="4">
        <v>0.98317509889602706</v>
      </c>
      <c r="F46" s="3" t="s">
        <v>9</v>
      </c>
      <c r="G46" s="4">
        <f>POWER(10,D46)</f>
        <v>2.0355352472832627E-3</v>
      </c>
    </row>
    <row r="47" spans="1:9" x14ac:dyDescent="0.2">
      <c r="A47" s="3" t="s">
        <v>43</v>
      </c>
      <c r="B47" s="3" t="s">
        <v>44</v>
      </c>
      <c r="C47" s="4">
        <v>0.91475152969360396</v>
      </c>
      <c r="D47" s="4">
        <v>-2.0740776062011701</v>
      </c>
      <c r="E47" s="4">
        <v>0.71827512979507502</v>
      </c>
      <c r="F47" s="3" t="s">
        <v>9</v>
      </c>
      <c r="G47" s="4">
        <f>POWER(10,D47)</f>
        <v>8.4318407162312405E-3</v>
      </c>
    </row>
    <row r="48" spans="1:9" x14ac:dyDescent="0.2">
      <c r="A48" s="3" t="s">
        <v>43</v>
      </c>
      <c r="B48" s="3" t="s">
        <v>45</v>
      </c>
      <c r="C48" s="4">
        <v>0.91117566823959395</v>
      </c>
      <c r="D48" s="4">
        <v>-0.80727803707122803</v>
      </c>
      <c r="E48" s="4">
        <v>0.89505535364151001</v>
      </c>
      <c r="F48" s="3" t="s">
        <v>9</v>
      </c>
      <c r="G48" s="4">
        <f>POWER(10,D48)</f>
        <v>0.15585543905840696</v>
      </c>
    </row>
    <row r="49" spans="1:7" x14ac:dyDescent="0.2">
      <c r="A49" s="3" t="s">
        <v>43</v>
      </c>
      <c r="B49" s="3" t="s">
        <v>41</v>
      </c>
      <c r="C49" s="4">
        <v>0.873449146747589</v>
      </c>
      <c r="D49" s="4">
        <v>-0.76008689403533902</v>
      </c>
      <c r="E49" s="4">
        <v>0.70143228769302401</v>
      </c>
      <c r="F49" s="3" t="s">
        <v>9</v>
      </c>
      <c r="G49" s="4">
        <f>POWER(10,D49)</f>
        <v>0.17374531627592163</v>
      </c>
    </row>
    <row r="50" spans="1:7" x14ac:dyDescent="0.2">
      <c r="A50" s="3" t="s">
        <v>46</v>
      </c>
      <c r="B50" s="3" t="s">
        <v>47</v>
      </c>
      <c r="C50" s="4">
        <v>0.782099068164825</v>
      </c>
      <c r="D50" s="4">
        <v>-0.97729986906051602</v>
      </c>
      <c r="E50" s="4">
        <v>0.77381569147109996</v>
      </c>
      <c r="F50" s="3" t="s">
        <v>9</v>
      </c>
      <c r="G50" s="4">
        <f>POWER(10,D50)</f>
        <v>0.10536591209071594</v>
      </c>
    </row>
    <row r="51" spans="1:7" x14ac:dyDescent="0.2">
      <c r="A51" s="3" t="s">
        <v>46</v>
      </c>
      <c r="B51" s="3" t="s">
        <v>22</v>
      </c>
      <c r="C51" s="4">
        <v>0.76172137260437001</v>
      </c>
      <c r="D51" s="4">
        <v>-0.61111748218536399</v>
      </c>
      <c r="E51" s="4">
        <v>0.89212226867675803</v>
      </c>
      <c r="F51" s="3" t="s">
        <v>9</v>
      </c>
      <c r="G51" s="4">
        <f>POWER(10,D51)</f>
        <v>0.24484008286640446</v>
      </c>
    </row>
    <row r="52" spans="1:7" x14ac:dyDescent="0.2">
      <c r="A52" s="3" t="s">
        <v>46</v>
      </c>
      <c r="B52" s="3" t="s">
        <v>48</v>
      </c>
      <c r="C52" s="4">
        <v>0.77562224864959695</v>
      </c>
      <c r="D52" s="4">
        <v>-0.39439710974693298</v>
      </c>
      <c r="E52" s="4">
        <v>0.96418851613998402</v>
      </c>
      <c r="F52" s="3" t="s">
        <v>9</v>
      </c>
      <c r="G52" s="4">
        <f>POWER(10,D52)</f>
        <v>0.40327647679376227</v>
      </c>
    </row>
    <row r="53" spans="1:7" x14ac:dyDescent="0.2">
      <c r="A53" s="3" t="s">
        <v>46</v>
      </c>
      <c r="B53" s="3" t="s">
        <v>49</v>
      </c>
      <c r="C53" s="4">
        <v>0.73955267667770397</v>
      </c>
      <c r="D53" s="4">
        <v>0.22235749661922499</v>
      </c>
      <c r="E53" s="4">
        <v>0.81134092807769798</v>
      </c>
      <c r="F53" s="3" t="s">
        <v>9</v>
      </c>
      <c r="G53" s="4">
        <f>POWER(10,D53)</f>
        <v>1.6686201994347567</v>
      </c>
    </row>
    <row r="54" spans="1:7" x14ac:dyDescent="0.2">
      <c r="A54" s="3" t="s">
        <v>50</v>
      </c>
      <c r="B54" s="3" t="s">
        <v>51</v>
      </c>
      <c r="C54" s="4">
        <v>0.93163889646530196</v>
      </c>
      <c r="D54" s="4">
        <v>-0.79483258724212702</v>
      </c>
      <c r="E54" s="4">
        <v>0.48282176256179798</v>
      </c>
      <c r="F54" s="3" t="s">
        <v>9</v>
      </c>
      <c r="G54" s="4">
        <f>POWER(10,D54)</f>
        <v>0.16038635322567818</v>
      </c>
    </row>
    <row r="55" spans="1:7" x14ac:dyDescent="0.2">
      <c r="A55" s="3" t="s">
        <v>52</v>
      </c>
      <c r="B55" s="3" t="s">
        <v>20</v>
      </c>
      <c r="C55" s="4">
        <v>0.93910217285156306</v>
      </c>
      <c r="D55" s="4">
        <v>7.38550275564194E-2</v>
      </c>
      <c r="E55" s="4">
        <v>0.76928454637527499</v>
      </c>
      <c r="F55" s="3" t="s">
        <v>9</v>
      </c>
      <c r="G55" s="4">
        <f>POWER(10,D55)</f>
        <v>1.1853729911138802</v>
      </c>
    </row>
    <row r="56" spans="1:7" x14ac:dyDescent="0.2">
      <c r="A56" s="3" t="s">
        <v>52</v>
      </c>
      <c r="B56" s="3" t="s">
        <v>53</v>
      </c>
      <c r="C56" s="4">
        <v>0.93620055913925204</v>
      </c>
      <c r="D56" s="4">
        <v>-1.7124167680740401</v>
      </c>
      <c r="E56" s="4">
        <v>0.92422276735305797</v>
      </c>
      <c r="F56" s="3" t="s">
        <v>9</v>
      </c>
      <c r="G56" s="4">
        <f>POWER(10,D56)</f>
        <v>1.9390242116050563E-2</v>
      </c>
    </row>
    <row r="57" spans="1:7" x14ac:dyDescent="0.2">
      <c r="A57" s="3" t="s">
        <v>52</v>
      </c>
      <c r="B57" s="3" t="s">
        <v>22</v>
      </c>
      <c r="C57" s="4">
        <v>0.93221026659011796</v>
      </c>
      <c r="D57" s="4">
        <v>-2.3177194595336901</v>
      </c>
      <c r="E57" s="4">
        <v>0.98988801240920998</v>
      </c>
      <c r="F57" s="3" t="s">
        <v>9</v>
      </c>
      <c r="G57" s="4">
        <f>POWER(10,D57)</f>
        <v>4.8115005576688926E-3</v>
      </c>
    </row>
    <row r="58" spans="1:7" x14ac:dyDescent="0.2">
      <c r="A58" s="3" t="s">
        <v>52</v>
      </c>
      <c r="B58" s="3" t="s">
        <v>54</v>
      </c>
      <c r="C58" s="4">
        <v>0.91532784700393699</v>
      </c>
      <c r="D58" s="4">
        <v>5.7879969477653503E-2</v>
      </c>
      <c r="E58" s="4">
        <v>0.73048877716064498</v>
      </c>
      <c r="F58" s="3" t="s">
        <v>9</v>
      </c>
      <c r="G58" s="4">
        <f>POWER(10,D58)</f>
        <v>1.1425625091599561</v>
      </c>
    </row>
    <row r="59" spans="1:7" x14ac:dyDescent="0.2">
      <c r="A59" s="3" t="s">
        <v>52</v>
      </c>
      <c r="B59" s="3" t="s">
        <v>55</v>
      </c>
      <c r="C59" s="4">
        <v>0.92806857824325595</v>
      </c>
      <c r="D59" s="4">
        <v>0.44729560613632202</v>
      </c>
      <c r="E59" s="4">
        <v>0.74601173400878895</v>
      </c>
      <c r="F59" s="3" t="s">
        <v>9</v>
      </c>
      <c r="G59" s="4">
        <f>POWER(10,D59)</f>
        <v>2.8008871179783688</v>
      </c>
    </row>
    <row r="60" spans="1:7" x14ac:dyDescent="0.2">
      <c r="A60" s="3" t="s">
        <v>52</v>
      </c>
      <c r="B60" s="3" t="s">
        <v>49</v>
      </c>
      <c r="C60" s="4">
        <v>0.91963225603103604</v>
      </c>
      <c r="D60" s="4">
        <v>-0.79031169414520297</v>
      </c>
      <c r="E60" s="4">
        <v>0.78802520036697399</v>
      </c>
      <c r="F60" s="3" t="s">
        <v>9</v>
      </c>
      <c r="G60" s="4">
        <f>POWER(10,D60)</f>
        <v>0.16206465381288596</v>
      </c>
    </row>
    <row r="61" spans="1:7" x14ac:dyDescent="0.2">
      <c r="A61" s="3" t="s">
        <v>52</v>
      </c>
      <c r="B61" s="3" t="s">
        <v>27</v>
      </c>
      <c r="C61" s="4">
        <v>0.91326564550399802</v>
      </c>
      <c r="D61" s="4">
        <v>-0.76237374544143699</v>
      </c>
      <c r="E61" s="4">
        <v>0.94207143783569303</v>
      </c>
      <c r="F61" s="3" t="s">
        <v>9</v>
      </c>
      <c r="G61" s="4">
        <f>POWER(10,D61)</f>
        <v>0.17283283530394256</v>
      </c>
    </row>
    <row r="62" spans="1:7" x14ac:dyDescent="0.2">
      <c r="A62" s="3" t="s">
        <v>56</v>
      </c>
      <c r="B62" s="3" t="s">
        <v>22</v>
      </c>
      <c r="C62" s="4">
        <v>0.90705394744873102</v>
      </c>
      <c r="D62" s="4">
        <v>-1.64865279197693</v>
      </c>
      <c r="E62" s="4">
        <v>0.92079699039459195</v>
      </c>
      <c r="F62" s="3" t="s">
        <v>9</v>
      </c>
      <c r="G62" s="4">
        <f>POWER(10,D62)</f>
        <v>2.2456765708613134E-2</v>
      </c>
    </row>
    <row r="63" spans="1:7" x14ac:dyDescent="0.2">
      <c r="A63" s="3" t="s">
        <v>56</v>
      </c>
      <c r="B63" s="3" t="s">
        <v>57</v>
      </c>
      <c r="C63" s="4">
        <v>0.89453184604644798</v>
      </c>
      <c r="D63" s="4">
        <v>-0.308990448713303</v>
      </c>
      <c r="E63" s="4">
        <v>0.55126988887786899</v>
      </c>
      <c r="F63" s="3" t="s">
        <v>9</v>
      </c>
      <c r="G63" s="4">
        <f>POWER(10,D63)</f>
        <v>0.49091867263660716</v>
      </c>
    </row>
    <row r="64" spans="1:7" x14ac:dyDescent="0.2">
      <c r="A64" s="3" t="s">
        <v>56</v>
      </c>
      <c r="B64" s="3" t="s">
        <v>11</v>
      </c>
      <c r="C64" s="4">
        <v>0.87686413526535001</v>
      </c>
      <c r="D64" s="4">
        <v>-0.227092400193214</v>
      </c>
      <c r="E64" s="4">
        <v>0.72635483741760298</v>
      </c>
      <c r="F64" s="3" t="s">
        <v>9</v>
      </c>
      <c r="G64" s="4">
        <f>POWER(10,D64)</f>
        <v>0.59279918761743444</v>
      </c>
    </row>
    <row r="65" spans="1:7" x14ac:dyDescent="0.2">
      <c r="A65" s="3" t="s">
        <v>56</v>
      </c>
      <c r="B65" s="3" t="s">
        <v>54</v>
      </c>
      <c r="C65" s="4">
        <v>0.90763646364212003</v>
      </c>
      <c r="D65" s="4">
        <v>5.8808520436286899E-2</v>
      </c>
      <c r="E65" s="4">
        <v>0.79560047388076804</v>
      </c>
      <c r="F65" s="3" t="s">
        <v>9</v>
      </c>
      <c r="G65" s="4">
        <f>POWER(10,D65)</f>
        <v>1.1450079984156203</v>
      </c>
    </row>
    <row r="66" spans="1:7" x14ac:dyDescent="0.2">
      <c r="A66" s="3" t="s">
        <v>58</v>
      </c>
      <c r="B66" s="3" t="s">
        <v>59</v>
      </c>
      <c r="C66" s="4">
        <v>0.89845865964889504</v>
      </c>
      <c r="D66" s="4">
        <v>0.323905289173126</v>
      </c>
      <c r="E66" s="4">
        <v>0.62629646062850997</v>
      </c>
      <c r="F66" s="3" t="s">
        <v>9</v>
      </c>
      <c r="G66" s="4">
        <f>POWER(10,D66)</f>
        <v>2.108168350996829</v>
      </c>
    </row>
    <row r="67" spans="1:7" x14ac:dyDescent="0.2">
      <c r="A67" s="3" t="s">
        <v>60</v>
      </c>
      <c r="B67" s="3" t="s">
        <v>11</v>
      </c>
      <c r="C67" s="4">
        <v>0.894861340522766</v>
      </c>
      <c r="D67" s="4">
        <v>-0.99398750066757202</v>
      </c>
      <c r="E67" s="4">
        <v>0.84795331954956099</v>
      </c>
      <c r="F67" s="3" t="s">
        <v>9</v>
      </c>
      <c r="G67" s="4">
        <f>POWER(10,D67)</f>
        <v>0.10139405673136162</v>
      </c>
    </row>
    <row r="68" spans="1:7" x14ac:dyDescent="0.2">
      <c r="A68" s="3" t="s">
        <v>60</v>
      </c>
      <c r="B68" s="3" t="s">
        <v>33</v>
      </c>
      <c r="C68" s="4">
        <v>0.90738707780838002</v>
      </c>
      <c r="D68" s="4">
        <v>-0.33740580081939697</v>
      </c>
      <c r="E68" s="4">
        <v>0.93011361360549905</v>
      </c>
      <c r="F68" s="3" t="s">
        <v>9</v>
      </c>
      <c r="G68" s="4">
        <f>POWER(10,D68)</f>
        <v>0.45982671487860566</v>
      </c>
    </row>
    <row r="69" spans="1:7" x14ac:dyDescent="0.2">
      <c r="A69" s="3" t="s">
        <v>60</v>
      </c>
      <c r="B69" s="3" t="s">
        <v>61</v>
      </c>
      <c r="C69" s="4">
        <v>0.91612118482589699</v>
      </c>
      <c r="D69" s="4">
        <v>-1.11267018318176</v>
      </c>
      <c r="E69" s="4">
        <v>0.75949329137802102</v>
      </c>
      <c r="F69" s="3" t="s">
        <v>9</v>
      </c>
      <c r="G69" s="4">
        <f>POWER(10,D69)</f>
        <v>7.7148913963984364E-2</v>
      </c>
    </row>
    <row r="70" spans="1:7" x14ac:dyDescent="0.2">
      <c r="A70" s="3" t="s">
        <v>62</v>
      </c>
      <c r="B70" s="3" t="s">
        <v>11</v>
      </c>
      <c r="C70" s="4">
        <v>0.81598061323165905</v>
      </c>
      <c r="D70" s="4">
        <v>-0.30912011861801197</v>
      </c>
      <c r="E70" s="4">
        <v>0.71655023097991899</v>
      </c>
      <c r="F70" s="3" t="s">
        <v>9</v>
      </c>
      <c r="G70" s="4">
        <f>POWER(10,D70)</f>
        <v>0.49077211798805337</v>
      </c>
    </row>
    <row r="71" spans="1:7" x14ac:dyDescent="0.2">
      <c r="A71" s="3" t="s">
        <v>62</v>
      </c>
      <c r="B71" s="3" t="s">
        <v>61</v>
      </c>
      <c r="C71" s="4">
        <v>0.84111213684081998</v>
      </c>
      <c r="D71" s="4">
        <v>-0.15732628107070901</v>
      </c>
      <c r="E71" s="4">
        <v>0.40907388925552401</v>
      </c>
      <c r="F71" s="3" t="s">
        <v>9</v>
      </c>
      <c r="G71" s="4">
        <f>POWER(10,D71)</f>
        <v>0.69610334217757674</v>
      </c>
    </row>
    <row r="72" spans="1:7" x14ac:dyDescent="0.2">
      <c r="A72" s="3" t="s">
        <v>63</v>
      </c>
      <c r="B72" s="3" t="s">
        <v>64</v>
      </c>
      <c r="C72" s="4">
        <v>0.83372163772582997</v>
      </c>
      <c r="D72" s="4">
        <v>-1.1862494945526101</v>
      </c>
      <c r="E72" s="4">
        <v>0.827378630638123</v>
      </c>
      <c r="F72" s="3" t="s">
        <v>9</v>
      </c>
      <c r="G72" s="4">
        <f>POWER(10,D72)</f>
        <v>6.5125415250049237E-2</v>
      </c>
    </row>
    <row r="73" spans="1:7" x14ac:dyDescent="0.2">
      <c r="A73" s="3" t="s">
        <v>63</v>
      </c>
      <c r="B73" s="3" t="s">
        <v>65</v>
      </c>
      <c r="C73" s="4">
        <v>0.81803387403488204</v>
      </c>
      <c r="D73" s="4">
        <v>-2.6186089515686</v>
      </c>
      <c r="E73" s="4">
        <v>0.98876219987869296</v>
      </c>
      <c r="F73" s="3" t="s">
        <v>9</v>
      </c>
      <c r="G73" s="4">
        <f>POWER(10,D73)</f>
        <v>2.4065287168359298E-3</v>
      </c>
    </row>
    <row r="74" spans="1:7" x14ac:dyDescent="0.2">
      <c r="A74" s="3" t="s">
        <v>63</v>
      </c>
      <c r="B74" s="3" t="s">
        <v>11</v>
      </c>
      <c r="C74" s="4">
        <v>0.83086079359054599</v>
      </c>
      <c r="D74" s="4">
        <v>-1.1885890960693399</v>
      </c>
      <c r="E74" s="4">
        <v>0.95989394187927302</v>
      </c>
      <c r="F74" s="3" t="s">
        <v>9</v>
      </c>
      <c r="G74" s="4">
        <f>POWER(10,D74)</f>
        <v>6.4775519382893817E-2</v>
      </c>
    </row>
    <row r="75" spans="1:7" x14ac:dyDescent="0.2">
      <c r="A75" s="3" t="s">
        <v>66</v>
      </c>
      <c r="B75" s="3" t="s">
        <v>20</v>
      </c>
      <c r="C75" s="4">
        <v>0.81296557188034102</v>
      </c>
      <c r="D75" s="4">
        <v>-0.61922961473464999</v>
      </c>
      <c r="E75" s="4">
        <v>0.76698076725006104</v>
      </c>
      <c r="F75" s="3" t="s">
        <v>9</v>
      </c>
      <c r="G75" s="4">
        <f>POWER(10,D75)</f>
        <v>0.2403091931434127</v>
      </c>
    </row>
    <row r="76" spans="1:7" x14ac:dyDescent="0.2">
      <c r="A76" s="3" t="s">
        <v>66</v>
      </c>
      <c r="B76" s="3" t="s">
        <v>10</v>
      </c>
      <c r="C76" s="4">
        <v>0.82276195287704501</v>
      </c>
      <c r="D76" s="4">
        <v>-0.53347396850585904</v>
      </c>
      <c r="E76" s="4">
        <v>0.77738589048385598</v>
      </c>
      <c r="F76" s="3" t="s">
        <v>9</v>
      </c>
      <c r="G76" s="4">
        <f>POWER(10,D76)</f>
        <v>0.29276963514401488</v>
      </c>
    </row>
    <row r="77" spans="1:7" x14ac:dyDescent="0.2">
      <c r="A77" s="3" t="s">
        <v>66</v>
      </c>
      <c r="B77" s="3" t="s">
        <v>59</v>
      </c>
      <c r="C77" s="4">
        <v>0.84749126434326205</v>
      </c>
      <c r="D77" s="4">
        <v>-2.67574858665466</v>
      </c>
      <c r="E77" s="4">
        <v>0.87678170204162598</v>
      </c>
      <c r="F77" s="3" t="s">
        <v>9</v>
      </c>
      <c r="G77" s="4">
        <f>POWER(10,D77)</f>
        <v>2.1098491894752536E-3</v>
      </c>
    </row>
    <row r="78" spans="1:7" x14ac:dyDescent="0.2">
      <c r="A78" s="3" t="s">
        <v>67</v>
      </c>
      <c r="B78" s="3" t="s">
        <v>68</v>
      </c>
      <c r="C78" s="4">
        <v>0.96180146932601895</v>
      </c>
      <c r="D78" s="4">
        <v>3.6635923385620099</v>
      </c>
      <c r="E78" s="4">
        <v>0.35956487059593201</v>
      </c>
      <c r="F78" s="3" t="s">
        <v>9</v>
      </c>
      <c r="G78" s="4">
        <f>POWER(10,D78)</f>
        <v>4608.8475038926126</v>
      </c>
    </row>
    <row r="79" spans="1:7" x14ac:dyDescent="0.2">
      <c r="A79" s="3" t="s">
        <v>67</v>
      </c>
      <c r="B79" s="3" t="s">
        <v>69</v>
      </c>
      <c r="C79" s="4">
        <v>0.97135037183761597</v>
      </c>
      <c r="D79" s="4">
        <v>2.22018194198608</v>
      </c>
      <c r="E79" s="4">
        <v>0.330888330936432</v>
      </c>
      <c r="F79" s="3" t="s">
        <v>9</v>
      </c>
      <c r="G79" s="4">
        <f>POWER(10,D79)</f>
        <v>166.02823152958746</v>
      </c>
    </row>
    <row r="80" spans="1:7" x14ac:dyDescent="0.2">
      <c r="A80" s="3" t="s">
        <v>70</v>
      </c>
      <c r="B80" s="3" t="s">
        <v>71</v>
      </c>
      <c r="C80" s="4">
        <v>0.91505873203277599</v>
      </c>
      <c r="D80" s="4">
        <v>-0.99859935045242298</v>
      </c>
      <c r="E80" s="4">
        <v>0.70010697841644298</v>
      </c>
      <c r="F80" s="3" t="s">
        <v>9</v>
      </c>
      <c r="G80" s="4">
        <f>POWER(10,D80)</f>
        <v>0.10032303210468389</v>
      </c>
    </row>
    <row r="81" spans="1:7" x14ac:dyDescent="0.2">
      <c r="A81" s="3" t="s">
        <v>70</v>
      </c>
      <c r="B81" s="3" t="s">
        <v>72</v>
      </c>
      <c r="C81" s="4">
        <v>0.90963280200958296</v>
      </c>
      <c r="D81" s="4">
        <v>-1.17964386940002</v>
      </c>
      <c r="E81" s="4">
        <v>0.87285137176513705</v>
      </c>
      <c r="F81" s="3" t="s">
        <v>9</v>
      </c>
      <c r="G81" s="4">
        <f>POWER(10,D81)</f>
        <v>6.6123545271382783E-2</v>
      </c>
    </row>
    <row r="82" spans="1:7" x14ac:dyDescent="0.2">
      <c r="A82" s="3" t="s">
        <v>70</v>
      </c>
      <c r="B82" s="3" t="s">
        <v>57</v>
      </c>
      <c r="C82" s="4">
        <v>0.90941363573074296</v>
      </c>
      <c r="D82" s="4">
        <v>0.74575865268707298</v>
      </c>
      <c r="E82" s="4">
        <v>0.81990706920623802</v>
      </c>
      <c r="F82" s="3" t="s">
        <v>9</v>
      </c>
      <c r="G82" s="4">
        <f>POWER(10,D82)</f>
        <v>5.5687619417048788</v>
      </c>
    </row>
    <row r="83" spans="1:7" x14ac:dyDescent="0.2">
      <c r="A83" s="3" t="s">
        <v>70</v>
      </c>
      <c r="B83" s="3" t="s">
        <v>73</v>
      </c>
      <c r="C83" s="4">
        <v>0.93093997240066495</v>
      </c>
      <c r="D83" s="4">
        <v>0.13709308207035101</v>
      </c>
      <c r="E83" s="4">
        <v>0.88405668735504195</v>
      </c>
      <c r="F83" s="3" t="s">
        <v>9</v>
      </c>
      <c r="G83" s="4">
        <f>POWER(10,D83)</f>
        <v>1.3711756179036954</v>
      </c>
    </row>
    <row r="84" spans="1:7" x14ac:dyDescent="0.2">
      <c r="A84" s="3" t="s">
        <v>70</v>
      </c>
      <c r="B84" s="3" t="s">
        <v>74</v>
      </c>
      <c r="C84" s="4">
        <v>0.91171151399612405</v>
      </c>
      <c r="D84" s="4">
        <v>-0.766779005527496</v>
      </c>
      <c r="E84" s="4">
        <v>0.87699979543685902</v>
      </c>
      <c r="F84" s="3" t="s">
        <v>9</v>
      </c>
      <c r="G84" s="4">
        <f>POWER(10,D84)</f>
        <v>0.17108856924826396</v>
      </c>
    </row>
    <row r="85" spans="1:7" x14ac:dyDescent="0.2">
      <c r="A85" s="3" t="s">
        <v>70</v>
      </c>
      <c r="B85" s="3" t="s">
        <v>49</v>
      </c>
      <c r="C85" s="4">
        <v>0.90384912490844704</v>
      </c>
      <c r="D85" s="4">
        <v>-0.82833927869796797</v>
      </c>
      <c r="E85" s="4">
        <v>0.82878625392913796</v>
      </c>
      <c r="F85" s="3" t="s">
        <v>9</v>
      </c>
      <c r="G85" s="4">
        <f>POWER(10,D85)</f>
        <v>0.14847752558254129</v>
      </c>
    </row>
    <row r="86" spans="1:7" x14ac:dyDescent="0.2">
      <c r="A86" s="3" t="s">
        <v>75</v>
      </c>
      <c r="B86" s="3" t="s">
        <v>71</v>
      </c>
      <c r="C86" s="4">
        <v>0.85689371824264504</v>
      </c>
      <c r="D86" s="4">
        <v>-0.59629189968109098</v>
      </c>
      <c r="E86" s="4">
        <v>0.55045038461685203</v>
      </c>
      <c r="F86" s="3" t="s">
        <v>9</v>
      </c>
      <c r="G86" s="4">
        <f>POWER(10,D86)</f>
        <v>0.25334252825660675</v>
      </c>
    </row>
    <row r="87" spans="1:7" x14ac:dyDescent="0.2">
      <c r="A87" s="3" t="s">
        <v>75</v>
      </c>
      <c r="B87" s="3" t="s">
        <v>59</v>
      </c>
      <c r="C87" s="4">
        <v>0.84788560867309604</v>
      </c>
      <c r="D87" s="4">
        <v>-1.7697161436080899</v>
      </c>
      <c r="E87" s="4">
        <v>0.82976227998733498</v>
      </c>
      <c r="F87" s="3" t="s">
        <v>9</v>
      </c>
      <c r="G87" s="4">
        <f>POWER(10,D87)</f>
        <v>1.6993539932727991E-2</v>
      </c>
    </row>
    <row r="88" spans="1:7" x14ac:dyDescent="0.2">
      <c r="A88" s="3" t="s">
        <v>75</v>
      </c>
      <c r="B88" s="3" t="s">
        <v>49</v>
      </c>
      <c r="C88" s="4">
        <v>0.84435588121414196</v>
      </c>
      <c r="D88" s="4">
        <v>-1.1964262723922701</v>
      </c>
      <c r="E88" s="4">
        <v>0.88314455747604403</v>
      </c>
      <c r="F88" s="3" t="s">
        <v>9</v>
      </c>
      <c r="G88" s="4">
        <f>POWER(10,D88)</f>
        <v>6.3617079462695986E-2</v>
      </c>
    </row>
    <row r="89" spans="1:7" x14ac:dyDescent="0.2">
      <c r="A89" s="3" t="s">
        <v>76</v>
      </c>
      <c r="B89" s="3" t="s">
        <v>45</v>
      </c>
      <c r="C89" s="4">
        <v>0.71641057729721103</v>
      </c>
      <c r="D89" s="4">
        <v>-0.59656780958175704</v>
      </c>
      <c r="E89" s="4">
        <v>0.29991209506988498</v>
      </c>
      <c r="F89" s="3" t="s">
        <v>9</v>
      </c>
      <c r="G89" s="4">
        <f>POWER(10,D89)</f>
        <v>0.25318162933763627</v>
      </c>
    </row>
    <row r="90" spans="1:7" x14ac:dyDescent="0.2">
      <c r="A90" s="3" t="s">
        <v>77</v>
      </c>
      <c r="B90" s="3" t="s">
        <v>11</v>
      </c>
      <c r="C90" s="4">
        <v>0.87644380331039395</v>
      </c>
      <c r="D90" s="4">
        <v>1.2291740179061901</v>
      </c>
      <c r="E90" s="4">
        <v>0.25302141904830899</v>
      </c>
      <c r="F90" s="3" t="s">
        <v>9</v>
      </c>
      <c r="G90" s="4">
        <f>POWER(10,D90)</f>
        <v>16.95016842451059</v>
      </c>
    </row>
    <row r="91" spans="1:7" x14ac:dyDescent="0.2">
      <c r="A91" s="3" t="s">
        <v>78</v>
      </c>
      <c r="B91" s="3" t="s">
        <v>79</v>
      </c>
      <c r="C91" s="4">
        <v>0.95659667253494296</v>
      </c>
      <c r="D91" s="4">
        <v>-2.2096424102783199</v>
      </c>
      <c r="E91" s="4">
        <v>0.993233501911163</v>
      </c>
      <c r="F91" s="3" t="s">
        <v>9</v>
      </c>
      <c r="G91" s="4">
        <f>POWER(10,D91)</f>
        <v>6.1710290339377907E-3</v>
      </c>
    </row>
    <row r="92" spans="1:7" x14ac:dyDescent="0.2">
      <c r="A92" s="3" t="s">
        <v>78</v>
      </c>
      <c r="B92" s="3" t="s">
        <v>80</v>
      </c>
      <c r="C92" s="4">
        <v>0.94332641363143899</v>
      </c>
      <c r="D92" s="4">
        <v>-2.1809267997741699</v>
      </c>
      <c r="E92" s="4">
        <v>0.93539297580719005</v>
      </c>
      <c r="F92" s="3" t="s">
        <v>9</v>
      </c>
      <c r="G92" s="4">
        <f>POWER(10,D92)</f>
        <v>6.5928500820254749E-3</v>
      </c>
    </row>
    <row r="93" spans="1:7" x14ac:dyDescent="0.2">
      <c r="A93" s="3" t="s">
        <v>78</v>
      </c>
      <c r="B93" s="3" t="s">
        <v>81</v>
      </c>
      <c r="C93" s="4">
        <v>0.942479908466339</v>
      </c>
      <c r="D93" s="4">
        <v>-1.9151984453201301</v>
      </c>
      <c r="E93" s="4">
        <v>0.91110002994537398</v>
      </c>
      <c r="F93" s="3" t="s">
        <v>9</v>
      </c>
      <c r="G93" s="4">
        <f>POWER(10,D93)</f>
        <v>1.2156304069222823E-2</v>
      </c>
    </row>
    <row r="94" spans="1:7" x14ac:dyDescent="0.2">
      <c r="A94" s="3" t="s">
        <v>78</v>
      </c>
      <c r="B94" s="3" t="s">
        <v>82</v>
      </c>
      <c r="C94" s="4">
        <v>0.95535224676132202</v>
      </c>
      <c r="D94" s="4">
        <v>-1.8061615228653001</v>
      </c>
      <c r="E94" s="4">
        <v>0.95100414752960205</v>
      </c>
      <c r="F94" s="3" t="s">
        <v>9</v>
      </c>
      <c r="G94" s="4">
        <f>POWER(10,D94)</f>
        <v>1.5625663846454994E-2</v>
      </c>
    </row>
    <row r="95" spans="1:7" x14ac:dyDescent="0.2">
      <c r="A95" s="3" t="s">
        <v>78</v>
      </c>
      <c r="B95" s="3" t="s">
        <v>83</v>
      </c>
      <c r="C95" s="4">
        <v>0.94592934846878096</v>
      </c>
      <c r="D95" s="4">
        <v>-0.74290621280670199</v>
      </c>
      <c r="E95" s="4">
        <v>0.79399704933166504</v>
      </c>
      <c r="F95" s="3" t="s">
        <v>9</v>
      </c>
      <c r="G95" s="4">
        <f>POWER(10,D95)</f>
        <v>0.18075644328151202</v>
      </c>
    </row>
    <row r="96" spans="1:7" x14ac:dyDescent="0.2">
      <c r="A96" s="3" t="s">
        <v>78</v>
      </c>
      <c r="B96" s="3" t="s">
        <v>84</v>
      </c>
      <c r="C96" s="4">
        <v>0.938831746578217</v>
      </c>
      <c r="D96" s="4">
        <v>-1.5141633749008201</v>
      </c>
      <c r="E96" s="4">
        <v>0.88702410459518399</v>
      </c>
      <c r="F96" s="3" t="s">
        <v>9</v>
      </c>
      <c r="G96" s="4">
        <f>POWER(10,D96)</f>
        <v>3.0608117867963726E-2</v>
      </c>
    </row>
    <row r="97" spans="1:7" x14ac:dyDescent="0.2">
      <c r="A97" s="3" t="s">
        <v>78</v>
      </c>
      <c r="B97" s="3" t="s">
        <v>85</v>
      </c>
      <c r="C97" s="4">
        <v>0.95105421543121305</v>
      </c>
      <c r="D97" s="4">
        <v>-0.86211925745010398</v>
      </c>
      <c r="E97" s="4">
        <v>0.82431912422180198</v>
      </c>
      <c r="F97" s="3" t="s">
        <v>9</v>
      </c>
      <c r="G97" s="4">
        <f>POWER(10,D97)</f>
        <v>0.13736647143000302</v>
      </c>
    </row>
    <row r="98" spans="1:7" x14ac:dyDescent="0.2">
      <c r="A98" s="3" t="s">
        <v>86</v>
      </c>
      <c r="B98" s="3" t="s">
        <v>87</v>
      </c>
      <c r="C98" s="4">
        <v>0.934062600135803</v>
      </c>
      <c r="D98" s="4">
        <v>0.59904658794403098</v>
      </c>
      <c r="E98" s="4">
        <v>0.76748245954513605</v>
      </c>
      <c r="F98" s="3" t="s">
        <v>9</v>
      </c>
      <c r="G98" s="4">
        <f>POWER(10,D98)</f>
        <v>3.9723415956693886</v>
      </c>
    </row>
    <row r="99" spans="1:7" x14ac:dyDescent="0.2">
      <c r="A99" s="3" t="s">
        <v>88</v>
      </c>
      <c r="B99" s="3" t="s">
        <v>20</v>
      </c>
      <c r="C99" s="4">
        <v>0.922329902648926</v>
      </c>
      <c r="D99" s="4">
        <v>-0.86643767356872603</v>
      </c>
      <c r="E99" s="4">
        <v>0.95921504497528098</v>
      </c>
      <c r="F99" s="3" t="s">
        <v>9</v>
      </c>
      <c r="G99" s="4">
        <f>POWER(10,D99)</f>
        <v>0.13600733360036787</v>
      </c>
    </row>
    <row r="100" spans="1:7" x14ac:dyDescent="0.2">
      <c r="A100" s="3" t="s">
        <v>88</v>
      </c>
      <c r="B100" s="3" t="s">
        <v>89</v>
      </c>
      <c r="C100" s="4">
        <v>0.91229659318923995</v>
      </c>
      <c r="D100" s="4">
        <v>0.77960962057113703</v>
      </c>
      <c r="E100" s="4">
        <v>0.54049783945083596</v>
      </c>
      <c r="F100" s="3" t="s">
        <v>9</v>
      </c>
      <c r="G100" s="4">
        <f>POWER(10,D100)</f>
        <v>6.020181995544883</v>
      </c>
    </row>
    <row r="101" spans="1:7" x14ac:dyDescent="0.2">
      <c r="A101" s="3" t="s">
        <v>88</v>
      </c>
      <c r="B101" s="3" t="s">
        <v>22</v>
      </c>
      <c r="C101" s="4">
        <v>0.91392564773559604</v>
      </c>
      <c r="D101" s="4">
        <v>-0.54123848676681496</v>
      </c>
      <c r="E101" s="4">
        <v>0.75780975818634</v>
      </c>
      <c r="F101" s="3" t="s">
        <v>9</v>
      </c>
      <c r="G101" s="4">
        <f>POWER(10,D101)</f>
        <v>0.28758187652274114</v>
      </c>
    </row>
    <row r="102" spans="1:7" x14ac:dyDescent="0.2">
      <c r="A102" s="3" t="s">
        <v>88</v>
      </c>
      <c r="B102" s="3" t="s">
        <v>90</v>
      </c>
      <c r="C102" s="4">
        <v>0.92715567350387595</v>
      </c>
      <c r="D102" s="4">
        <v>1.4456038475036599</v>
      </c>
      <c r="E102" s="4">
        <v>0.88360577821731601</v>
      </c>
      <c r="F102" s="3" t="s">
        <v>9</v>
      </c>
      <c r="G102" s="4">
        <f>POWER(10,D102)</f>
        <v>27.899977144592892</v>
      </c>
    </row>
    <row r="103" spans="1:7" x14ac:dyDescent="0.2">
      <c r="A103" s="3" t="s">
        <v>88</v>
      </c>
      <c r="B103" s="3" t="s">
        <v>91</v>
      </c>
      <c r="C103" s="4">
        <v>0.90172809362411499</v>
      </c>
      <c r="D103" s="4">
        <v>0.96130770444869995</v>
      </c>
      <c r="E103" s="4">
        <v>0.24906520545482599</v>
      </c>
      <c r="F103" s="3" t="s">
        <v>9</v>
      </c>
      <c r="G103" s="4">
        <f>POWER(10,D103)</f>
        <v>9.1476113452613248</v>
      </c>
    </row>
    <row r="104" spans="1:7" x14ac:dyDescent="0.2">
      <c r="A104" s="3" t="s">
        <v>88</v>
      </c>
      <c r="B104" s="3" t="s">
        <v>49</v>
      </c>
      <c r="C104" s="4">
        <v>0.89974927902221702</v>
      </c>
      <c r="D104" s="4">
        <v>-0.175122410058975</v>
      </c>
      <c r="E104" s="4">
        <v>0.88807487487793002</v>
      </c>
      <c r="F104" s="3" t="s">
        <v>9</v>
      </c>
      <c r="G104" s="4">
        <f>POWER(10,D104)</f>
        <v>0.6681555649804366</v>
      </c>
    </row>
    <row r="105" spans="1:7" x14ac:dyDescent="0.2">
      <c r="A105" s="3" t="s">
        <v>88</v>
      </c>
      <c r="B105" s="3" t="s">
        <v>92</v>
      </c>
      <c r="C105" s="4">
        <v>0.91332286596298196</v>
      </c>
      <c r="D105" s="4">
        <v>-0.351173996925354</v>
      </c>
      <c r="E105" s="4">
        <v>0.81012082099914595</v>
      </c>
      <c r="F105" s="3" t="s">
        <v>9</v>
      </c>
      <c r="G105" s="4">
        <f>POWER(10,D105)</f>
        <v>0.44547773522543249</v>
      </c>
    </row>
    <row r="106" spans="1:7" x14ac:dyDescent="0.2">
      <c r="A106" s="3" t="s">
        <v>93</v>
      </c>
      <c r="B106" s="3" t="s">
        <v>10</v>
      </c>
      <c r="C106" s="4">
        <v>0.86038893461227395</v>
      </c>
      <c r="D106" s="4">
        <v>-0.35916733741760298</v>
      </c>
      <c r="E106" s="4">
        <v>0.74513614177703902</v>
      </c>
      <c r="F106" s="3" t="s">
        <v>9</v>
      </c>
      <c r="G106" s="4">
        <f>POWER(10,D106)</f>
        <v>0.43735355658320824</v>
      </c>
    </row>
    <row r="107" spans="1:7" x14ac:dyDescent="0.2">
      <c r="A107" s="3" t="s">
        <v>93</v>
      </c>
      <c r="B107" s="3" t="s">
        <v>33</v>
      </c>
      <c r="C107" s="4">
        <v>0.86312532424926802</v>
      </c>
      <c r="D107" s="4">
        <v>-7.6905548572540297E-2</v>
      </c>
      <c r="E107" s="4">
        <v>0.89625787734985396</v>
      </c>
      <c r="F107" s="3" t="s">
        <v>9</v>
      </c>
      <c r="G107" s="4">
        <f>POWER(10,D107)</f>
        <v>0.83771144985459256</v>
      </c>
    </row>
    <row r="108" spans="1:7" x14ac:dyDescent="0.2">
      <c r="A108" s="3" t="s">
        <v>94</v>
      </c>
      <c r="B108" s="3" t="s">
        <v>11</v>
      </c>
      <c r="C108" s="4">
        <v>0.94013226032257102</v>
      </c>
      <c r="D108" s="4">
        <v>0.29422736167907698</v>
      </c>
      <c r="E108" s="4">
        <v>0.127998247742653</v>
      </c>
      <c r="F108" s="3" t="s">
        <v>9</v>
      </c>
      <c r="G108" s="4">
        <f>POWER(10,D108)</f>
        <v>1.968916786494687</v>
      </c>
    </row>
    <row r="109" spans="1:7" x14ac:dyDescent="0.2">
      <c r="A109" s="3" t="s">
        <v>94</v>
      </c>
      <c r="B109" s="3" t="s">
        <v>95</v>
      </c>
      <c r="C109" s="4">
        <v>0.94050830602645896</v>
      </c>
      <c r="D109" s="4">
        <v>-1.5795646905898999</v>
      </c>
      <c r="E109" s="4">
        <v>0.49814295768737799</v>
      </c>
      <c r="F109" s="3" t="s">
        <v>9</v>
      </c>
      <c r="G109" s="4">
        <f>POWER(10,D109)</f>
        <v>2.6329057284440887E-2</v>
      </c>
    </row>
    <row r="110" spans="1:7" x14ac:dyDescent="0.2">
      <c r="A110" s="3" t="s">
        <v>96</v>
      </c>
      <c r="B110" s="3" t="s">
        <v>97</v>
      </c>
      <c r="C110" s="4">
        <v>0.97070544958114602</v>
      </c>
      <c r="D110" s="4">
        <v>-1.8572078943252599</v>
      </c>
      <c r="E110" s="4">
        <v>0.94123804569244396</v>
      </c>
      <c r="F110" s="3" t="s">
        <v>9</v>
      </c>
      <c r="G110" s="4">
        <f>POWER(10,D110)</f>
        <v>1.3892874279355368E-2</v>
      </c>
    </row>
    <row r="111" spans="1:7" x14ac:dyDescent="0.2">
      <c r="A111" s="3" t="s">
        <v>96</v>
      </c>
      <c r="B111" s="3" t="s">
        <v>81</v>
      </c>
      <c r="C111" s="4">
        <v>0.96699762344360396</v>
      </c>
      <c r="D111" s="4">
        <v>-1.80766046047211</v>
      </c>
      <c r="E111" s="4">
        <v>0.91947340965270996</v>
      </c>
      <c r="F111" s="3" t="s">
        <v>9</v>
      </c>
      <c r="G111" s="4">
        <f>POWER(10,D111)</f>
        <v>1.5571825902215133E-2</v>
      </c>
    </row>
    <row r="112" spans="1:7" x14ac:dyDescent="0.2">
      <c r="A112" s="3" t="s">
        <v>96</v>
      </c>
      <c r="B112" s="3" t="s">
        <v>36</v>
      </c>
      <c r="C112" s="4">
        <v>0.96889841556549094</v>
      </c>
      <c r="D112" s="4">
        <v>-2.06863212585449</v>
      </c>
      <c r="E112" s="4">
        <v>0.96585232019424405</v>
      </c>
      <c r="F112" s="3" t="s">
        <v>9</v>
      </c>
      <c r="G112" s="4">
        <f>POWER(10,D112)</f>
        <v>8.5382304844165025E-3</v>
      </c>
    </row>
    <row r="113" spans="1:7" x14ac:dyDescent="0.2">
      <c r="A113" s="3" t="s">
        <v>96</v>
      </c>
      <c r="B113" s="3" t="s">
        <v>98</v>
      </c>
      <c r="C113" s="4">
        <v>0.97017425298690796</v>
      </c>
      <c r="D113" s="4">
        <v>-7.8780882060527802E-2</v>
      </c>
      <c r="E113" s="4">
        <v>0.78877907991409302</v>
      </c>
      <c r="F113" s="3" t="s">
        <v>9</v>
      </c>
      <c r="G113" s="4">
        <f>POWER(10,D113)</f>
        <v>0.83410191433599634</v>
      </c>
    </row>
    <row r="114" spans="1:7" x14ac:dyDescent="0.2">
      <c r="A114" s="3" t="s">
        <v>96</v>
      </c>
      <c r="B114" s="3" t="s">
        <v>37</v>
      </c>
      <c r="C114" s="4">
        <v>0.96850365400314298</v>
      </c>
      <c r="D114" s="4">
        <v>-1.7276147603988601</v>
      </c>
      <c r="E114" s="4">
        <v>0.92644780874252297</v>
      </c>
      <c r="F114" s="3" t="s">
        <v>9</v>
      </c>
      <c r="G114" s="4">
        <f>POWER(10,D114)</f>
        <v>1.8723422594697538E-2</v>
      </c>
    </row>
    <row r="115" spans="1:7" x14ac:dyDescent="0.2">
      <c r="A115" s="3" t="s">
        <v>96</v>
      </c>
      <c r="B115" s="3" t="s">
        <v>99</v>
      </c>
      <c r="C115" s="4">
        <v>0.97226077318191495</v>
      </c>
      <c r="D115" s="4">
        <v>-1.2490935325622601</v>
      </c>
      <c r="E115" s="4">
        <v>0.889900803565979</v>
      </c>
      <c r="F115" s="3" t="s">
        <v>9</v>
      </c>
      <c r="G115" s="4">
        <f>POWER(10,D115)</f>
        <v>5.6351628012389444E-2</v>
      </c>
    </row>
    <row r="116" spans="1:7" x14ac:dyDescent="0.2">
      <c r="A116" s="3" t="s">
        <v>96</v>
      </c>
      <c r="B116" s="3" t="s">
        <v>100</v>
      </c>
      <c r="C116" s="4">
        <v>0.97304266691207897</v>
      </c>
      <c r="D116" s="4">
        <v>-1.4716149568557699</v>
      </c>
      <c r="E116" s="4">
        <v>0.94219321012497004</v>
      </c>
      <c r="F116" s="3" t="s">
        <v>9</v>
      </c>
      <c r="G116" s="4">
        <f>POWER(10,D116)</f>
        <v>3.3758647836827312E-2</v>
      </c>
    </row>
    <row r="117" spans="1:7" x14ac:dyDescent="0.2">
      <c r="A117" s="3" t="s">
        <v>96</v>
      </c>
      <c r="B117" s="3" t="s">
        <v>101</v>
      </c>
      <c r="C117" s="4">
        <v>0.97057527303695701</v>
      </c>
      <c r="D117" s="4">
        <v>-1.61536800861359</v>
      </c>
      <c r="E117" s="4">
        <v>0.92443686723709095</v>
      </c>
      <c r="F117" s="3" t="s">
        <v>9</v>
      </c>
      <c r="G117" s="4">
        <f>POWER(10,D117)</f>
        <v>2.4245547266539508E-2</v>
      </c>
    </row>
    <row r="118" spans="1:7" x14ac:dyDescent="0.2">
      <c r="A118" s="3" t="s">
        <v>96</v>
      </c>
      <c r="B118" s="3" t="s">
        <v>102</v>
      </c>
      <c r="C118" s="4">
        <v>0.97351503372192405</v>
      </c>
      <c r="D118" s="4">
        <v>-1.3109836578369101</v>
      </c>
      <c r="E118" s="4">
        <v>0.85797011852264404</v>
      </c>
      <c r="F118" s="3" t="s">
        <v>9</v>
      </c>
      <c r="G118" s="4">
        <f>POWER(10,D118)</f>
        <v>4.8867074729647318E-2</v>
      </c>
    </row>
    <row r="119" spans="1:7" x14ac:dyDescent="0.2">
      <c r="A119" s="3" t="s">
        <v>103</v>
      </c>
      <c r="B119" s="3" t="s">
        <v>104</v>
      </c>
      <c r="C119" s="4">
        <v>0.85334539413452204</v>
      </c>
      <c r="D119" s="4">
        <v>0.96625334024429299</v>
      </c>
      <c r="E119" s="4">
        <v>0.61188590526580799</v>
      </c>
      <c r="F119" s="3" t="s">
        <v>9</v>
      </c>
      <c r="G119" s="4">
        <f>POWER(10,D119)</f>
        <v>9.2523774239143624</v>
      </c>
    </row>
    <row r="120" spans="1:7" x14ac:dyDescent="0.2">
      <c r="A120" s="3" t="s">
        <v>103</v>
      </c>
      <c r="B120" s="3" t="s">
        <v>105</v>
      </c>
      <c r="C120" s="4">
        <v>0.87807768583297696</v>
      </c>
      <c r="D120" s="4">
        <v>7.7897943556308802E-2</v>
      </c>
      <c r="E120" s="4">
        <v>0.63685804605483998</v>
      </c>
      <c r="F120" s="3" t="s">
        <v>9</v>
      </c>
      <c r="G120" s="4">
        <f>POWER(10,D120)</f>
        <v>1.1964593379272332</v>
      </c>
    </row>
    <row r="121" spans="1:7" x14ac:dyDescent="0.2">
      <c r="A121" s="3" t="s">
        <v>106</v>
      </c>
      <c r="B121" s="3" t="s">
        <v>20</v>
      </c>
      <c r="C121" s="4">
        <v>0.90347921848297097</v>
      </c>
      <c r="D121" s="4">
        <v>-8.0983221530914307E-2</v>
      </c>
      <c r="E121" s="4">
        <v>0.83841425180435203</v>
      </c>
      <c r="F121" s="3" t="s">
        <v>9</v>
      </c>
      <c r="G121" s="4">
        <f>POWER(10,D121)</f>
        <v>0.8298828284661357</v>
      </c>
    </row>
    <row r="122" spans="1:7" x14ac:dyDescent="0.2">
      <c r="A122" s="3" t="s">
        <v>107</v>
      </c>
      <c r="B122" s="3" t="s">
        <v>108</v>
      </c>
      <c r="C122" s="4">
        <v>0.93114709854125999</v>
      </c>
      <c r="D122" s="4">
        <v>-0.37304940819740301</v>
      </c>
      <c r="E122" s="4">
        <v>0.99867707490920998</v>
      </c>
      <c r="F122" s="3" t="s">
        <v>9</v>
      </c>
      <c r="G122" s="4">
        <f>POWER(10,D122)</f>
        <v>0.42359477238012239</v>
      </c>
    </row>
    <row r="123" spans="1:7" x14ac:dyDescent="0.2">
      <c r="A123" s="3" t="s">
        <v>107</v>
      </c>
      <c r="B123" s="3" t="s">
        <v>109</v>
      </c>
      <c r="C123" s="4">
        <v>0.90971004962921098</v>
      </c>
      <c r="D123" s="4">
        <v>-8.2574829459190396E-2</v>
      </c>
      <c r="E123" s="4">
        <v>0.82106077671051003</v>
      </c>
      <c r="F123" s="3" t="s">
        <v>9</v>
      </c>
      <c r="G123" s="4">
        <f>POWER(10,D123)</f>
        <v>0.82684702956049771</v>
      </c>
    </row>
    <row r="124" spans="1:7" x14ac:dyDescent="0.2">
      <c r="A124" s="3" t="s">
        <v>107</v>
      </c>
      <c r="B124" s="3" t="s">
        <v>16</v>
      </c>
      <c r="C124" s="4">
        <v>0.85273772478103604</v>
      </c>
      <c r="D124" s="4">
        <v>8.6395382881164606E-2</v>
      </c>
      <c r="E124" s="4">
        <v>0.24337173998355899</v>
      </c>
      <c r="F124" s="3" t="s">
        <v>9</v>
      </c>
      <c r="G124" s="4">
        <f>POWER(10,D124)</f>
        <v>1.220099875704187</v>
      </c>
    </row>
    <row r="125" spans="1:7" x14ac:dyDescent="0.2">
      <c r="A125" s="3" t="s">
        <v>107</v>
      </c>
      <c r="B125" s="3" t="s">
        <v>49</v>
      </c>
      <c r="C125" s="4">
        <v>0.87974339723587003</v>
      </c>
      <c r="D125" s="4">
        <v>-0.19531570374965701</v>
      </c>
      <c r="E125" s="4">
        <v>0.61749935150146495</v>
      </c>
      <c r="F125" s="3" t="s">
        <v>9</v>
      </c>
      <c r="G125" s="4">
        <f>POWER(10,D125)</f>
        <v>0.63779967888345679</v>
      </c>
    </row>
    <row r="126" spans="1:7" x14ac:dyDescent="0.2">
      <c r="A126" s="3" t="s">
        <v>110</v>
      </c>
      <c r="B126" s="3" t="s">
        <v>72</v>
      </c>
      <c r="C126" s="4">
        <v>0.96517592668533303</v>
      </c>
      <c r="D126" s="4">
        <v>-0.81145453453063998</v>
      </c>
      <c r="E126" s="4">
        <v>0.79162955284118697</v>
      </c>
      <c r="F126" s="3" t="s">
        <v>9</v>
      </c>
      <c r="G126" s="4">
        <f>POWER(10,D126)</f>
        <v>0.15436380154154353</v>
      </c>
    </row>
    <row r="127" spans="1:7" x14ac:dyDescent="0.2">
      <c r="A127" s="3" t="s">
        <v>110</v>
      </c>
      <c r="B127" s="3" t="s">
        <v>40</v>
      </c>
      <c r="C127" s="4">
        <v>0.975108623504639</v>
      </c>
      <c r="D127" s="4">
        <v>0.25107291340827897</v>
      </c>
      <c r="E127" s="4">
        <v>0.856492400169373</v>
      </c>
      <c r="F127" s="3" t="s">
        <v>9</v>
      </c>
      <c r="G127" s="4">
        <f>POWER(10,D127)</f>
        <v>1.7826780349409905</v>
      </c>
    </row>
    <row r="128" spans="1:7" x14ac:dyDescent="0.2">
      <c r="A128" s="3" t="s">
        <v>110</v>
      </c>
      <c r="B128" s="3" t="s">
        <v>111</v>
      </c>
      <c r="C128" s="4">
        <v>0.978546142578125</v>
      </c>
      <c r="D128" s="4">
        <v>0.19264629483223</v>
      </c>
      <c r="E128" s="4">
        <v>0.99392408132553101</v>
      </c>
      <c r="F128" s="3" t="s">
        <v>9</v>
      </c>
      <c r="G128" s="4">
        <f>POWER(10,D128)</f>
        <v>1.5582828638303305</v>
      </c>
    </row>
    <row r="129" spans="1:7" x14ac:dyDescent="0.2">
      <c r="A129" s="3" t="s">
        <v>112</v>
      </c>
      <c r="B129" s="3" t="s">
        <v>113</v>
      </c>
      <c r="C129" s="4">
        <v>0.91466283798217796</v>
      </c>
      <c r="D129" s="4">
        <v>-0.20693369209766399</v>
      </c>
      <c r="E129" s="4">
        <v>0.35316222906112699</v>
      </c>
      <c r="F129" s="3" t="s">
        <v>9</v>
      </c>
      <c r="G129" s="4">
        <f>POWER(10,D129)</f>
        <v>0.62096383549500533</v>
      </c>
    </row>
    <row r="131" spans="1:7" x14ac:dyDescent="0.2">
      <c r="A131" s="3" t="s">
        <v>774</v>
      </c>
      <c r="C131" s="20">
        <f>AVERAGE(C2:C129)</f>
        <v>0.88871733831758259</v>
      </c>
    </row>
    <row r="132" spans="1:7" x14ac:dyDescent="0.2">
      <c r="A132" s="3" t="s">
        <v>775</v>
      </c>
      <c r="C132">
        <f>STDEV(C2:C129)</f>
        <v>7.1180439434870249E-2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DFC4-B42A-C748-9497-05FD3F39193A}">
  <dimension ref="A1:F132"/>
  <sheetViews>
    <sheetView workbookViewId="0">
      <selection activeCell="D2" sqref="D2"/>
    </sheetView>
  </sheetViews>
  <sheetFormatPr baseColWidth="10" defaultRowHeight="16" x14ac:dyDescent="0.2"/>
  <sheetData>
    <row r="1" spans="1:6" x14ac:dyDescent="0.2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114</v>
      </c>
    </row>
    <row r="2" spans="1:6" x14ac:dyDescent="0.2">
      <c r="A2" s="5" t="s">
        <v>7</v>
      </c>
      <c r="B2" s="5" t="s">
        <v>8</v>
      </c>
      <c r="C2" s="6">
        <v>0.76311069726944003</v>
      </c>
      <c r="D2" s="6">
        <v>-0.75479602813720703</v>
      </c>
      <c r="E2" s="6">
        <v>0.91074883937835704</v>
      </c>
      <c r="F2" s="6">
        <f>EXP(D2)</f>
        <v>0.47010649344910505</v>
      </c>
    </row>
    <row r="3" spans="1:6" x14ac:dyDescent="0.2">
      <c r="A3" s="5" t="s">
        <v>7</v>
      </c>
      <c r="B3" s="5" t="s">
        <v>10</v>
      </c>
      <c r="C3" s="6">
        <v>0.77878826856613204</v>
      </c>
      <c r="D3" s="6">
        <v>-1.3247209787368801</v>
      </c>
      <c r="E3" s="6">
        <v>0.86779201030731201</v>
      </c>
      <c r="F3" s="6">
        <f t="shared" ref="F3:F66" si="0">EXP(D3)</f>
        <v>0.26587713411403596</v>
      </c>
    </row>
    <row r="4" spans="1:6" x14ac:dyDescent="0.2">
      <c r="A4" s="5" t="s">
        <v>7</v>
      </c>
      <c r="B4" s="5" t="s">
        <v>11</v>
      </c>
      <c r="C4" s="6">
        <v>0.74377852678298995</v>
      </c>
      <c r="D4" s="6">
        <v>7.6932229101657895E-2</v>
      </c>
      <c r="E4" s="6">
        <v>0.68900209665298495</v>
      </c>
      <c r="F4" s="6">
        <f t="shared" si="0"/>
        <v>1.0799688834510397</v>
      </c>
    </row>
    <row r="5" spans="1:6" x14ac:dyDescent="0.2">
      <c r="A5" s="5" t="s">
        <v>7</v>
      </c>
      <c r="B5" s="5" t="s">
        <v>12</v>
      </c>
      <c r="C5" s="6">
        <v>0.75478279590606701</v>
      </c>
      <c r="D5" s="6">
        <v>-1.71131014823914</v>
      </c>
      <c r="E5" s="6">
        <v>0.85281723737716697</v>
      </c>
      <c r="F5" s="6">
        <f t="shared" si="0"/>
        <v>0.18062898677665443</v>
      </c>
    </row>
    <row r="6" spans="1:6" x14ac:dyDescent="0.2">
      <c r="A6" s="5" t="s">
        <v>7</v>
      </c>
      <c r="B6" s="5" t="s">
        <v>13</v>
      </c>
      <c r="C6" s="6">
        <v>0.77383589744567904</v>
      </c>
      <c r="D6" s="6">
        <v>-0.25517329573631298</v>
      </c>
      <c r="E6" s="6">
        <v>0.86779165267944303</v>
      </c>
      <c r="F6" s="6">
        <f t="shared" si="0"/>
        <v>0.77478221987123197</v>
      </c>
    </row>
    <row r="7" spans="1:6" x14ac:dyDescent="0.2">
      <c r="A7" s="5" t="s">
        <v>7</v>
      </c>
      <c r="B7" s="5" t="s">
        <v>14</v>
      </c>
      <c r="C7" s="6">
        <v>0.74685370922088601</v>
      </c>
      <c r="D7" s="6">
        <v>-1.63219082355499</v>
      </c>
      <c r="E7" s="6">
        <v>0.91682100296020497</v>
      </c>
      <c r="F7" s="6">
        <f t="shared" si="0"/>
        <v>0.19550079685996155</v>
      </c>
    </row>
    <row r="8" spans="1:6" x14ac:dyDescent="0.2">
      <c r="A8" s="5" t="s">
        <v>7</v>
      </c>
      <c r="B8" s="5" t="s">
        <v>15</v>
      </c>
      <c r="C8" s="6">
        <v>0.73461568355560303</v>
      </c>
      <c r="D8" s="6">
        <v>0.29772275686263999</v>
      </c>
      <c r="E8" s="6">
        <v>0.78111058473587003</v>
      </c>
      <c r="F8" s="6">
        <f t="shared" si="0"/>
        <v>1.3467883482881249</v>
      </c>
    </row>
    <row r="9" spans="1:6" x14ac:dyDescent="0.2">
      <c r="A9" s="5" t="s">
        <v>7</v>
      </c>
      <c r="B9" s="5" t="s">
        <v>16</v>
      </c>
      <c r="C9" s="6">
        <v>0.74224615097045898</v>
      </c>
      <c r="D9" s="6">
        <v>-1.3461102247238199</v>
      </c>
      <c r="E9" s="6">
        <v>0.805228590965271</v>
      </c>
      <c r="F9" s="6">
        <f t="shared" si="0"/>
        <v>0.26025061074584954</v>
      </c>
    </row>
    <row r="10" spans="1:6" x14ac:dyDescent="0.2">
      <c r="A10" s="5" t="s">
        <v>7</v>
      </c>
      <c r="B10" s="5" t="s">
        <v>17</v>
      </c>
      <c r="C10" s="6">
        <v>0.75607711076736495</v>
      </c>
      <c r="D10" s="6">
        <v>5.8555528521537798E-3</v>
      </c>
      <c r="E10" s="6">
        <v>0.73450088500976596</v>
      </c>
      <c r="F10" s="6">
        <f t="shared" si="0"/>
        <v>1.0058727301128421</v>
      </c>
    </row>
    <row r="11" spans="1:6" x14ac:dyDescent="0.2">
      <c r="A11" s="5" t="s">
        <v>18</v>
      </c>
      <c r="B11" s="5" t="s">
        <v>19</v>
      </c>
      <c r="C11" s="6">
        <v>0.73124027252197299</v>
      </c>
      <c r="D11" s="6">
        <v>-0.87404161691665705</v>
      </c>
      <c r="E11" s="6">
        <v>0.93141192197799705</v>
      </c>
      <c r="F11" s="6">
        <f t="shared" si="0"/>
        <v>0.41726172469092354</v>
      </c>
    </row>
    <row r="12" spans="1:6" x14ac:dyDescent="0.2">
      <c r="A12" s="5" t="s">
        <v>18</v>
      </c>
      <c r="B12" s="5" t="s">
        <v>20</v>
      </c>
      <c r="C12" s="6">
        <v>0.74259173870086703</v>
      </c>
      <c r="D12" s="6">
        <v>-0.41105884313583402</v>
      </c>
      <c r="E12" s="6">
        <v>0.84994965791702304</v>
      </c>
      <c r="F12" s="6">
        <f t="shared" si="0"/>
        <v>0.66294792051843354</v>
      </c>
    </row>
    <row r="13" spans="1:6" x14ac:dyDescent="0.2">
      <c r="A13" s="5" t="s">
        <v>18</v>
      </c>
      <c r="B13" s="5" t="s">
        <v>21</v>
      </c>
      <c r="C13" s="6">
        <v>0.71426051855087302</v>
      </c>
      <c r="D13" s="6">
        <v>-1.3979126214981099</v>
      </c>
      <c r="E13" s="6">
        <v>0.84050381183624301</v>
      </c>
      <c r="F13" s="6">
        <f t="shared" si="0"/>
        <v>0.24711224274662405</v>
      </c>
    </row>
    <row r="14" spans="1:6" x14ac:dyDescent="0.2">
      <c r="A14" s="5" t="s">
        <v>18</v>
      </c>
      <c r="B14" s="5" t="s">
        <v>22</v>
      </c>
      <c r="C14" s="6">
        <v>0.72059577703475997</v>
      </c>
      <c r="D14" s="6">
        <v>-1.5275475978851301</v>
      </c>
      <c r="E14" s="6">
        <v>0.95360654592514005</v>
      </c>
      <c r="F14" s="6">
        <f t="shared" si="0"/>
        <v>0.2170673515297481</v>
      </c>
    </row>
    <row r="15" spans="1:6" x14ac:dyDescent="0.2">
      <c r="A15" s="5" t="s">
        <v>18</v>
      </c>
      <c r="B15" s="5" t="s">
        <v>23</v>
      </c>
      <c r="C15" s="6">
        <v>0.72830086946487405</v>
      </c>
      <c r="D15" s="6">
        <v>0.25697016716003401</v>
      </c>
      <c r="E15" s="6">
        <v>0.231202661991119</v>
      </c>
      <c r="F15" s="6">
        <f t="shared" si="0"/>
        <v>1.2930065521264165</v>
      </c>
    </row>
    <row r="16" spans="1:6" x14ac:dyDescent="0.2">
      <c r="A16" s="5" t="s">
        <v>18</v>
      </c>
      <c r="B16" s="5" t="s">
        <v>24</v>
      </c>
      <c r="C16" s="6">
        <v>0.72669607400894198</v>
      </c>
      <c r="D16" s="6">
        <v>-1.2702674865722701</v>
      </c>
      <c r="E16" s="6">
        <v>0.71844410896301303</v>
      </c>
      <c r="F16" s="6">
        <f t="shared" si="0"/>
        <v>0.2807565131362097</v>
      </c>
    </row>
    <row r="17" spans="1:6" x14ac:dyDescent="0.2">
      <c r="A17" s="5" t="s">
        <v>18</v>
      </c>
      <c r="B17" s="5" t="s">
        <v>14</v>
      </c>
      <c r="C17" s="6">
        <v>0.72662460803985596</v>
      </c>
      <c r="D17" s="6">
        <v>-1.5428668260574301</v>
      </c>
      <c r="E17" s="6">
        <v>0.93683093786239602</v>
      </c>
      <c r="F17" s="6">
        <f t="shared" si="0"/>
        <v>0.21376738822401412</v>
      </c>
    </row>
    <row r="18" spans="1:6" x14ac:dyDescent="0.2">
      <c r="A18" s="5" t="s">
        <v>25</v>
      </c>
      <c r="B18" s="5" t="s">
        <v>26</v>
      </c>
      <c r="C18" s="6">
        <v>0.72633433341980003</v>
      </c>
      <c r="D18" s="6">
        <v>-0.35507702827453602</v>
      </c>
      <c r="E18" s="6">
        <v>0.97624546289444003</v>
      </c>
      <c r="F18" s="6">
        <f t="shared" si="0"/>
        <v>0.70111943510819363</v>
      </c>
    </row>
    <row r="19" spans="1:6" x14ac:dyDescent="0.2">
      <c r="A19" s="5" t="s">
        <v>25</v>
      </c>
      <c r="B19" s="5" t="s">
        <v>19</v>
      </c>
      <c r="C19" s="6">
        <v>0.74382597208023105</v>
      </c>
      <c r="D19" s="6">
        <v>3.73185873031616E-2</v>
      </c>
      <c r="E19" s="6">
        <v>0.92784553766250599</v>
      </c>
      <c r="F19" s="6">
        <f t="shared" si="0"/>
        <v>1.0380236693265839</v>
      </c>
    </row>
    <row r="20" spans="1:6" x14ac:dyDescent="0.2">
      <c r="A20" s="5" t="s">
        <v>25</v>
      </c>
      <c r="B20" s="5" t="s">
        <v>20</v>
      </c>
      <c r="C20" s="6">
        <v>0.74263072013855003</v>
      </c>
      <c r="D20" s="6">
        <v>0.26011979579925498</v>
      </c>
      <c r="E20" s="6">
        <v>0.89960575103759799</v>
      </c>
      <c r="F20" s="6">
        <f t="shared" si="0"/>
        <v>1.297085462748597</v>
      </c>
    </row>
    <row r="21" spans="1:6" x14ac:dyDescent="0.2">
      <c r="A21" s="5" t="s">
        <v>25</v>
      </c>
      <c r="B21" s="5" t="s">
        <v>27</v>
      </c>
      <c r="C21" s="6">
        <v>0.72384852170944203</v>
      </c>
      <c r="D21" s="6">
        <v>-0.36982059478759799</v>
      </c>
      <c r="E21" s="6">
        <v>0.89055651426315297</v>
      </c>
      <c r="F21" s="6">
        <f t="shared" si="0"/>
        <v>0.69085826309338794</v>
      </c>
    </row>
    <row r="22" spans="1:6" x14ac:dyDescent="0.2">
      <c r="A22" s="5" t="s">
        <v>115</v>
      </c>
      <c r="B22" s="5" t="s">
        <v>26</v>
      </c>
      <c r="C22" s="6">
        <v>0.77431440353393599</v>
      </c>
      <c r="D22" s="6">
        <v>-0.78698641061782804</v>
      </c>
      <c r="E22" s="6">
        <v>0.92959815263748202</v>
      </c>
      <c r="F22" s="6">
        <f t="shared" si="0"/>
        <v>0.45521456005621036</v>
      </c>
    </row>
    <row r="23" spans="1:6" x14ac:dyDescent="0.2">
      <c r="A23" s="5" t="s">
        <v>115</v>
      </c>
      <c r="B23" s="5" t="s">
        <v>19</v>
      </c>
      <c r="C23" s="6">
        <v>0.750768542289734</v>
      </c>
      <c r="D23" s="6">
        <v>-0.260996043682098</v>
      </c>
      <c r="E23" s="6">
        <v>0.94875466823577903</v>
      </c>
      <c r="F23" s="6">
        <f t="shared" si="0"/>
        <v>0.7702839670972994</v>
      </c>
    </row>
    <row r="24" spans="1:6" x14ac:dyDescent="0.2">
      <c r="A24" s="5" t="s">
        <v>115</v>
      </c>
      <c r="B24" s="5" t="s">
        <v>72</v>
      </c>
      <c r="C24" s="6">
        <v>0.76105672121047996</v>
      </c>
      <c r="D24" s="6">
        <v>0.12621214985847501</v>
      </c>
      <c r="E24" s="6">
        <v>0.68322992324829102</v>
      </c>
      <c r="F24" s="6">
        <f t="shared" si="0"/>
        <v>1.1345228316119398</v>
      </c>
    </row>
    <row r="25" spans="1:6" x14ac:dyDescent="0.2">
      <c r="A25" s="5" t="s">
        <v>115</v>
      </c>
      <c r="B25" s="5" t="s">
        <v>20</v>
      </c>
      <c r="C25" s="6">
        <v>0.75528728961944602</v>
      </c>
      <c r="D25" s="6">
        <v>-0.50446069240570102</v>
      </c>
      <c r="E25" s="6">
        <v>0.82176142930984497</v>
      </c>
      <c r="F25" s="6">
        <f t="shared" si="0"/>
        <v>0.60383113834845714</v>
      </c>
    </row>
    <row r="26" spans="1:6" x14ac:dyDescent="0.2">
      <c r="A26" s="5" t="s">
        <v>115</v>
      </c>
      <c r="B26" s="5" t="s">
        <v>116</v>
      </c>
      <c r="C26" s="6">
        <v>0.75704747438430797</v>
      </c>
      <c r="D26" s="6">
        <v>0.16375477612018599</v>
      </c>
      <c r="E26" s="6">
        <v>0.95177781581878695</v>
      </c>
      <c r="F26" s="6">
        <f t="shared" si="0"/>
        <v>1.1779254242300394</v>
      </c>
    </row>
    <row r="27" spans="1:6" x14ac:dyDescent="0.2">
      <c r="A27" s="5" t="s">
        <v>115</v>
      </c>
      <c r="B27" s="5" t="s">
        <v>21</v>
      </c>
      <c r="C27" s="6">
        <v>0.75359904766082797</v>
      </c>
      <c r="D27" s="6">
        <v>-1.0387814044952399</v>
      </c>
      <c r="E27" s="6">
        <v>0.72196632623672496</v>
      </c>
      <c r="F27" s="6">
        <f t="shared" si="0"/>
        <v>0.35388566278766892</v>
      </c>
    </row>
    <row r="28" spans="1:6" x14ac:dyDescent="0.2">
      <c r="A28" s="5" t="s">
        <v>115</v>
      </c>
      <c r="B28" s="5" t="s">
        <v>22</v>
      </c>
      <c r="C28" s="6">
        <v>0.74597114324569702</v>
      </c>
      <c r="D28" s="6">
        <v>-1.3579059839248699</v>
      </c>
      <c r="E28" s="6">
        <v>0.92070764303207397</v>
      </c>
      <c r="F28" s="6">
        <f t="shared" si="0"/>
        <v>0.25719879185568362</v>
      </c>
    </row>
    <row r="29" spans="1:6" x14ac:dyDescent="0.2">
      <c r="A29" s="5" t="s">
        <v>115</v>
      </c>
      <c r="B29" s="5" t="s">
        <v>27</v>
      </c>
      <c r="C29" s="6">
        <v>0.76305145025253296</v>
      </c>
      <c r="D29" s="6">
        <v>-0.77668285369873102</v>
      </c>
      <c r="E29" s="6">
        <v>0.91165906190872203</v>
      </c>
      <c r="F29" s="6">
        <f t="shared" si="0"/>
        <v>0.45992913592707058</v>
      </c>
    </row>
    <row r="30" spans="1:6" x14ac:dyDescent="0.2">
      <c r="A30" s="5" t="s">
        <v>115</v>
      </c>
      <c r="B30" s="5" t="s">
        <v>117</v>
      </c>
      <c r="C30" s="6">
        <v>0.75821590423583995</v>
      </c>
      <c r="D30" s="6">
        <v>0.67121827602386497</v>
      </c>
      <c r="E30" s="6">
        <v>0.64139884710311901</v>
      </c>
      <c r="F30" s="6">
        <f t="shared" si="0"/>
        <v>1.9566195719337878</v>
      </c>
    </row>
    <row r="31" spans="1:6" x14ac:dyDescent="0.2">
      <c r="A31" s="5" t="s">
        <v>28</v>
      </c>
      <c r="B31" s="5" t="s">
        <v>29</v>
      </c>
      <c r="C31" s="6">
        <v>0.75868040323257502</v>
      </c>
      <c r="D31" s="6">
        <v>-1.5103623867034901</v>
      </c>
      <c r="E31" s="6">
        <v>0.92083853483200095</v>
      </c>
      <c r="F31" s="6">
        <f t="shared" si="0"/>
        <v>0.22082993762434994</v>
      </c>
    </row>
    <row r="32" spans="1:6" x14ac:dyDescent="0.2">
      <c r="A32" s="5" t="s">
        <v>30</v>
      </c>
      <c r="B32" s="5" t="s">
        <v>31</v>
      </c>
      <c r="C32" s="6">
        <v>0.81683027744293202</v>
      </c>
      <c r="D32" s="6">
        <v>-0.48175847530365001</v>
      </c>
      <c r="E32" s="6">
        <v>0.93133366107940696</v>
      </c>
      <c r="F32" s="6">
        <f t="shared" si="0"/>
        <v>0.61769623264475515</v>
      </c>
    </row>
    <row r="33" spans="1:6" x14ac:dyDescent="0.2">
      <c r="A33" s="5" t="s">
        <v>30</v>
      </c>
      <c r="B33" s="5" t="s">
        <v>32</v>
      </c>
      <c r="C33" s="6">
        <v>0.82592695951461803</v>
      </c>
      <c r="D33" s="6">
        <v>-1.6215568780898999</v>
      </c>
      <c r="E33" s="6">
        <v>0.95014297962188698</v>
      </c>
      <c r="F33" s="6">
        <f t="shared" si="0"/>
        <v>0.19759083465087196</v>
      </c>
    </row>
    <row r="34" spans="1:6" x14ac:dyDescent="0.2">
      <c r="A34" s="5" t="s">
        <v>30</v>
      </c>
      <c r="B34" s="5" t="s">
        <v>14</v>
      </c>
      <c r="C34" s="6">
        <v>0.81525897979736295</v>
      </c>
      <c r="D34" s="6">
        <v>-0.940973341464996</v>
      </c>
      <c r="E34" s="6">
        <v>0.87174957990646396</v>
      </c>
      <c r="F34" s="6">
        <f t="shared" si="0"/>
        <v>0.39024780606812126</v>
      </c>
    </row>
    <row r="35" spans="1:6" x14ac:dyDescent="0.2">
      <c r="A35" s="5" t="s">
        <v>30</v>
      </c>
      <c r="B35" s="5" t="s">
        <v>33</v>
      </c>
      <c r="C35" s="6">
        <v>0.80606669187545799</v>
      </c>
      <c r="D35" s="6">
        <v>-0.84541225433349598</v>
      </c>
      <c r="E35" s="6">
        <v>0.92592304944992099</v>
      </c>
      <c r="F35" s="6">
        <f t="shared" si="0"/>
        <v>0.42938030782573344</v>
      </c>
    </row>
    <row r="36" spans="1:6" x14ac:dyDescent="0.2">
      <c r="A36" s="5" t="s">
        <v>30</v>
      </c>
      <c r="B36" s="5" t="s">
        <v>29</v>
      </c>
      <c r="C36" s="6">
        <v>0.81973487138748202</v>
      </c>
      <c r="D36" s="6">
        <v>-1.6722780466079701</v>
      </c>
      <c r="E36" s="6">
        <v>0.94865679740905795</v>
      </c>
      <c r="F36" s="6">
        <f t="shared" si="0"/>
        <v>0.1878187181324423</v>
      </c>
    </row>
    <row r="37" spans="1:6" x14ac:dyDescent="0.2">
      <c r="A37" s="5" t="s">
        <v>34</v>
      </c>
      <c r="B37" s="5" t="s">
        <v>35</v>
      </c>
      <c r="C37" s="6">
        <v>0.57952570915222201</v>
      </c>
      <c r="D37" s="6">
        <v>-1.2059308290481601</v>
      </c>
      <c r="E37" s="6">
        <v>0.71898669004440297</v>
      </c>
      <c r="F37" s="6">
        <f t="shared" si="0"/>
        <v>0.29941316728729866</v>
      </c>
    </row>
    <row r="38" spans="1:6" x14ac:dyDescent="0.2">
      <c r="A38" s="5" t="s">
        <v>34</v>
      </c>
      <c r="B38" s="5" t="s">
        <v>36</v>
      </c>
      <c r="C38" s="6">
        <v>0.58468359708786</v>
      </c>
      <c r="D38" s="6">
        <v>-2.2095413208007799</v>
      </c>
      <c r="E38" s="6">
        <v>0.95996773242950395</v>
      </c>
      <c r="F38" s="6">
        <f t="shared" si="0"/>
        <v>0.10975097746266463</v>
      </c>
    </row>
    <row r="39" spans="1:6" x14ac:dyDescent="0.2">
      <c r="A39" s="5" t="s">
        <v>34</v>
      </c>
      <c r="B39" s="5" t="s">
        <v>37</v>
      </c>
      <c r="C39" s="6">
        <v>0.58347481489181496</v>
      </c>
      <c r="D39" s="6">
        <v>-1.40800297260284</v>
      </c>
      <c r="E39" s="6">
        <v>0.87317329645156905</v>
      </c>
      <c r="F39" s="6">
        <f t="shared" si="0"/>
        <v>0.24463133113912694</v>
      </c>
    </row>
    <row r="40" spans="1:6" x14ac:dyDescent="0.2">
      <c r="A40" s="5" t="s">
        <v>34</v>
      </c>
      <c r="B40" s="5" t="s">
        <v>38</v>
      </c>
      <c r="C40" s="6">
        <v>0.57600635290145896</v>
      </c>
      <c r="D40" s="6">
        <v>-0.129057347774506</v>
      </c>
      <c r="E40" s="6">
        <v>0.80703145265579201</v>
      </c>
      <c r="F40" s="6">
        <f t="shared" si="0"/>
        <v>0.87892355979015313</v>
      </c>
    </row>
    <row r="41" spans="1:6" x14ac:dyDescent="0.2">
      <c r="A41" s="5" t="s">
        <v>39</v>
      </c>
      <c r="B41" s="5" t="s">
        <v>8</v>
      </c>
      <c r="C41" s="6">
        <v>0.73827266693115201</v>
      </c>
      <c r="D41" s="6">
        <v>-0.49892163276672402</v>
      </c>
      <c r="E41" s="6">
        <v>0.98781836032867398</v>
      </c>
      <c r="F41" s="6">
        <f t="shared" si="0"/>
        <v>0.60718507528878496</v>
      </c>
    </row>
    <row r="42" spans="1:6" x14ac:dyDescent="0.2">
      <c r="A42" s="5" t="s">
        <v>39</v>
      </c>
      <c r="B42" s="5" t="s">
        <v>40</v>
      </c>
      <c r="C42" s="6">
        <v>0.746831774711609</v>
      </c>
      <c r="D42" s="6">
        <v>-1.7881664037704501</v>
      </c>
      <c r="E42" s="6">
        <v>0.98738735914230402</v>
      </c>
      <c r="F42" s="6">
        <f t="shared" si="0"/>
        <v>0.16726658804256608</v>
      </c>
    </row>
    <row r="43" spans="1:6" x14ac:dyDescent="0.2">
      <c r="A43" s="5" t="s">
        <v>39</v>
      </c>
      <c r="B43" s="5" t="s">
        <v>41</v>
      </c>
      <c r="C43" s="6">
        <v>0.70340102910995495</v>
      </c>
      <c r="D43" s="6">
        <v>-0.126167193055153</v>
      </c>
      <c r="E43" s="6">
        <v>0.57825136184692405</v>
      </c>
      <c r="F43" s="6">
        <f t="shared" si="0"/>
        <v>0.88146745922514547</v>
      </c>
    </row>
    <row r="44" spans="1:6" x14ac:dyDescent="0.2">
      <c r="A44" s="5" t="s">
        <v>39</v>
      </c>
      <c r="B44" s="5" t="s">
        <v>42</v>
      </c>
      <c r="C44" s="6">
        <v>0.74613761901855502</v>
      </c>
      <c r="D44" s="6">
        <v>-0.14752562344074299</v>
      </c>
      <c r="E44" s="6">
        <v>0.59171831607818604</v>
      </c>
      <c r="F44" s="6">
        <f t="shared" si="0"/>
        <v>0.86284032910007613</v>
      </c>
    </row>
    <row r="45" spans="1:6" x14ac:dyDescent="0.2">
      <c r="A45" s="5" t="s">
        <v>43</v>
      </c>
      <c r="B45" s="5" t="s">
        <v>8</v>
      </c>
      <c r="C45" s="6">
        <v>0.75796663761138905</v>
      </c>
      <c r="D45" s="6">
        <v>-0.67094963788986195</v>
      </c>
      <c r="E45" s="6">
        <v>0.98938179016113303</v>
      </c>
      <c r="F45" s="6">
        <f t="shared" si="0"/>
        <v>0.51122287059198801</v>
      </c>
    </row>
    <row r="46" spans="1:6" x14ac:dyDescent="0.2">
      <c r="A46" s="5" t="s">
        <v>43</v>
      </c>
      <c r="B46" s="5" t="s">
        <v>40</v>
      </c>
      <c r="C46" s="6">
        <v>0.75696003437042203</v>
      </c>
      <c r="D46" s="6">
        <v>-1.7003043889999401</v>
      </c>
      <c r="E46" s="6">
        <v>0.99471008777618397</v>
      </c>
      <c r="F46" s="6">
        <f t="shared" si="0"/>
        <v>0.18262792565974162</v>
      </c>
    </row>
    <row r="47" spans="1:6" x14ac:dyDescent="0.2">
      <c r="A47" s="5" t="s">
        <v>43</v>
      </c>
      <c r="B47" s="5" t="s">
        <v>44</v>
      </c>
      <c r="C47" s="6">
        <v>0.73703676462173495</v>
      </c>
      <c r="D47" s="6">
        <v>-2.2961778640747101</v>
      </c>
      <c r="E47" s="6">
        <v>0.91167300939559903</v>
      </c>
      <c r="F47" s="6">
        <f t="shared" si="0"/>
        <v>0.10064277991197416</v>
      </c>
    </row>
    <row r="48" spans="1:6" x14ac:dyDescent="0.2">
      <c r="A48" s="5" t="s">
        <v>43</v>
      </c>
      <c r="B48" s="5" t="s">
        <v>45</v>
      </c>
      <c r="C48" s="6">
        <v>0.74758672714233398</v>
      </c>
      <c r="D48" s="6">
        <v>-0.79971230030059803</v>
      </c>
      <c r="E48" s="6">
        <v>0.89510631561279297</v>
      </c>
      <c r="F48" s="6">
        <f t="shared" si="0"/>
        <v>0.44945825452264432</v>
      </c>
    </row>
    <row r="49" spans="1:6" x14ac:dyDescent="0.2">
      <c r="A49" s="5" t="s">
        <v>43</v>
      </c>
      <c r="B49" s="5" t="s">
        <v>41</v>
      </c>
      <c r="C49" s="6">
        <v>0.714186310768127</v>
      </c>
      <c r="D49" s="6">
        <v>-0.17219781875610399</v>
      </c>
      <c r="E49" s="6">
        <v>0.62817919254303001</v>
      </c>
      <c r="F49" s="6">
        <f t="shared" si="0"/>
        <v>0.84181263036898601</v>
      </c>
    </row>
    <row r="50" spans="1:6" x14ac:dyDescent="0.2">
      <c r="A50" s="5" t="s">
        <v>46</v>
      </c>
      <c r="B50" s="5" t="s">
        <v>47</v>
      </c>
      <c r="C50" s="6">
        <v>0.76407814025878895</v>
      </c>
      <c r="D50" s="6">
        <v>-0.79914397001266502</v>
      </c>
      <c r="E50" s="6">
        <v>0.793842613697052</v>
      </c>
      <c r="F50" s="6">
        <f t="shared" si="0"/>
        <v>0.44971376786295864</v>
      </c>
    </row>
    <row r="51" spans="1:6" x14ac:dyDescent="0.2">
      <c r="A51" s="5" t="s">
        <v>46</v>
      </c>
      <c r="B51" s="5" t="s">
        <v>22</v>
      </c>
      <c r="C51" s="6">
        <v>0.75868767499923695</v>
      </c>
      <c r="D51" s="6">
        <v>-4.7823734581470503E-2</v>
      </c>
      <c r="E51" s="6">
        <v>0.84072411060333296</v>
      </c>
      <c r="F51" s="6">
        <f t="shared" si="0"/>
        <v>0.95330180641096263</v>
      </c>
    </row>
    <row r="52" spans="1:6" x14ac:dyDescent="0.2">
      <c r="A52" s="5" t="s">
        <v>46</v>
      </c>
      <c r="B52" s="5" t="s">
        <v>48</v>
      </c>
      <c r="C52" s="6">
        <v>0.75820159912109397</v>
      </c>
      <c r="D52" s="6">
        <v>-0.32619926333427401</v>
      </c>
      <c r="E52" s="6">
        <v>0.96101415157318104</v>
      </c>
      <c r="F52" s="6">
        <f t="shared" si="0"/>
        <v>0.72166137245237394</v>
      </c>
    </row>
    <row r="53" spans="1:6" x14ac:dyDescent="0.2">
      <c r="A53" s="5" t="s">
        <v>46</v>
      </c>
      <c r="B53" s="5" t="s">
        <v>49</v>
      </c>
      <c r="C53" s="6">
        <v>0.74340295791625999</v>
      </c>
      <c r="D53" s="6">
        <v>-0.368202775716782</v>
      </c>
      <c r="E53" s="6">
        <v>0.79878330230712902</v>
      </c>
      <c r="F53" s="6">
        <f t="shared" si="0"/>
        <v>0.6919768513593888</v>
      </c>
    </row>
    <row r="54" spans="1:6" x14ac:dyDescent="0.2">
      <c r="A54" s="5" t="s">
        <v>50</v>
      </c>
      <c r="B54" s="5" t="s">
        <v>51</v>
      </c>
      <c r="C54" s="6">
        <v>0.75057357549667403</v>
      </c>
      <c r="D54" s="6">
        <v>-0.94221699237823497</v>
      </c>
      <c r="E54" s="6">
        <v>0.46091851592063898</v>
      </c>
      <c r="F54" s="6">
        <f t="shared" si="0"/>
        <v>0.38976277569446377</v>
      </c>
    </row>
    <row r="55" spans="1:6" x14ac:dyDescent="0.2">
      <c r="A55" s="5" t="s">
        <v>52</v>
      </c>
      <c r="B55" s="5" t="s">
        <v>20</v>
      </c>
      <c r="C55" s="6">
        <v>0.89844971895217896</v>
      </c>
      <c r="D55" s="6">
        <v>-4.8874523490667302E-2</v>
      </c>
      <c r="E55" s="6">
        <v>0.79040336608886697</v>
      </c>
      <c r="F55" s="6">
        <f t="shared" si="0"/>
        <v>0.952300613558964</v>
      </c>
    </row>
    <row r="56" spans="1:6" x14ac:dyDescent="0.2">
      <c r="A56" s="5" t="s">
        <v>52</v>
      </c>
      <c r="B56" s="5" t="s">
        <v>53</v>
      </c>
      <c r="C56" s="6">
        <v>0.87593239545822099</v>
      </c>
      <c r="D56" s="6">
        <v>-1.99657094478607</v>
      </c>
      <c r="E56" s="6">
        <v>0.959489226341248</v>
      </c>
      <c r="F56" s="6">
        <f t="shared" si="0"/>
        <v>0.13580015196999085</v>
      </c>
    </row>
    <row r="57" spans="1:6" x14ac:dyDescent="0.2">
      <c r="A57" s="5" t="s">
        <v>52</v>
      </c>
      <c r="B57" s="5" t="s">
        <v>22</v>
      </c>
      <c r="C57" s="6">
        <v>0.87498992681503296</v>
      </c>
      <c r="D57" s="6">
        <v>-2.19926977157593</v>
      </c>
      <c r="E57" s="6">
        <v>0.98033583164215099</v>
      </c>
      <c r="F57" s="6">
        <f t="shared" si="0"/>
        <v>0.11088409952721973</v>
      </c>
    </row>
    <row r="58" spans="1:6" x14ac:dyDescent="0.2">
      <c r="A58" s="5" t="s">
        <v>52</v>
      </c>
      <c r="B58" s="5" t="s">
        <v>54</v>
      </c>
      <c r="C58" s="6">
        <v>0.88429558277130105</v>
      </c>
      <c r="D58" s="6">
        <v>7.6472356915473896E-2</v>
      </c>
      <c r="E58" s="6">
        <v>0.74439674615859996</v>
      </c>
      <c r="F58" s="6">
        <f t="shared" si="0"/>
        <v>1.0794723499793135</v>
      </c>
    </row>
    <row r="59" spans="1:6" x14ac:dyDescent="0.2">
      <c r="A59" s="5" t="s">
        <v>52</v>
      </c>
      <c r="B59" s="5" t="s">
        <v>55</v>
      </c>
      <c r="C59" s="6">
        <v>0.89174121618270896</v>
      </c>
      <c r="D59" s="6">
        <v>0.71080565452575695</v>
      </c>
      <c r="E59" s="6">
        <v>0.70688444375991799</v>
      </c>
      <c r="F59" s="6">
        <f t="shared" si="0"/>
        <v>2.0356306131976636</v>
      </c>
    </row>
    <row r="60" spans="1:6" x14ac:dyDescent="0.2">
      <c r="A60" s="5" t="s">
        <v>52</v>
      </c>
      <c r="B60" s="5" t="s">
        <v>49</v>
      </c>
      <c r="C60" s="6">
        <v>0.86364859342575095</v>
      </c>
      <c r="D60" s="6">
        <v>-0.79992896318435702</v>
      </c>
      <c r="E60" s="6">
        <v>0.76492720842361495</v>
      </c>
      <c r="F60" s="6">
        <f t="shared" si="0"/>
        <v>0.44936088414974396</v>
      </c>
    </row>
    <row r="61" spans="1:6" x14ac:dyDescent="0.2">
      <c r="A61" s="5" t="s">
        <v>52</v>
      </c>
      <c r="B61" s="5" t="s">
        <v>27</v>
      </c>
      <c r="C61" s="6">
        <v>0.87322980165481601</v>
      </c>
      <c r="D61" s="6">
        <v>-0.87056958675384499</v>
      </c>
      <c r="E61" s="6">
        <v>0.94117933511733998</v>
      </c>
      <c r="F61" s="6">
        <f t="shared" si="0"/>
        <v>0.41871298794181427</v>
      </c>
    </row>
    <row r="62" spans="1:6" x14ac:dyDescent="0.2">
      <c r="A62" s="5" t="s">
        <v>56</v>
      </c>
      <c r="B62" s="5" t="s">
        <v>22</v>
      </c>
      <c r="C62" s="6">
        <v>0.80133289098739602</v>
      </c>
      <c r="D62" s="6">
        <v>-1.6688082218170199</v>
      </c>
      <c r="E62" s="6">
        <v>0.92302131652831998</v>
      </c>
      <c r="F62" s="6">
        <f t="shared" si="0"/>
        <v>0.18847154812467962</v>
      </c>
    </row>
    <row r="63" spans="1:6" x14ac:dyDescent="0.2">
      <c r="A63" s="5" t="s">
        <v>56</v>
      </c>
      <c r="B63" s="5" t="s">
        <v>57</v>
      </c>
      <c r="C63" s="6">
        <v>0.76873940229415905</v>
      </c>
      <c r="D63" s="6">
        <v>-0.100903958082199</v>
      </c>
      <c r="E63" s="6">
        <v>0.485592931509018</v>
      </c>
      <c r="F63" s="6">
        <f t="shared" si="0"/>
        <v>0.90401985251700134</v>
      </c>
    </row>
    <row r="64" spans="1:6" x14ac:dyDescent="0.2">
      <c r="A64" s="5" t="s">
        <v>56</v>
      </c>
      <c r="B64" s="5" t="s">
        <v>11</v>
      </c>
      <c r="C64" s="6">
        <v>0.78694689273834195</v>
      </c>
      <c r="D64" s="6">
        <v>-0.587543725967407</v>
      </c>
      <c r="E64" s="6">
        <v>0.73410719633102395</v>
      </c>
      <c r="F64" s="6">
        <f t="shared" si="0"/>
        <v>0.55569053802598045</v>
      </c>
    </row>
    <row r="65" spans="1:6" x14ac:dyDescent="0.2">
      <c r="A65" s="5" t="s">
        <v>56</v>
      </c>
      <c r="B65" s="5" t="s">
        <v>54</v>
      </c>
      <c r="C65" s="6">
        <v>0.78958767652511597</v>
      </c>
      <c r="D65" s="6">
        <v>-1.8184920772910101E-2</v>
      </c>
      <c r="E65" s="6">
        <v>0.77087885141372703</v>
      </c>
      <c r="F65" s="6">
        <f t="shared" si="0"/>
        <v>0.98197942717287801</v>
      </c>
    </row>
    <row r="66" spans="1:6" x14ac:dyDescent="0.2">
      <c r="A66" s="5" t="s">
        <v>58</v>
      </c>
      <c r="B66" s="5" t="s">
        <v>59</v>
      </c>
      <c r="C66" s="6">
        <v>0.79768490791320801</v>
      </c>
      <c r="D66" s="6">
        <v>0.196927189826965</v>
      </c>
      <c r="E66" s="6">
        <v>0.63304668664932295</v>
      </c>
      <c r="F66" s="6">
        <f t="shared" si="0"/>
        <v>1.2176553797793401</v>
      </c>
    </row>
    <row r="67" spans="1:6" x14ac:dyDescent="0.2">
      <c r="A67" s="5" t="s">
        <v>60</v>
      </c>
      <c r="B67" s="5" t="s">
        <v>11</v>
      </c>
      <c r="C67" s="6">
        <v>0.70299685001373302</v>
      </c>
      <c r="D67" s="6">
        <v>-0.75570082664489802</v>
      </c>
      <c r="E67" s="6">
        <v>0.85977506637573198</v>
      </c>
      <c r="F67" s="6">
        <f t="shared" ref="F67:F129" si="1">EXP(D67)</f>
        <v>0.4696813341661239</v>
      </c>
    </row>
    <row r="68" spans="1:6" x14ac:dyDescent="0.2">
      <c r="A68" s="5" t="s">
        <v>60</v>
      </c>
      <c r="B68" s="5" t="s">
        <v>33</v>
      </c>
      <c r="C68" s="6">
        <v>0.69557106494903598</v>
      </c>
      <c r="D68" s="6">
        <v>-0.24250601232051899</v>
      </c>
      <c r="E68" s="6">
        <v>0.95428818464279197</v>
      </c>
      <c r="F68" s="6">
        <f t="shared" si="1"/>
        <v>0.78465902994295433</v>
      </c>
    </row>
    <row r="69" spans="1:6" x14ac:dyDescent="0.2">
      <c r="A69" s="5" t="s">
        <v>60</v>
      </c>
      <c r="B69" s="5" t="s">
        <v>61</v>
      </c>
      <c r="C69" s="6">
        <v>0.71189880371093806</v>
      </c>
      <c r="D69" s="6">
        <v>-1.1863530874252299</v>
      </c>
      <c r="E69" s="6">
        <v>0.76071983575820901</v>
      </c>
      <c r="F69" s="6">
        <f t="shared" si="1"/>
        <v>0.30533275794874615</v>
      </c>
    </row>
    <row r="70" spans="1:6" x14ac:dyDescent="0.2">
      <c r="A70" s="5" t="s">
        <v>62</v>
      </c>
      <c r="B70" s="5" t="s">
        <v>11</v>
      </c>
      <c r="C70" s="6">
        <v>0.85994750261306796</v>
      </c>
      <c r="D70" s="6">
        <v>0.22985854744911199</v>
      </c>
      <c r="E70" s="6">
        <v>0.55225837230682395</v>
      </c>
      <c r="F70" s="6">
        <f t="shared" si="1"/>
        <v>1.2584219903384852</v>
      </c>
    </row>
    <row r="71" spans="1:6" x14ac:dyDescent="0.2">
      <c r="A71" s="5" t="s">
        <v>62</v>
      </c>
      <c r="B71" s="5" t="s">
        <v>61</v>
      </c>
      <c r="C71" s="6">
        <v>0.86511319875717196</v>
      </c>
      <c r="D71" s="6">
        <v>-0.13419979810714699</v>
      </c>
      <c r="E71" s="6">
        <v>0.32871565222740201</v>
      </c>
      <c r="F71" s="6">
        <f t="shared" si="1"/>
        <v>0.87441534061923865</v>
      </c>
    </row>
    <row r="72" spans="1:6" x14ac:dyDescent="0.2">
      <c r="A72" s="5" t="s">
        <v>63</v>
      </c>
      <c r="B72" s="5" t="s">
        <v>64</v>
      </c>
      <c r="C72" s="6">
        <v>0.78776568174362205</v>
      </c>
      <c r="D72" s="6">
        <v>-1.4910483360290501</v>
      </c>
      <c r="E72" s="6">
        <v>0.87079948186874401</v>
      </c>
      <c r="F72" s="6">
        <f t="shared" si="1"/>
        <v>0.22513651306463309</v>
      </c>
    </row>
    <row r="73" spans="1:6" x14ac:dyDescent="0.2">
      <c r="A73" s="5" t="s">
        <v>63</v>
      </c>
      <c r="B73" s="5" t="s">
        <v>65</v>
      </c>
      <c r="C73" s="6">
        <v>0.78526467084884599</v>
      </c>
      <c r="D73" s="6">
        <v>-2.1948866844177202</v>
      </c>
      <c r="E73" s="6">
        <v>0.95335155725479104</v>
      </c>
      <c r="F73" s="6">
        <f t="shared" si="1"/>
        <v>0.11137118088012379</v>
      </c>
    </row>
    <row r="74" spans="1:6" x14ac:dyDescent="0.2">
      <c r="A74" s="5" t="s">
        <v>63</v>
      </c>
      <c r="B74" s="5" t="s">
        <v>11</v>
      </c>
      <c r="C74" s="6">
        <v>0.78726857900619496</v>
      </c>
      <c r="D74" s="6">
        <v>-1.0104110240936299</v>
      </c>
      <c r="E74" s="6">
        <v>0.96278840303420998</v>
      </c>
      <c r="F74" s="6">
        <f t="shared" si="1"/>
        <v>0.36406930755707129</v>
      </c>
    </row>
    <row r="75" spans="1:6" x14ac:dyDescent="0.2">
      <c r="A75" s="5" t="s">
        <v>66</v>
      </c>
      <c r="B75" s="5" t="s">
        <v>20</v>
      </c>
      <c r="C75" s="6">
        <v>0.80415117740631104</v>
      </c>
      <c r="D75" s="6">
        <v>-1.0107507705688501</v>
      </c>
      <c r="E75" s="6">
        <v>0.86333781480789196</v>
      </c>
      <c r="F75" s="6">
        <f t="shared" si="1"/>
        <v>0.36394563730254903</v>
      </c>
    </row>
    <row r="76" spans="1:6" x14ac:dyDescent="0.2">
      <c r="A76" s="5" t="s">
        <v>66</v>
      </c>
      <c r="B76" s="5" t="s">
        <v>10</v>
      </c>
      <c r="C76" s="6">
        <v>0.79358941316604603</v>
      </c>
      <c r="D76" s="6">
        <v>-0.343091011047363</v>
      </c>
      <c r="E76" s="6">
        <v>0.84583503007888805</v>
      </c>
      <c r="F76" s="6">
        <f t="shared" si="1"/>
        <v>0.70957362958220704</v>
      </c>
    </row>
    <row r="77" spans="1:6" x14ac:dyDescent="0.2">
      <c r="A77" s="5" t="s">
        <v>66</v>
      </c>
      <c r="B77" s="5" t="s">
        <v>59</v>
      </c>
      <c r="C77" s="6">
        <v>0.80270844697952304</v>
      </c>
      <c r="D77" s="6">
        <v>-1.68209683895111</v>
      </c>
      <c r="E77" s="6">
        <v>0.79271453619003296</v>
      </c>
      <c r="F77" s="6">
        <f t="shared" si="1"/>
        <v>0.18598358925911632</v>
      </c>
    </row>
    <row r="78" spans="1:6" x14ac:dyDescent="0.2">
      <c r="A78" s="5" t="s">
        <v>67</v>
      </c>
      <c r="B78" s="5" t="s">
        <v>68</v>
      </c>
      <c r="C78" s="6">
        <v>0.79615235328674305</v>
      </c>
      <c r="D78" s="6">
        <v>2.1755809783935498</v>
      </c>
      <c r="E78" s="6">
        <v>0.437785744667053</v>
      </c>
      <c r="F78" s="6">
        <f t="shared" si="1"/>
        <v>8.8073004873740626</v>
      </c>
    </row>
    <row r="79" spans="1:6" x14ac:dyDescent="0.2">
      <c r="A79" s="5" t="s">
        <v>67</v>
      </c>
      <c r="B79" s="5" t="s">
        <v>69</v>
      </c>
      <c r="C79" s="6">
        <v>0.80481255054473899</v>
      </c>
      <c r="D79" s="6">
        <v>2.1644444465637198</v>
      </c>
      <c r="E79" s="6">
        <v>0.480015248060226</v>
      </c>
      <c r="F79" s="6">
        <f t="shared" si="1"/>
        <v>8.7097618343972272</v>
      </c>
    </row>
    <row r="80" spans="1:6" x14ac:dyDescent="0.2">
      <c r="A80" s="5" t="s">
        <v>70</v>
      </c>
      <c r="B80" s="5" t="s">
        <v>71</v>
      </c>
      <c r="C80" s="6">
        <v>0.79718226194381703</v>
      </c>
      <c r="D80" s="6">
        <v>-1.1366988420486499</v>
      </c>
      <c r="E80" s="6">
        <v>0.73365229368209794</v>
      </c>
      <c r="F80" s="6">
        <f t="shared" si="1"/>
        <v>0.32087653947921585</v>
      </c>
    </row>
    <row r="81" spans="1:6" x14ac:dyDescent="0.2">
      <c r="A81" s="5" t="s">
        <v>70</v>
      </c>
      <c r="B81" s="5" t="s">
        <v>72</v>
      </c>
      <c r="C81" s="6">
        <v>0.78556895256042503</v>
      </c>
      <c r="D81" s="6">
        <v>-1.0924650430679299</v>
      </c>
      <c r="E81" s="6">
        <v>0.88845396041870095</v>
      </c>
      <c r="F81" s="6">
        <f t="shared" si="1"/>
        <v>0.33538872622999444</v>
      </c>
    </row>
    <row r="82" spans="1:6" x14ac:dyDescent="0.2">
      <c r="A82" s="5" t="s">
        <v>70</v>
      </c>
      <c r="B82" s="5" t="s">
        <v>57</v>
      </c>
      <c r="C82" s="6">
        <v>0.79368990659713801</v>
      </c>
      <c r="D82" s="6">
        <v>0.724004447460175</v>
      </c>
      <c r="E82" s="6">
        <v>0.78572577238082897</v>
      </c>
      <c r="F82" s="6">
        <f t="shared" si="1"/>
        <v>2.0626765745395534</v>
      </c>
    </row>
    <row r="83" spans="1:6" x14ac:dyDescent="0.2">
      <c r="A83" s="5" t="s">
        <v>70</v>
      </c>
      <c r="B83" s="5" t="s">
        <v>73</v>
      </c>
      <c r="C83" s="6">
        <v>0.78594267368316695</v>
      </c>
      <c r="D83" s="6">
        <v>0.13233709335327101</v>
      </c>
      <c r="E83" s="6">
        <v>0.86780738830566395</v>
      </c>
      <c r="F83" s="6">
        <f t="shared" si="1"/>
        <v>1.1414930441374775</v>
      </c>
    </row>
    <row r="84" spans="1:6" x14ac:dyDescent="0.2">
      <c r="A84" s="5" t="s">
        <v>70</v>
      </c>
      <c r="B84" s="5" t="s">
        <v>74</v>
      </c>
      <c r="C84" s="6">
        <v>0.77932786941528298</v>
      </c>
      <c r="D84" s="6">
        <v>-0.45493406057357799</v>
      </c>
      <c r="E84" s="6">
        <v>0.97308200597763095</v>
      </c>
      <c r="F84" s="6">
        <f t="shared" si="1"/>
        <v>0.63448980446265202</v>
      </c>
    </row>
    <row r="85" spans="1:6" x14ac:dyDescent="0.2">
      <c r="A85" s="5" t="s">
        <v>70</v>
      </c>
      <c r="B85" s="5" t="s">
        <v>49</v>
      </c>
      <c r="C85" s="6">
        <v>0.78137350082397505</v>
      </c>
      <c r="D85" s="6">
        <v>-0.91226869821548495</v>
      </c>
      <c r="E85" s="6">
        <v>0.842590272426605</v>
      </c>
      <c r="F85" s="6">
        <f t="shared" si="1"/>
        <v>0.40161205315634679</v>
      </c>
    </row>
    <row r="86" spans="1:6" x14ac:dyDescent="0.2">
      <c r="A86" s="5" t="s">
        <v>75</v>
      </c>
      <c r="B86" s="5" t="s">
        <v>71</v>
      </c>
      <c r="C86" s="6">
        <v>0.79253679513931297</v>
      </c>
      <c r="D86" s="6">
        <v>-0.62062674760818504</v>
      </c>
      <c r="E86" s="6">
        <v>0.57269048690795898</v>
      </c>
      <c r="F86" s="6">
        <f t="shared" si="1"/>
        <v>0.5376073878386729</v>
      </c>
    </row>
    <row r="87" spans="1:6" x14ac:dyDescent="0.2">
      <c r="A87" s="5" t="s">
        <v>75</v>
      </c>
      <c r="B87" s="5" t="s">
        <v>59</v>
      </c>
      <c r="C87" s="6">
        <v>0.79161739349365201</v>
      </c>
      <c r="D87" s="6">
        <v>-2.01733303070068</v>
      </c>
      <c r="E87" s="6">
        <v>0.78565758466720603</v>
      </c>
      <c r="F87" s="6">
        <f t="shared" si="1"/>
        <v>0.13300972532349431</v>
      </c>
    </row>
    <row r="88" spans="1:6" x14ac:dyDescent="0.2">
      <c r="A88" s="5" t="s">
        <v>75</v>
      </c>
      <c r="B88" s="5" t="s">
        <v>49</v>
      </c>
      <c r="C88" s="6">
        <v>0.756528079509735</v>
      </c>
      <c r="D88" s="6">
        <v>-1.3010441064834599</v>
      </c>
      <c r="E88" s="6">
        <v>0.86617064476013195</v>
      </c>
      <c r="F88" s="6">
        <f t="shared" si="1"/>
        <v>0.27224738932167392</v>
      </c>
    </row>
    <row r="89" spans="1:6" x14ac:dyDescent="0.2">
      <c r="A89" s="5" t="s">
        <v>76</v>
      </c>
      <c r="B89" s="5" t="s">
        <v>45</v>
      </c>
      <c r="C89" s="6">
        <v>0.77603262662887595</v>
      </c>
      <c r="D89" s="6">
        <v>-2.43658494949341</v>
      </c>
      <c r="E89" s="6">
        <v>0.98115760087966897</v>
      </c>
      <c r="F89" s="6">
        <f t="shared" si="1"/>
        <v>8.7459019010757325E-2</v>
      </c>
    </row>
    <row r="90" spans="1:6" x14ac:dyDescent="0.2">
      <c r="A90" s="5" t="s">
        <v>77</v>
      </c>
      <c r="B90" s="5" t="s">
        <v>11</v>
      </c>
      <c r="C90" s="6">
        <v>0.513250172138214</v>
      </c>
      <c r="D90" s="6">
        <v>-6.1265263706445701E-2</v>
      </c>
      <c r="E90" s="6">
        <v>0.60762286186218295</v>
      </c>
      <c r="F90" s="6">
        <f t="shared" si="1"/>
        <v>0.94057370661382544</v>
      </c>
    </row>
    <row r="91" spans="1:6" x14ac:dyDescent="0.2">
      <c r="A91" s="5" t="s">
        <v>78</v>
      </c>
      <c r="B91" s="5" t="s">
        <v>79</v>
      </c>
      <c r="C91" s="6">
        <v>0.59606957435607899</v>
      </c>
      <c r="D91" s="6">
        <v>-1.96009337902069</v>
      </c>
      <c r="E91" s="6">
        <v>0.97828692197799705</v>
      </c>
      <c r="F91" s="6">
        <f t="shared" si="1"/>
        <v>0.14084526831374181</v>
      </c>
    </row>
    <row r="92" spans="1:6" x14ac:dyDescent="0.2">
      <c r="A92" s="5" t="s">
        <v>78</v>
      </c>
      <c r="B92" s="5" t="s">
        <v>80</v>
      </c>
      <c r="C92" s="6">
        <v>0.60266137123107899</v>
      </c>
      <c r="D92" s="6">
        <v>-2.2102832794189502</v>
      </c>
      <c r="E92" s="6">
        <v>0.953940570354462</v>
      </c>
      <c r="F92" s="6">
        <f t="shared" si="1"/>
        <v>0.10966957698071242</v>
      </c>
    </row>
    <row r="93" spans="1:6" x14ac:dyDescent="0.2">
      <c r="A93" s="5" t="s">
        <v>78</v>
      </c>
      <c r="B93" s="5" t="s">
        <v>81</v>
      </c>
      <c r="C93" s="6">
        <v>0.59271258115768399</v>
      </c>
      <c r="D93" s="6">
        <v>-2.0197606086731001</v>
      </c>
      <c r="E93" s="6">
        <v>0.93421471118927002</v>
      </c>
      <c r="F93" s="6">
        <f t="shared" si="1"/>
        <v>0.13268722544935455</v>
      </c>
    </row>
    <row r="94" spans="1:6" x14ac:dyDescent="0.2">
      <c r="A94" s="5" t="s">
        <v>78</v>
      </c>
      <c r="B94" s="5" t="s">
        <v>82</v>
      </c>
      <c r="C94" s="6">
        <v>0.59683322906494096</v>
      </c>
      <c r="D94" s="6">
        <v>-2.0135703086853001</v>
      </c>
      <c r="E94" s="6">
        <v>0.97275453805923495</v>
      </c>
      <c r="F94" s="6">
        <f t="shared" si="1"/>
        <v>0.13351114670827369</v>
      </c>
    </row>
    <row r="95" spans="1:6" x14ac:dyDescent="0.2">
      <c r="A95" s="5" t="s">
        <v>78</v>
      </c>
      <c r="B95" s="5" t="s">
        <v>83</v>
      </c>
      <c r="C95" s="6">
        <v>0.59818691015243497</v>
      </c>
      <c r="D95" s="6">
        <v>-0.936662137508392</v>
      </c>
      <c r="E95" s="6">
        <v>0.87605190277099598</v>
      </c>
      <c r="F95" s="6">
        <f t="shared" si="1"/>
        <v>0.39193387583752104</v>
      </c>
    </row>
    <row r="96" spans="1:6" x14ac:dyDescent="0.2">
      <c r="A96" s="5" t="s">
        <v>78</v>
      </c>
      <c r="B96" s="5" t="s">
        <v>84</v>
      </c>
      <c r="C96" s="6">
        <v>0.59760522842407204</v>
      </c>
      <c r="D96" s="6">
        <v>-1.36239922046661</v>
      </c>
      <c r="E96" s="6">
        <v>0.90572357177734397</v>
      </c>
      <c r="F96" s="6">
        <f t="shared" si="1"/>
        <v>0.25604572927703073</v>
      </c>
    </row>
    <row r="97" spans="1:6" x14ac:dyDescent="0.2">
      <c r="A97" s="5" t="s">
        <v>78</v>
      </c>
      <c r="B97" s="5" t="s">
        <v>85</v>
      </c>
      <c r="C97" s="6">
        <v>0.59969657659530595</v>
      </c>
      <c r="D97" s="6">
        <v>-1.63541996479034</v>
      </c>
      <c r="E97" s="6">
        <v>0.88462448120117199</v>
      </c>
      <c r="F97" s="6">
        <f t="shared" si="1"/>
        <v>0.19487051535695343</v>
      </c>
    </row>
    <row r="98" spans="1:6" x14ac:dyDescent="0.2">
      <c r="A98" s="5" t="s">
        <v>86</v>
      </c>
      <c r="B98" s="5" t="s">
        <v>87</v>
      </c>
      <c r="C98" s="6">
        <v>0.84954643249511697</v>
      </c>
      <c r="D98" s="6">
        <v>1.2982653379440301</v>
      </c>
      <c r="E98" s="6">
        <v>0.87289416790008501</v>
      </c>
      <c r="F98" s="6">
        <f t="shared" si="1"/>
        <v>3.662937195280175</v>
      </c>
    </row>
    <row r="99" spans="1:6" x14ac:dyDescent="0.2">
      <c r="A99" s="5" t="s">
        <v>88</v>
      </c>
      <c r="B99" s="5" t="s">
        <v>20</v>
      </c>
      <c r="C99" s="6">
        <v>0.83564394712448098</v>
      </c>
      <c r="D99" s="6">
        <v>-0.85152196884155296</v>
      </c>
      <c r="E99" s="6">
        <v>0.94067221879959095</v>
      </c>
      <c r="F99" s="6">
        <f t="shared" si="1"/>
        <v>0.4267649145184983</v>
      </c>
    </row>
    <row r="100" spans="1:6" x14ac:dyDescent="0.2">
      <c r="A100" s="5" t="s">
        <v>88</v>
      </c>
      <c r="B100" s="5" t="s">
        <v>89</v>
      </c>
      <c r="C100" s="6">
        <v>0.81081926822662398</v>
      </c>
      <c r="D100" s="6">
        <v>0.84239149093627896</v>
      </c>
      <c r="E100" s="6">
        <v>0.457371175289154</v>
      </c>
      <c r="F100" s="6">
        <f t="shared" si="1"/>
        <v>2.3219131766111398</v>
      </c>
    </row>
    <row r="101" spans="1:6" x14ac:dyDescent="0.2">
      <c r="A101" s="5" t="s">
        <v>88</v>
      </c>
      <c r="B101" s="5" t="s">
        <v>22</v>
      </c>
      <c r="C101" s="6">
        <v>0.83643668889999401</v>
      </c>
      <c r="D101" s="6">
        <v>-1.0920153856277499</v>
      </c>
      <c r="E101" s="6">
        <v>0.90746831893920898</v>
      </c>
      <c r="F101" s="6">
        <f t="shared" si="1"/>
        <v>0.33553957017760633</v>
      </c>
    </row>
    <row r="102" spans="1:6" x14ac:dyDescent="0.2">
      <c r="A102" s="5" t="s">
        <v>88</v>
      </c>
      <c r="B102" s="5" t="s">
        <v>90</v>
      </c>
      <c r="C102" s="6">
        <v>0.85547202825546298</v>
      </c>
      <c r="D102" s="6">
        <v>1.60889792442322</v>
      </c>
      <c r="E102" s="6">
        <v>0.93566161394119296</v>
      </c>
      <c r="F102" s="6">
        <f t="shared" si="1"/>
        <v>4.9973007887820344</v>
      </c>
    </row>
    <row r="103" spans="1:6" x14ac:dyDescent="0.2">
      <c r="A103" s="5" t="s">
        <v>88</v>
      </c>
      <c r="B103" s="5" t="s">
        <v>91</v>
      </c>
      <c r="C103" s="6">
        <v>0.81765902042388905</v>
      </c>
      <c r="D103" s="6">
        <v>1.53905045986176</v>
      </c>
      <c r="E103" s="6">
        <v>0.50879251956939697</v>
      </c>
      <c r="F103" s="6">
        <f t="shared" si="1"/>
        <v>4.6601631574909934</v>
      </c>
    </row>
    <row r="104" spans="1:6" x14ac:dyDescent="0.2">
      <c r="A104" s="5" t="s">
        <v>88</v>
      </c>
      <c r="B104" s="5" t="s">
        <v>49</v>
      </c>
      <c r="C104" s="6">
        <v>0.81098222732544001</v>
      </c>
      <c r="D104" s="6">
        <v>-0.20711433887481701</v>
      </c>
      <c r="E104" s="6">
        <v>0.91256868839263905</v>
      </c>
      <c r="F104" s="6">
        <f t="shared" si="1"/>
        <v>0.81292669554984143</v>
      </c>
    </row>
    <row r="105" spans="1:6" x14ac:dyDescent="0.2">
      <c r="A105" s="5" t="s">
        <v>88</v>
      </c>
      <c r="B105" s="5" t="s">
        <v>92</v>
      </c>
      <c r="C105" s="6">
        <v>0.83991497755050704</v>
      </c>
      <c r="D105" s="6">
        <v>-1.67883765697479</v>
      </c>
      <c r="E105" s="6">
        <v>0.709248065948486</v>
      </c>
      <c r="F105" s="6">
        <f t="shared" si="1"/>
        <v>0.18659073247880387</v>
      </c>
    </row>
    <row r="106" spans="1:6" x14ac:dyDescent="0.2">
      <c r="A106" s="5" t="s">
        <v>93</v>
      </c>
      <c r="B106" s="5" t="s">
        <v>10</v>
      </c>
      <c r="C106" s="6">
        <v>0.83843672275543202</v>
      </c>
      <c r="D106" s="6">
        <v>-0.44385540485382102</v>
      </c>
      <c r="E106" s="6">
        <v>0.76152193546295199</v>
      </c>
      <c r="F106" s="6">
        <f t="shared" si="1"/>
        <v>0.64155818031973777</v>
      </c>
    </row>
    <row r="107" spans="1:6" x14ac:dyDescent="0.2">
      <c r="A107" s="5" t="s">
        <v>93</v>
      </c>
      <c r="B107" s="5" t="s">
        <v>33</v>
      </c>
      <c r="C107" s="6">
        <v>0.81778138875961304</v>
      </c>
      <c r="D107" s="6">
        <v>-6.5897911787033095E-2</v>
      </c>
      <c r="E107" s="6">
        <v>0.84309464693069502</v>
      </c>
      <c r="F107" s="6">
        <f t="shared" si="1"/>
        <v>0.93622643709700304</v>
      </c>
    </row>
    <row r="108" spans="1:6" x14ac:dyDescent="0.2">
      <c r="A108" s="5" t="s">
        <v>94</v>
      </c>
      <c r="B108" s="5" t="s">
        <v>11</v>
      </c>
      <c r="C108" s="6">
        <v>0.65920048952102706</v>
      </c>
      <c r="D108" s="6">
        <v>0.692557632923126</v>
      </c>
      <c r="E108" s="6">
        <v>0.191323801875114</v>
      </c>
      <c r="F108" s="6">
        <f t="shared" si="1"/>
        <v>1.9988212522244853</v>
      </c>
    </row>
    <row r="109" spans="1:6" x14ac:dyDescent="0.2">
      <c r="A109" s="5" t="s">
        <v>94</v>
      </c>
      <c r="B109" s="5" t="s">
        <v>95</v>
      </c>
      <c r="C109" s="6">
        <v>0.66869533061981201</v>
      </c>
      <c r="D109" s="6">
        <v>-1.4939715862274201</v>
      </c>
      <c r="E109" s="6">
        <v>0.48773437738418601</v>
      </c>
      <c r="F109" s="6">
        <f t="shared" si="1"/>
        <v>0.22447934371135844</v>
      </c>
    </row>
    <row r="110" spans="1:6" x14ac:dyDescent="0.2">
      <c r="A110" s="5" t="s">
        <v>96</v>
      </c>
      <c r="B110" s="5" t="s">
        <v>97</v>
      </c>
      <c r="C110" s="6">
        <v>0.56506884098053001</v>
      </c>
      <c r="D110" s="6">
        <v>-1.65385901927948</v>
      </c>
      <c r="E110" s="6">
        <v>0.94338983297348</v>
      </c>
      <c r="F110" s="6">
        <f t="shared" si="1"/>
        <v>0.19131021248954441</v>
      </c>
    </row>
    <row r="111" spans="1:6" x14ac:dyDescent="0.2">
      <c r="A111" s="5" t="s">
        <v>96</v>
      </c>
      <c r="B111" s="5" t="s">
        <v>81</v>
      </c>
      <c r="C111" s="6">
        <v>0.56372278928756703</v>
      </c>
      <c r="D111" s="6">
        <v>-1.83113753795624</v>
      </c>
      <c r="E111" s="6">
        <v>0.94784498214721702</v>
      </c>
      <c r="F111" s="6">
        <f t="shared" si="1"/>
        <v>0.1602311950007749</v>
      </c>
    </row>
    <row r="112" spans="1:6" x14ac:dyDescent="0.2">
      <c r="A112" s="5" t="s">
        <v>96</v>
      </c>
      <c r="B112" s="5" t="s">
        <v>36</v>
      </c>
      <c r="C112" s="6">
        <v>0.57443732023239102</v>
      </c>
      <c r="D112" s="6">
        <v>-2.4717540740966801</v>
      </c>
      <c r="E112" s="6">
        <v>0.99310779571533203</v>
      </c>
      <c r="F112" s="6">
        <f t="shared" si="1"/>
        <v>8.4436620939698892E-2</v>
      </c>
    </row>
    <row r="113" spans="1:6" x14ac:dyDescent="0.2">
      <c r="A113" s="5" t="s">
        <v>96</v>
      </c>
      <c r="B113" s="5" t="s">
        <v>98</v>
      </c>
      <c r="C113" s="6">
        <v>0.57497876882553101</v>
      </c>
      <c r="D113" s="6">
        <v>-0.29401355981826799</v>
      </c>
      <c r="E113" s="6">
        <v>0.83591705560684204</v>
      </c>
      <c r="F113" s="6">
        <f t="shared" si="1"/>
        <v>0.74526638569802139</v>
      </c>
    </row>
    <row r="114" spans="1:6" x14ac:dyDescent="0.2">
      <c r="A114" s="5" t="s">
        <v>96</v>
      </c>
      <c r="B114" s="5" t="s">
        <v>37</v>
      </c>
      <c r="C114" s="6">
        <v>0.56456321477890004</v>
      </c>
      <c r="D114" s="6">
        <v>-2.1776566505432098</v>
      </c>
      <c r="E114" s="6">
        <v>0.95610761642456099</v>
      </c>
      <c r="F114" s="6">
        <f t="shared" si="1"/>
        <v>0.11330673706417502</v>
      </c>
    </row>
    <row r="115" spans="1:6" x14ac:dyDescent="0.2">
      <c r="A115" s="5" t="s">
        <v>96</v>
      </c>
      <c r="B115" s="5" t="s">
        <v>99</v>
      </c>
      <c r="C115" s="6">
        <v>0.56225645542144798</v>
      </c>
      <c r="D115" s="6">
        <v>-1.4259954690933201</v>
      </c>
      <c r="E115" s="6">
        <v>0.92915391921997104</v>
      </c>
      <c r="F115" s="6">
        <f t="shared" si="1"/>
        <v>0.24026916359398273</v>
      </c>
    </row>
    <row r="116" spans="1:6" x14ac:dyDescent="0.2">
      <c r="A116" s="5" t="s">
        <v>96</v>
      </c>
      <c r="B116" s="5" t="s">
        <v>100</v>
      </c>
      <c r="C116" s="6">
        <v>0.56435436010360696</v>
      </c>
      <c r="D116" s="6">
        <v>-1.4040119647979701</v>
      </c>
      <c r="E116" s="6">
        <v>0.91706597805023204</v>
      </c>
      <c r="F116" s="6">
        <f t="shared" si="1"/>
        <v>0.24560960754689806</v>
      </c>
    </row>
    <row r="117" spans="1:6" x14ac:dyDescent="0.2">
      <c r="A117" s="5" t="s">
        <v>96</v>
      </c>
      <c r="B117" s="5" t="s">
        <v>101</v>
      </c>
      <c r="C117" s="6">
        <v>0.56835192441940297</v>
      </c>
      <c r="D117" s="6">
        <v>-2.2810926437377899</v>
      </c>
      <c r="E117" s="6">
        <v>0.97949665784835804</v>
      </c>
      <c r="F117" s="6">
        <f t="shared" si="1"/>
        <v>0.10217250755240334</v>
      </c>
    </row>
    <row r="118" spans="1:6" x14ac:dyDescent="0.2">
      <c r="A118" s="5" t="s">
        <v>96</v>
      </c>
      <c r="B118" s="5" t="s">
        <v>102</v>
      </c>
      <c r="C118" s="6">
        <v>0.560871541500092</v>
      </c>
      <c r="D118" s="6">
        <v>-0.48949882388114901</v>
      </c>
      <c r="E118" s="6">
        <v>0.849689841270447</v>
      </c>
      <c r="F118" s="6">
        <f t="shared" si="1"/>
        <v>0.61293350485479769</v>
      </c>
    </row>
    <row r="119" spans="1:6" x14ac:dyDescent="0.2">
      <c r="A119" s="5" t="s">
        <v>103</v>
      </c>
      <c r="B119" s="5" t="s">
        <v>104</v>
      </c>
      <c r="C119" s="6">
        <v>0.86104583740234397</v>
      </c>
      <c r="D119" s="6">
        <v>1.2346978187561</v>
      </c>
      <c r="E119" s="6">
        <v>0.53524279594421398</v>
      </c>
      <c r="F119" s="6">
        <f t="shared" si="1"/>
        <v>3.4373396641761231</v>
      </c>
    </row>
    <row r="120" spans="1:6" x14ac:dyDescent="0.2">
      <c r="A120" s="5" t="s">
        <v>103</v>
      </c>
      <c r="B120" s="5" t="s">
        <v>105</v>
      </c>
      <c r="C120" s="6">
        <v>0.87480700016021695</v>
      </c>
      <c r="D120" s="6">
        <v>-0.16916923224926</v>
      </c>
      <c r="E120" s="6">
        <v>0.746085464954376</v>
      </c>
      <c r="F120" s="6">
        <f t="shared" si="1"/>
        <v>0.84436599733729134</v>
      </c>
    </row>
    <row r="121" spans="1:6" x14ac:dyDescent="0.2">
      <c r="A121" s="5" t="s">
        <v>106</v>
      </c>
      <c r="B121" s="5" t="s">
        <v>20</v>
      </c>
      <c r="C121" s="6">
        <v>0.90658301115036</v>
      </c>
      <c r="D121" s="6">
        <v>0.14488103985786399</v>
      </c>
      <c r="E121" s="6">
        <v>0.83378970623016402</v>
      </c>
      <c r="F121" s="6">
        <f t="shared" si="1"/>
        <v>1.1559020558159592</v>
      </c>
    </row>
    <row r="122" spans="1:6" x14ac:dyDescent="0.2">
      <c r="A122" s="5" t="s">
        <v>107</v>
      </c>
      <c r="B122" s="5" t="s">
        <v>108</v>
      </c>
      <c r="C122" s="6">
        <v>0.87933492660522505</v>
      </c>
      <c r="D122" s="6">
        <v>9.7243010997772203E-2</v>
      </c>
      <c r="E122" s="6">
        <v>0.95930325984954801</v>
      </c>
      <c r="F122" s="6">
        <f t="shared" si="1"/>
        <v>1.1021281703472667</v>
      </c>
    </row>
    <row r="123" spans="1:6" x14ac:dyDescent="0.2">
      <c r="A123" s="5" t="s">
        <v>107</v>
      </c>
      <c r="B123" s="5" t="s">
        <v>109</v>
      </c>
      <c r="C123" s="6">
        <v>0.83112317323684703</v>
      </c>
      <c r="D123" s="6">
        <v>0.21656429767608601</v>
      </c>
      <c r="E123" s="6">
        <v>0.54944992065429699</v>
      </c>
      <c r="F123" s="6">
        <f t="shared" si="1"/>
        <v>1.241802927829375</v>
      </c>
    </row>
    <row r="124" spans="1:6" x14ac:dyDescent="0.2">
      <c r="A124" s="5" t="s">
        <v>107</v>
      </c>
      <c r="B124" s="5" t="s">
        <v>16</v>
      </c>
      <c r="C124" s="6">
        <v>0.85908120870590199</v>
      </c>
      <c r="D124" s="6">
        <v>-0.56175029277801503</v>
      </c>
      <c r="E124" s="6">
        <v>0.226221889257431</v>
      </c>
      <c r="F124" s="6">
        <f t="shared" si="1"/>
        <v>0.57021015519593921</v>
      </c>
    </row>
    <row r="125" spans="1:6" x14ac:dyDescent="0.2">
      <c r="A125" s="5" t="s">
        <v>107</v>
      </c>
      <c r="B125" s="5" t="s">
        <v>49</v>
      </c>
      <c r="C125" s="6">
        <v>0.82442504167556796</v>
      </c>
      <c r="D125" s="6">
        <v>-0.36842021346092202</v>
      </c>
      <c r="E125" s="6">
        <v>0.71016728878021196</v>
      </c>
      <c r="F125" s="6">
        <f t="shared" si="1"/>
        <v>0.69182640583069299</v>
      </c>
    </row>
    <row r="126" spans="1:6" x14ac:dyDescent="0.2">
      <c r="A126" s="5" t="s">
        <v>110</v>
      </c>
      <c r="B126" s="5" t="s">
        <v>72</v>
      </c>
      <c r="C126" s="6">
        <v>0.88065332174301203</v>
      </c>
      <c r="D126" s="6">
        <v>-0.50999391078948997</v>
      </c>
      <c r="E126" s="6">
        <v>0.71837049722671498</v>
      </c>
      <c r="F126" s="6">
        <f t="shared" si="1"/>
        <v>0.60049923536738847</v>
      </c>
    </row>
    <row r="127" spans="1:6" x14ac:dyDescent="0.2">
      <c r="A127" s="5" t="s">
        <v>110</v>
      </c>
      <c r="B127" s="5" t="s">
        <v>40</v>
      </c>
      <c r="C127" s="6">
        <v>0.90538185834884599</v>
      </c>
      <c r="D127" s="6">
        <v>0.44984337687492398</v>
      </c>
      <c r="E127" s="6">
        <v>0.86048877239227295</v>
      </c>
      <c r="F127" s="6">
        <f t="shared" si="1"/>
        <v>1.5680665707695571</v>
      </c>
    </row>
    <row r="128" spans="1:6" x14ac:dyDescent="0.2">
      <c r="A128" s="5" t="s">
        <v>110</v>
      </c>
      <c r="B128" s="5" t="s">
        <v>111</v>
      </c>
      <c r="C128" s="6">
        <v>0.90442556142806996</v>
      </c>
      <c r="D128" s="6">
        <v>0.19971762597560899</v>
      </c>
      <c r="E128" s="6">
        <v>0.99341064691543601</v>
      </c>
      <c r="F128" s="6">
        <f t="shared" si="1"/>
        <v>1.2210579144376921</v>
      </c>
    </row>
    <row r="129" spans="1:6" x14ac:dyDescent="0.2">
      <c r="A129" s="5" t="s">
        <v>112</v>
      </c>
      <c r="B129" s="5" t="s">
        <v>113</v>
      </c>
      <c r="C129" s="6">
        <v>0.82469511032104503</v>
      </c>
      <c r="D129" s="6">
        <v>-0.855629563331604</v>
      </c>
      <c r="E129" s="6">
        <v>0.40681466460228</v>
      </c>
      <c r="F129" s="6">
        <f t="shared" si="1"/>
        <v>0.4250155326424313</v>
      </c>
    </row>
    <row r="131" spans="1:6" x14ac:dyDescent="0.2">
      <c r="A131" s="5" t="s">
        <v>774</v>
      </c>
      <c r="C131" s="21">
        <f>AVERAGE(C2:C129)</f>
        <v>0.75282224360853434</v>
      </c>
    </row>
    <row r="132" spans="1:6" x14ac:dyDescent="0.2">
      <c r="C132">
        <f>STDEV(C2:C129)</f>
        <v>9.336042048020339E-2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F991-B2CA-FE4E-BCE6-5D7E58CBEB23}">
  <dimension ref="A1:AK132"/>
  <sheetViews>
    <sheetView workbookViewId="0">
      <selection activeCell="L2" sqref="L2"/>
    </sheetView>
  </sheetViews>
  <sheetFormatPr baseColWidth="10" defaultRowHeight="16" x14ac:dyDescent="0.2"/>
  <sheetData>
    <row r="1" spans="1:37" x14ac:dyDescent="0.2">
      <c r="A1" s="10" t="s">
        <v>118</v>
      </c>
      <c r="B1" s="10" t="s">
        <v>119</v>
      </c>
      <c r="C1" s="10" t="s">
        <v>120</v>
      </c>
      <c r="D1" s="10" t="s">
        <v>121</v>
      </c>
      <c r="E1" s="10" t="s">
        <v>122</v>
      </c>
      <c r="F1" s="10" t="s">
        <v>123</v>
      </c>
      <c r="G1" s="10" t="s">
        <v>0</v>
      </c>
      <c r="H1" s="10" t="s">
        <v>124</v>
      </c>
      <c r="I1" s="10" t="s">
        <v>125</v>
      </c>
      <c r="J1" s="10" t="s">
        <v>126</v>
      </c>
      <c r="K1" s="10" t="s">
        <v>127</v>
      </c>
      <c r="L1" s="10" t="s">
        <v>776</v>
      </c>
      <c r="M1" s="1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">
      <c r="A2" s="11" t="s">
        <v>8</v>
      </c>
      <c r="B2" s="11" t="s">
        <v>128</v>
      </c>
      <c r="C2" s="11" t="s">
        <v>129</v>
      </c>
      <c r="D2" s="24">
        <v>0.5</v>
      </c>
      <c r="E2" s="24">
        <v>0.5</v>
      </c>
      <c r="F2" s="26">
        <v>4.9999999999999998E-7</v>
      </c>
      <c r="G2" s="11" t="s">
        <v>7</v>
      </c>
      <c r="H2" s="11" t="s">
        <v>131</v>
      </c>
      <c r="I2" s="26">
        <v>4.0999999999999999E-26</v>
      </c>
      <c r="J2" s="24">
        <v>8.6419999999999995</v>
      </c>
      <c r="K2" s="12" t="s">
        <v>132</v>
      </c>
      <c r="L2" s="22">
        <f>-LOG10(F2)</f>
        <v>6.3010299956639813</v>
      </c>
      <c r="M2" s="2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">
      <c r="A3" s="11" t="s">
        <v>10</v>
      </c>
      <c r="B3" s="11" t="s">
        <v>133</v>
      </c>
      <c r="C3" s="11" t="s">
        <v>134</v>
      </c>
      <c r="D3" s="24">
        <v>0.43</v>
      </c>
      <c r="E3" s="24">
        <v>0.43</v>
      </c>
      <c r="F3" s="26">
        <v>2.5000000000000002E-18</v>
      </c>
      <c r="G3" s="11" t="s">
        <v>7</v>
      </c>
      <c r="H3" s="11" t="s">
        <v>46</v>
      </c>
      <c r="I3" s="26">
        <v>4.8E-50</v>
      </c>
      <c r="J3" s="24">
        <v>0.128</v>
      </c>
      <c r="K3" s="12" t="s">
        <v>132</v>
      </c>
      <c r="L3" s="22">
        <f t="shared" ref="L3:L66" si="0">-LOG10(F3)</f>
        <v>17.602059991327963</v>
      </c>
      <c r="M3" s="2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">
      <c r="A4" s="11" t="s">
        <v>11</v>
      </c>
      <c r="B4" s="11" t="s">
        <v>136</v>
      </c>
      <c r="C4" s="11" t="s">
        <v>137</v>
      </c>
      <c r="D4" s="24">
        <v>0.38</v>
      </c>
      <c r="E4" s="24">
        <v>0.38</v>
      </c>
      <c r="F4" s="26">
        <v>6.0000000000000002E-6</v>
      </c>
      <c r="G4" s="11" t="s">
        <v>7</v>
      </c>
      <c r="H4" s="11" t="s">
        <v>139</v>
      </c>
      <c r="I4" s="26">
        <v>2.7</v>
      </c>
      <c r="J4" s="24">
        <v>9.6579999999999995</v>
      </c>
      <c r="K4" s="12" t="s">
        <v>132</v>
      </c>
      <c r="L4" s="22">
        <f t="shared" si="0"/>
        <v>5.2218487496163561</v>
      </c>
      <c r="M4" s="2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">
      <c r="A5" s="11" t="s">
        <v>12</v>
      </c>
      <c r="B5" s="11" t="s">
        <v>140</v>
      </c>
      <c r="C5" s="11" t="s">
        <v>129</v>
      </c>
      <c r="D5" s="24">
        <v>0.45</v>
      </c>
      <c r="E5" s="24">
        <v>0.45</v>
      </c>
      <c r="F5" s="26">
        <v>3.8E-12</v>
      </c>
      <c r="G5" s="11" t="s">
        <v>7</v>
      </c>
      <c r="H5" s="11" t="s">
        <v>67</v>
      </c>
      <c r="I5" s="26">
        <v>1.3E-35</v>
      </c>
      <c r="J5" s="24">
        <v>10.379</v>
      </c>
      <c r="K5" s="12" t="s">
        <v>132</v>
      </c>
      <c r="L5" s="22">
        <f t="shared" si="0"/>
        <v>11.42021640338319</v>
      </c>
      <c r="M5" s="22"/>
      <c r="N5" s="1"/>
      <c r="O5" s="11" t="s">
        <v>12</v>
      </c>
      <c r="P5" s="11" t="s">
        <v>140</v>
      </c>
      <c r="Q5" s="11" t="s">
        <v>129</v>
      </c>
      <c r="R5" s="11" t="s">
        <v>141</v>
      </c>
      <c r="S5" s="11" t="s">
        <v>141</v>
      </c>
      <c r="T5" s="11" t="s">
        <v>142</v>
      </c>
      <c r="U5" s="11" t="s">
        <v>7</v>
      </c>
      <c r="V5" s="11" t="s">
        <v>67</v>
      </c>
      <c r="W5" s="11" t="s">
        <v>143</v>
      </c>
      <c r="X5" s="11" t="s">
        <v>144</v>
      </c>
      <c r="Y5" s="12" t="s">
        <v>145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">
      <c r="A6" s="11" t="s">
        <v>13</v>
      </c>
      <c r="B6" s="11" t="s">
        <v>146</v>
      </c>
      <c r="C6" s="11" t="s">
        <v>147</v>
      </c>
      <c r="D6" s="24">
        <v>0.43</v>
      </c>
      <c r="E6" s="24">
        <v>0.43</v>
      </c>
      <c r="F6" s="26">
        <v>7.4000000000000004E-21</v>
      </c>
      <c r="G6" s="11" t="s">
        <v>7</v>
      </c>
      <c r="H6" s="11" t="s">
        <v>93</v>
      </c>
      <c r="I6" s="26">
        <v>2.7000000000000001E-21</v>
      </c>
      <c r="J6" s="24">
        <v>2.56</v>
      </c>
      <c r="K6" s="12" t="s">
        <v>132</v>
      </c>
      <c r="L6" s="22">
        <f t="shared" si="0"/>
        <v>20.130768280269024</v>
      </c>
      <c r="M6" s="22"/>
      <c r="N6" s="1"/>
      <c r="O6" s="11" t="s">
        <v>13</v>
      </c>
      <c r="P6" s="11" t="s">
        <v>146</v>
      </c>
      <c r="Q6" s="11" t="s">
        <v>147</v>
      </c>
      <c r="R6" s="11" t="s">
        <v>135</v>
      </c>
      <c r="S6" s="11" t="s">
        <v>135</v>
      </c>
      <c r="T6" s="11" t="s">
        <v>148</v>
      </c>
      <c r="U6" s="11" t="s">
        <v>7</v>
      </c>
      <c r="V6" s="11" t="s">
        <v>93</v>
      </c>
      <c r="W6" s="11" t="s">
        <v>149</v>
      </c>
      <c r="X6" s="11" t="s">
        <v>150</v>
      </c>
      <c r="Y6" s="12" t="s">
        <v>145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">
      <c r="A7" s="11" t="s">
        <v>14</v>
      </c>
      <c r="B7" s="11" t="s">
        <v>151</v>
      </c>
      <c r="C7" s="11" t="s">
        <v>129</v>
      </c>
      <c r="D7" s="24">
        <v>0.52</v>
      </c>
      <c r="E7" s="24">
        <v>0.52</v>
      </c>
      <c r="F7" s="26">
        <v>4.0000000000000001E-13</v>
      </c>
      <c r="G7" s="11" t="s">
        <v>7</v>
      </c>
      <c r="H7" s="11" t="s">
        <v>154</v>
      </c>
      <c r="I7" s="26">
        <v>1.5000000000000001E-55</v>
      </c>
      <c r="J7" s="24">
        <v>0.16200000000000001</v>
      </c>
      <c r="K7" s="12" t="s">
        <v>132</v>
      </c>
      <c r="L7" s="22">
        <f t="shared" si="0"/>
        <v>12.397940008672037</v>
      </c>
      <c r="M7" s="22"/>
      <c r="N7" s="1"/>
      <c r="O7" s="11" t="s">
        <v>14</v>
      </c>
      <c r="P7" s="11" t="s">
        <v>151</v>
      </c>
      <c r="Q7" s="11" t="s">
        <v>129</v>
      </c>
      <c r="R7" s="11" t="s">
        <v>152</v>
      </c>
      <c r="S7" s="11" t="s">
        <v>152</v>
      </c>
      <c r="T7" s="11" t="s">
        <v>153</v>
      </c>
      <c r="U7" s="11" t="s">
        <v>7</v>
      </c>
      <c r="V7" s="11" t="s">
        <v>154</v>
      </c>
      <c r="W7" s="11" t="s">
        <v>155</v>
      </c>
      <c r="X7" s="11" t="s">
        <v>156</v>
      </c>
      <c r="Y7" s="12" t="s">
        <v>145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">
      <c r="A8" s="11" t="s">
        <v>15</v>
      </c>
      <c r="B8" s="11" t="s">
        <v>157</v>
      </c>
      <c r="C8" s="11" t="s">
        <v>158</v>
      </c>
      <c r="D8" s="24">
        <v>0.48</v>
      </c>
      <c r="E8" s="24">
        <v>0.79</v>
      </c>
      <c r="F8" s="26">
        <v>5.7999999999999996E-10</v>
      </c>
      <c r="G8" s="11" t="s">
        <v>7</v>
      </c>
      <c r="H8" s="11" t="s">
        <v>162</v>
      </c>
      <c r="I8" s="26">
        <v>150</v>
      </c>
      <c r="J8" s="24">
        <v>3.5</v>
      </c>
      <c r="K8" s="12" t="s">
        <v>132</v>
      </c>
      <c r="L8" s="22">
        <f t="shared" si="0"/>
        <v>9.2365720064370631</v>
      </c>
      <c r="M8" s="2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">
      <c r="A9" s="11" t="s">
        <v>16</v>
      </c>
      <c r="B9" s="11" t="s">
        <v>163</v>
      </c>
      <c r="C9" s="11" t="s">
        <v>158</v>
      </c>
      <c r="D9" s="24">
        <v>0.49</v>
      </c>
      <c r="E9" s="24">
        <v>0.8</v>
      </c>
      <c r="F9" s="26">
        <v>2.8999999999999998E-10</v>
      </c>
      <c r="G9" s="11" t="s">
        <v>7</v>
      </c>
      <c r="H9" s="11" t="s">
        <v>139</v>
      </c>
      <c r="I9" s="26">
        <v>2.7</v>
      </c>
      <c r="J9" s="24">
        <v>12</v>
      </c>
      <c r="K9" s="12" t="s">
        <v>132</v>
      </c>
      <c r="L9" s="22">
        <f t="shared" si="0"/>
        <v>9.5376020021010444</v>
      </c>
      <c r="M9" s="2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">
      <c r="A10" s="11" t="s">
        <v>17</v>
      </c>
      <c r="B10" s="11" t="s">
        <v>165</v>
      </c>
      <c r="C10" s="11" t="s">
        <v>166</v>
      </c>
      <c r="D10" s="24">
        <v>0.27</v>
      </c>
      <c r="E10" s="24">
        <v>0.69</v>
      </c>
      <c r="F10" s="26">
        <v>2.3999999999999999E-6</v>
      </c>
      <c r="G10" s="11" t="s">
        <v>7</v>
      </c>
      <c r="H10" s="11" t="s">
        <v>60</v>
      </c>
      <c r="I10" s="26">
        <v>3.9999999999999997E-24</v>
      </c>
      <c r="J10" s="24">
        <v>10.763999999999999</v>
      </c>
      <c r="K10" s="12" t="s">
        <v>132</v>
      </c>
      <c r="L10" s="22">
        <f t="shared" si="0"/>
        <v>5.6197887582883936</v>
      </c>
      <c r="M10" s="2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">
      <c r="A11" s="11" t="s">
        <v>19</v>
      </c>
      <c r="B11" s="11" t="s">
        <v>167</v>
      </c>
      <c r="C11" s="11" t="s">
        <v>168</v>
      </c>
      <c r="D11" s="24">
        <v>0.31</v>
      </c>
      <c r="E11" s="24">
        <v>0.51</v>
      </c>
      <c r="F11" s="26">
        <v>7.9999999999999994E-40</v>
      </c>
      <c r="G11" s="11" t="s">
        <v>18</v>
      </c>
      <c r="H11" s="11" t="s">
        <v>172</v>
      </c>
      <c r="I11" s="26">
        <v>4.8999999999999998E-29</v>
      </c>
      <c r="J11" s="24">
        <v>0.82499999999999996</v>
      </c>
      <c r="K11" s="12" t="s">
        <v>132</v>
      </c>
      <c r="L11" s="22">
        <f t="shared" si="0"/>
        <v>39.096910013008056</v>
      </c>
      <c r="M11" s="22"/>
      <c r="N11" s="1"/>
      <c r="O11" s="11" t="s">
        <v>19</v>
      </c>
      <c r="P11" s="11" t="s">
        <v>167</v>
      </c>
      <c r="Q11" s="11" t="s">
        <v>168</v>
      </c>
      <c r="R11" s="11" t="s">
        <v>169</v>
      </c>
      <c r="S11" s="11" t="s">
        <v>170</v>
      </c>
      <c r="T11" s="11" t="s">
        <v>171</v>
      </c>
      <c r="U11" s="11" t="s">
        <v>18</v>
      </c>
      <c r="V11" s="11" t="s">
        <v>172</v>
      </c>
      <c r="W11" s="11" t="s">
        <v>173</v>
      </c>
      <c r="X11" s="11" t="s">
        <v>174</v>
      </c>
      <c r="Y11" s="12" t="s">
        <v>145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">
      <c r="A12" s="11" t="s">
        <v>20</v>
      </c>
      <c r="B12" s="11" t="s">
        <v>175</v>
      </c>
      <c r="C12" s="11" t="s">
        <v>176</v>
      </c>
      <c r="D12" s="24">
        <v>0.43</v>
      </c>
      <c r="E12" s="24">
        <v>0.72</v>
      </c>
      <c r="F12" s="26">
        <v>1.7E-18</v>
      </c>
      <c r="G12" s="11" t="s">
        <v>18</v>
      </c>
      <c r="H12" s="11" t="s">
        <v>177</v>
      </c>
      <c r="I12" s="26">
        <v>2.7000000000000001E-40</v>
      </c>
      <c r="J12" s="24">
        <v>9.39</v>
      </c>
      <c r="K12" s="12" t="s">
        <v>132</v>
      </c>
      <c r="L12" s="22">
        <f t="shared" si="0"/>
        <v>17.769551078621728</v>
      </c>
      <c r="M12" s="2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">
      <c r="A13" s="11" t="s">
        <v>21</v>
      </c>
      <c r="B13" s="11" t="s">
        <v>178</v>
      </c>
      <c r="C13" s="11" t="s">
        <v>179</v>
      </c>
      <c r="D13" s="24">
        <v>0.4</v>
      </c>
      <c r="E13" s="24">
        <v>0.71</v>
      </c>
      <c r="F13" s="26">
        <v>1.6999999999999999E-22</v>
      </c>
      <c r="G13" s="11" t="s">
        <v>18</v>
      </c>
      <c r="H13" s="11" t="s">
        <v>39</v>
      </c>
      <c r="I13" s="26">
        <v>3.3E-27</v>
      </c>
      <c r="J13" s="24">
        <v>11.172000000000001</v>
      </c>
      <c r="K13" s="12" t="s">
        <v>132</v>
      </c>
      <c r="L13" s="22">
        <f t="shared" si="0"/>
        <v>21.769551078621728</v>
      </c>
      <c r="M13" s="2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">
      <c r="A14" s="11" t="s">
        <v>22</v>
      </c>
      <c r="B14" s="11" t="s">
        <v>181</v>
      </c>
      <c r="C14" s="11" t="s">
        <v>182</v>
      </c>
      <c r="D14" s="24">
        <v>0.41</v>
      </c>
      <c r="E14" s="24">
        <v>0.69</v>
      </c>
      <c r="F14" s="26">
        <v>3.0000000000000001E-26</v>
      </c>
      <c r="G14" s="11" t="s">
        <v>18</v>
      </c>
      <c r="H14" s="11" t="s">
        <v>30</v>
      </c>
      <c r="I14" s="26">
        <v>2.6999999999999997E-35</v>
      </c>
      <c r="J14" s="24">
        <v>10.831</v>
      </c>
      <c r="K14" s="12" t="s">
        <v>132</v>
      </c>
      <c r="L14" s="22">
        <f t="shared" si="0"/>
        <v>25.522878745280337</v>
      </c>
      <c r="M14" s="2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">
      <c r="A15" s="11" t="s">
        <v>23</v>
      </c>
      <c r="B15" s="11" t="s">
        <v>183</v>
      </c>
      <c r="C15" s="11" t="s">
        <v>184</v>
      </c>
      <c r="D15" s="24">
        <v>0.37</v>
      </c>
      <c r="E15" s="24">
        <v>0.37</v>
      </c>
      <c r="F15" s="26">
        <v>1.1000000000000001E-7</v>
      </c>
      <c r="G15" s="11" t="s">
        <v>18</v>
      </c>
      <c r="H15" s="11" t="s">
        <v>185</v>
      </c>
      <c r="I15" s="26">
        <v>1.5E-9</v>
      </c>
      <c r="J15" s="24">
        <v>3.99</v>
      </c>
      <c r="K15" s="12" t="s">
        <v>132</v>
      </c>
      <c r="L15" s="22">
        <f t="shared" si="0"/>
        <v>6.9586073148417746</v>
      </c>
      <c r="M15" s="2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">
      <c r="A16" s="11" t="s">
        <v>24</v>
      </c>
      <c r="B16" s="11" t="s">
        <v>186</v>
      </c>
      <c r="C16" s="11" t="s">
        <v>187</v>
      </c>
      <c r="D16" s="24">
        <v>0.38</v>
      </c>
      <c r="E16" s="24">
        <v>0.7</v>
      </c>
      <c r="F16" s="26">
        <v>3.8999999999999998E-16</v>
      </c>
      <c r="G16" s="11" t="s">
        <v>18</v>
      </c>
      <c r="H16" s="11" t="s">
        <v>93</v>
      </c>
      <c r="I16" s="26">
        <v>2.7000000000000001E-19</v>
      </c>
      <c r="J16" s="24">
        <v>8.98</v>
      </c>
      <c r="K16" s="12" t="s">
        <v>132</v>
      </c>
      <c r="L16" s="22">
        <f t="shared" si="0"/>
        <v>15.4089353929735</v>
      </c>
      <c r="M16" s="22"/>
      <c r="N16" s="1"/>
      <c r="O16" s="11" t="s">
        <v>24</v>
      </c>
      <c r="P16" s="11" t="s">
        <v>186</v>
      </c>
      <c r="Q16" s="11" t="s">
        <v>187</v>
      </c>
      <c r="R16" s="11" t="s">
        <v>138</v>
      </c>
      <c r="S16" s="11" t="s">
        <v>188</v>
      </c>
      <c r="T16" s="11" t="s">
        <v>189</v>
      </c>
      <c r="U16" s="11" t="s">
        <v>18</v>
      </c>
      <c r="V16" s="11" t="s">
        <v>93</v>
      </c>
      <c r="W16" s="11" t="s">
        <v>190</v>
      </c>
      <c r="X16" s="11" t="s">
        <v>191</v>
      </c>
      <c r="Y16" s="12" t="s">
        <v>145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">
      <c r="A17" s="11" t="s">
        <v>14</v>
      </c>
      <c r="B17" s="11" t="s">
        <v>151</v>
      </c>
      <c r="C17" s="11" t="s">
        <v>129</v>
      </c>
      <c r="D17" s="24">
        <v>0.52</v>
      </c>
      <c r="E17" s="24">
        <v>0.52</v>
      </c>
      <c r="F17" s="26">
        <v>2.0000000000000001E-9</v>
      </c>
      <c r="G17" s="11" t="s">
        <v>18</v>
      </c>
      <c r="H17" s="11" t="s">
        <v>154</v>
      </c>
      <c r="I17" s="26">
        <v>3.6000000000000001E-41</v>
      </c>
      <c r="J17" s="24">
        <v>0.57699999999999996</v>
      </c>
      <c r="K17" s="12" t="s">
        <v>132</v>
      </c>
      <c r="L17" s="22">
        <f t="shared" si="0"/>
        <v>8.6989700043360187</v>
      </c>
      <c r="M17" s="22"/>
      <c r="N17" s="1"/>
      <c r="O17" s="11" t="s">
        <v>14</v>
      </c>
      <c r="P17" s="11" t="s">
        <v>151</v>
      </c>
      <c r="Q17" s="11" t="s">
        <v>129</v>
      </c>
      <c r="R17" s="11" t="s">
        <v>152</v>
      </c>
      <c r="S17" s="11" t="s">
        <v>152</v>
      </c>
      <c r="T17" s="11" t="s">
        <v>192</v>
      </c>
      <c r="U17" s="11" t="s">
        <v>18</v>
      </c>
      <c r="V17" s="11" t="s">
        <v>154</v>
      </c>
      <c r="W17" s="11" t="s">
        <v>193</v>
      </c>
      <c r="X17" s="11" t="s">
        <v>194</v>
      </c>
      <c r="Y17" s="12" t="s">
        <v>145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">
      <c r="A18" s="11" t="s">
        <v>20</v>
      </c>
      <c r="B18" s="11" t="s">
        <v>175</v>
      </c>
      <c r="C18" s="11" t="s">
        <v>195</v>
      </c>
      <c r="D18" s="24">
        <v>0.28000000000000003</v>
      </c>
      <c r="E18" s="24">
        <v>0.7</v>
      </c>
      <c r="F18" s="26">
        <v>1.4000000000000001E-18</v>
      </c>
      <c r="G18" s="11" t="s">
        <v>25</v>
      </c>
      <c r="H18" s="11" t="s">
        <v>177</v>
      </c>
      <c r="I18" s="26">
        <v>3.6000000000000001E-41</v>
      </c>
      <c r="J18" s="24">
        <v>0.73299999999999998</v>
      </c>
      <c r="K18" s="12" t="s">
        <v>132</v>
      </c>
      <c r="L18" s="22">
        <f t="shared" si="0"/>
        <v>17.853871964321762</v>
      </c>
      <c r="M18" s="2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">
      <c r="A19" s="11" t="s">
        <v>22</v>
      </c>
      <c r="B19" s="11" t="s">
        <v>181</v>
      </c>
      <c r="C19" s="11" t="s">
        <v>182</v>
      </c>
      <c r="D19" s="24">
        <v>0.41</v>
      </c>
      <c r="E19" s="24">
        <v>0.69</v>
      </c>
      <c r="F19" s="26">
        <v>1.9000000000000001E-26</v>
      </c>
      <c r="G19" s="11" t="s">
        <v>25</v>
      </c>
      <c r="H19" s="11" t="s">
        <v>30</v>
      </c>
      <c r="I19" s="26">
        <v>3.2000000000000003E-29</v>
      </c>
      <c r="J19" s="24">
        <v>5.8</v>
      </c>
      <c r="K19" s="12" t="s">
        <v>132</v>
      </c>
      <c r="L19" s="22">
        <f t="shared" si="0"/>
        <v>25.721246399047171</v>
      </c>
      <c r="M19" s="2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">
      <c r="A20" s="11" t="s">
        <v>196</v>
      </c>
      <c r="B20" s="11" t="s">
        <v>197</v>
      </c>
      <c r="C20" s="11" t="s">
        <v>198</v>
      </c>
      <c r="D20" s="24">
        <v>0.34</v>
      </c>
      <c r="E20" s="24">
        <v>0.59</v>
      </c>
      <c r="F20" s="26">
        <v>7.1000000000000005E-5</v>
      </c>
      <c r="G20" s="11" t="s">
        <v>25</v>
      </c>
      <c r="H20" s="11" t="s">
        <v>30</v>
      </c>
      <c r="I20" s="26">
        <v>3.2000000000000003E-29</v>
      </c>
      <c r="J20" s="24">
        <v>13.317</v>
      </c>
      <c r="K20" s="12" t="s">
        <v>132</v>
      </c>
      <c r="L20" s="22">
        <f t="shared" si="0"/>
        <v>4.1487416512809245</v>
      </c>
      <c r="M20" s="2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">
      <c r="A21" s="11" t="s">
        <v>27</v>
      </c>
      <c r="B21" s="11" t="s">
        <v>199</v>
      </c>
      <c r="C21" s="11" t="s">
        <v>200</v>
      </c>
      <c r="D21" s="24">
        <v>0.52</v>
      </c>
      <c r="E21" s="24">
        <v>0.52</v>
      </c>
      <c r="F21" s="26">
        <v>1.6000000000000001E-8</v>
      </c>
      <c r="G21" s="11" t="s">
        <v>25</v>
      </c>
      <c r="H21" s="11" t="s">
        <v>18</v>
      </c>
      <c r="I21" s="26">
        <v>6.0000000000000002E-105</v>
      </c>
      <c r="J21" s="24">
        <v>3.44</v>
      </c>
      <c r="K21" s="12" t="s">
        <v>132</v>
      </c>
      <c r="L21" s="22">
        <f t="shared" si="0"/>
        <v>7.795880017344075</v>
      </c>
      <c r="M21" s="2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">
      <c r="A22" s="11" t="s">
        <v>26</v>
      </c>
      <c r="B22" s="11" t="s">
        <v>201</v>
      </c>
      <c r="C22" s="11" t="s">
        <v>202</v>
      </c>
      <c r="D22" s="24">
        <v>0.26</v>
      </c>
      <c r="E22" s="24">
        <v>0.63</v>
      </c>
      <c r="F22" s="26">
        <v>6.1E-6</v>
      </c>
      <c r="G22" s="11" t="s">
        <v>115</v>
      </c>
      <c r="H22" s="11" t="s">
        <v>18</v>
      </c>
      <c r="I22" s="26">
        <v>7.9000000000000004E-101</v>
      </c>
      <c r="J22" s="24">
        <v>0.68100000000000005</v>
      </c>
      <c r="K22" s="12" t="s">
        <v>132</v>
      </c>
      <c r="L22" s="22">
        <f t="shared" si="0"/>
        <v>5.2146701649892329</v>
      </c>
      <c r="M22" s="2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">
      <c r="A23" s="11" t="s">
        <v>19</v>
      </c>
      <c r="B23" s="11" t="s">
        <v>167</v>
      </c>
      <c r="C23" s="11" t="s">
        <v>168</v>
      </c>
      <c r="D23" s="24">
        <v>0.31</v>
      </c>
      <c r="E23" s="24">
        <v>0.51</v>
      </c>
      <c r="F23" s="26">
        <v>7.9999999999999994E-40</v>
      </c>
      <c r="G23" s="11" t="s">
        <v>115</v>
      </c>
      <c r="H23" s="11" t="s">
        <v>172</v>
      </c>
      <c r="I23" s="26">
        <v>5.4000000000000002E-21</v>
      </c>
      <c r="J23" s="24">
        <v>1.7390000000000001</v>
      </c>
      <c r="K23" s="12" t="s">
        <v>132</v>
      </c>
      <c r="L23" s="22">
        <f t="shared" si="0"/>
        <v>39.096910013008056</v>
      </c>
      <c r="M23" s="2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">
      <c r="A24" s="11" t="s">
        <v>72</v>
      </c>
      <c r="B24" s="11" t="s">
        <v>203</v>
      </c>
      <c r="C24" s="11" t="s">
        <v>204</v>
      </c>
      <c r="D24" s="24">
        <v>0.32</v>
      </c>
      <c r="E24" s="24">
        <v>0.59</v>
      </c>
      <c r="F24" s="26">
        <v>3E-9</v>
      </c>
      <c r="G24" s="11" t="s">
        <v>115</v>
      </c>
      <c r="H24" s="11" t="s">
        <v>177</v>
      </c>
      <c r="I24" s="26">
        <v>1.5E-34</v>
      </c>
      <c r="J24" s="24">
        <v>9.3699999999999992</v>
      </c>
      <c r="K24" s="12" t="s">
        <v>132</v>
      </c>
      <c r="L24" s="22">
        <f t="shared" si="0"/>
        <v>8.5228787452803374</v>
      </c>
      <c r="M24" s="2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">
      <c r="A25" s="11" t="s">
        <v>20</v>
      </c>
      <c r="B25" s="11" t="s">
        <v>175</v>
      </c>
      <c r="C25" s="11" t="s">
        <v>195</v>
      </c>
      <c r="D25" s="24">
        <v>0.28000000000000003</v>
      </c>
      <c r="E25" s="24">
        <v>0.7</v>
      </c>
      <c r="F25" s="26">
        <v>7.0999999999999998E-19</v>
      </c>
      <c r="G25" s="11" t="s">
        <v>115</v>
      </c>
      <c r="H25" s="11" t="s">
        <v>177</v>
      </c>
      <c r="I25" s="26">
        <v>1.5E-34</v>
      </c>
      <c r="J25" s="24">
        <v>0.64100000000000001</v>
      </c>
      <c r="K25" s="12" t="s">
        <v>132</v>
      </c>
      <c r="L25" s="22">
        <f t="shared" si="0"/>
        <v>18.148741651280925</v>
      </c>
      <c r="M25" s="2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">
      <c r="A26" s="11" t="s">
        <v>116</v>
      </c>
      <c r="B26" s="11" t="s">
        <v>205</v>
      </c>
      <c r="C26" s="11" t="s">
        <v>158</v>
      </c>
      <c r="D26" s="24">
        <v>0.59</v>
      </c>
      <c r="E26" s="24">
        <v>0.82</v>
      </c>
      <c r="F26" s="26">
        <v>1.8E-67</v>
      </c>
      <c r="G26" s="11" t="s">
        <v>115</v>
      </c>
      <c r="H26" s="11" t="s">
        <v>207</v>
      </c>
      <c r="I26" s="26">
        <v>8.9</v>
      </c>
      <c r="J26" s="24">
        <v>11.785</v>
      </c>
      <c r="K26" s="12" t="s">
        <v>132</v>
      </c>
      <c r="L26" s="22">
        <f t="shared" si="0"/>
        <v>66.744727494896694</v>
      </c>
      <c r="M26" s="2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">
      <c r="A27" s="11" t="s">
        <v>21</v>
      </c>
      <c r="B27" s="11" t="s">
        <v>178</v>
      </c>
      <c r="C27" s="11" t="s">
        <v>179</v>
      </c>
      <c r="D27" s="24">
        <v>0.4</v>
      </c>
      <c r="E27" s="24">
        <v>0.71</v>
      </c>
      <c r="F27" s="26">
        <v>1.5E-23</v>
      </c>
      <c r="G27" s="11" t="s">
        <v>115</v>
      </c>
      <c r="H27" s="11" t="s">
        <v>39</v>
      </c>
      <c r="I27" s="26">
        <v>1.5000000000000001E-20</v>
      </c>
      <c r="J27" s="24">
        <v>10.64</v>
      </c>
      <c r="K27" s="12" t="s">
        <v>132</v>
      </c>
      <c r="L27" s="22">
        <f t="shared" si="0"/>
        <v>22.823908740944319</v>
      </c>
      <c r="M27" s="2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">
      <c r="A28" s="11" t="s">
        <v>22</v>
      </c>
      <c r="B28" s="11" t="s">
        <v>181</v>
      </c>
      <c r="C28" s="11" t="s">
        <v>182</v>
      </c>
      <c r="D28" s="24">
        <v>0.41</v>
      </c>
      <c r="E28" s="24">
        <v>0.69</v>
      </c>
      <c r="F28" s="26">
        <v>5.3999999999999998E-27</v>
      </c>
      <c r="G28" s="11" t="s">
        <v>115</v>
      </c>
      <c r="H28" s="11" t="s">
        <v>30</v>
      </c>
      <c r="I28" s="26">
        <v>1.6000000000000001E-24</v>
      </c>
      <c r="J28" s="24">
        <v>0.49</v>
      </c>
      <c r="K28" s="12" t="s">
        <v>132</v>
      </c>
      <c r="L28" s="22">
        <f t="shared" si="0"/>
        <v>26.267606240177031</v>
      </c>
      <c r="M28" s="2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">
      <c r="A29" s="11" t="s">
        <v>27</v>
      </c>
      <c r="B29" s="11" t="s">
        <v>199</v>
      </c>
      <c r="C29" s="11" t="s">
        <v>200</v>
      </c>
      <c r="D29" s="24">
        <v>0.52</v>
      </c>
      <c r="E29" s="24">
        <v>0.52</v>
      </c>
      <c r="F29" s="26">
        <v>6.1E-9</v>
      </c>
      <c r="G29" s="11" t="s">
        <v>115</v>
      </c>
      <c r="H29" s="11" t="s">
        <v>18</v>
      </c>
      <c r="I29" s="26">
        <v>7.9000000000000004E-101</v>
      </c>
      <c r="J29" s="24">
        <v>0.35299999999999998</v>
      </c>
      <c r="K29" s="12" t="s">
        <v>132</v>
      </c>
      <c r="L29" s="22">
        <f t="shared" si="0"/>
        <v>8.2146701649892329</v>
      </c>
      <c r="M29" s="2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">
      <c r="A30" s="11" t="s">
        <v>117</v>
      </c>
      <c r="B30" s="11" t="s">
        <v>208</v>
      </c>
      <c r="C30" s="11" t="s">
        <v>209</v>
      </c>
      <c r="D30" s="24">
        <v>0.31</v>
      </c>
      <c r="E30" s="24">
        <v>0.56999999999999995</v>
      </c>
      <c r="F30" s="26">
        <v>9.8999999999999994E-5</v>
      </c>
      <c r="G30" s="11" t="s">
        <v>115</v>
      </c>
      <c r="H30" s="11" t="s">
        <v>18</v>
      </c>
      <c r="I30" s="26">
        <v>7.9000000000000004E-101</v>
      </c>
      <c r="J30" s="24">
        <v>4.3310000000000004</v>
      </c>
      <c r="K30" s="12" t="s">
        <v>132</v>
      </c>
      <c r="L30" s="22">
        <f t="shared" si="0"/>
        <v>4.0043648054024503</v>
      </c>
      <c r="M30" s="2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">
      <c r="A31" s="11" t="s">
        <v>29</v>
      </c>
      <c r="B31" s="11" t="s">
        <v>210</v>
      </c>
      <c r="C31" s="11" t="s">
        <v>211</v>
      </c>
      <c r="D31" s="24">
        <v>0.4</v>
      </c>
      <c r="E31" s="24">
        <v>0.54</v>
      </c>
      <c r="F31" s="26">
        <v>3.1000000000000001E-5</v>
      </c>
      <c r="G31" s="11" t="s">
        <v>28</v>
      </c>
      <c r="H31" s="11" t="s">
        <v>177</v>
      </c>
      <c r="I31" s="26">
        <v>2.0999999999999999E-49</v>
      </c>
      <c r="J31" s="24">
        <v>2.5</v>
      </c>
      <c r="K31" s="12" t="s">
        <v>132</v>
      </c>
      <c r="L31" s="22">
        <f t="shared" si="0"/>
        <v>4.5086383061657269</v>
      </c>
      <c r="M31" s="2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">
      <c r="A32" s="11" t="s">
        <v>31</v>
      </c>
      <c r="B32" s="11" t="s">
        <v>213</v>
      </c>
      <c r="C32" s="11" t="s">
        <v>214</v>
      </c>
      <c r="D32" s="24">
        <v>0.25</v>
      </c>
      <c r="E32" s="24">
        <v>0.54</v>
      </c>
      <c r="F32" s="26">
        <v>1.7E-16</v>
      </c>
      <c r="G32" s="11" t="s">
        <v>30</v>
      </c>
      <c r="H32" s="11" t="s">
        <v>216</v>
      </c>
      <c r="I32" s="26">
        <v>9.6000000000000005E-32</v>
      </c>
      <c r="J32" s="24">
        <v>12.545999999999999</v>
      </c>
      <c r="K32" s="12" t="s">
        <v>132</v>
      </c>
      <c r="L32" s="22">
        <f t="shared" si="0"/>
        <v>15.769551078621726</v>
      </c>
      <c r="M32" s="2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">
      <c r="A33" s="11" t="s">
        <v>32</v>
      </c>
      <c r="B33" s="11" t="s">
        <v>217</v>
      </c>
      <c r="C33" s="11" t="s">
        <v>218</v>
      </c>
      <c r="D33" s="24">
        <v>0.28000000000000003</v>
      </c>
      <c r="E33" s="24">
        <v>0.53</v>
      </c>
      <c r="F33" s="26">
        <v>1.3000000000000001E-21</v>
      </c>
      <c r="G33" s="11" t="s">
        <v>30</v>
      </c>
      <c r="H33" s="11" t="s">
        <v>46</v>
      </c>
      <c r="I33" s="26">
        <v>2.3000000000000001E-60</v>
      </c>
      <c r="J33" s="24">
        <v>6.3</v>
      </c>
      <c r="K33" s="12" t="s">
        <v>132</v>
      </c>
      <c r="L33" s="22">
        <f t="shared" si="0"/>
        <v>20.886056647693163</v>
      </c>
      <c r="M33" s="2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">
      <c r="A34" s="11" t="s">
        <v>14</v>
      </c>
      <c r="B34" s="11" t="s">
        <v>151</v>
      </c>
      <c r="C34" s="11" t="s">
        <v>219</v>
      </c>
      <c r="D34" s="24">
        <v>0.28000000000000003</v>
      </c>
      <c r="E34" s="24">
        <v>0.57999999999999996</v>
      </c>
      <c r="F34" s="26">
        <v>4.9000000000000001E-18</v>
      </c>
      <c r="G34" s="11" t="s">
        <v>30</v>
      </c>
      <c r="H34" s="11" t="s">
        <v>220</v>
      </c>
      <c r="I34" s="26">
        <v>5.8000000000000003E-54</v>
      </c>
      <c r="J34" s="24">
        <v>5.8</v>
      </c>
      <c r="K34" s="12" t="s">
        <v>132</v>
      </c>
      <c r="L34" s="22">
        <f t="shared" si="0"/>
        <v>17.309803919971486</v>
      </c>
      <c r="M34" s="2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">
      <c r="A35" s="11" t="s">
        <v>33</v>
      </c>
      <c r="B35" s="11" t="s">
        <v>221</v>
      </c>
      <c r="C35" s="11" t="s">
        <v>222</v>
      </c>
      <c r="D35" s="24">
        <v>0.3</v>
      </c>
      <c r="E35" s="24">
        <v>0.63</v>
      </c>
      <c r="F35" s="26">
        <v>1.4000000000000001E-10</v>
      </c>
      <c r="G35" s="11" t="s">
        <v>30</v>
      </c>
      <c r="H35" s="11" t="s">
        <v>225</v>
      </c>
      <c r="I35" s="26">
        <v>9.4</v>
      </c>
      <c r="J35" s="24">
        <v>3.4860000000000002</v>
      </c>
      <c r="K35" s="12" t="s">
        <v>132</v>
      </c>
      <c r="L35" s="22">
        <f t="shared" si="0"/>
        <v>9.8538719643217618</v>
      </c>
      <c r="M35" s="2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">
      <c r="A36" s="11" t="s">
        <v>29</v>
      </c>
      <c r="B36" s="11" t="s">
        <v>210</v>
      </c>
      <c r="C36" s="11" t="s">
        <v>226</v>
      </c>
      <c r="D36" s="24">
        <v>0.32</v>
      </c>
      <c r="E36" s="24">
        <v>0.54</v>
      </c>
      <c r="F36" s="26">
        <v>8.7999999999999994E-8</v>
      </c>
      <c r="G36" s="11" t="s">
        <v>30</v>
      </c>
      <c r="H36" s="11" t="s">
        <v>227</v>
      </c>
      <c r="I36" s="26">
        <v>8.9000000000000003E-55</v>
      </c>
      <c r="J36" s="24">
        <v>2.2000000000000002</v>
      </c>
      <c r="K36" s="12" t="s">
        <v>132</v>
      </c>
      <c r="L36" s="22">
        <f t="shared" si="0"/>
        <v>7.0555173278498318</v>
      </c>
      <c r="M36" s="2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">
      <c r="A37" s="11" t="s">
        <v>35</v>
      </c>
      <c r="B37" s="11" t="s">
        <v>228</v>
      </c>
      <c r="C37" s="11" t="s">
        <v>229</v>
      </c>
      <c r="D37" s="24">
        <v>0.73</v>
      </c>
      <c r="E37" s="24">
        <v>0.96</v>
      </c>
      <c r="F37" s="26">
        <v>5.7999999999999996E-10</v>
      </c>
      <c r="G37" s="11" t="s">
        <v>34</v>
      </c>
      <c r="H37" s="11" t="s">
        <v>230</v>
      </c>
      <c r="I37" s="26">
        <v>1.1999999999999999E-14</v>
      </c>
      <c r="J37" s="24">
        <v>17</v>
      </c>
      <c r="K37" s="12" t="s">
        <v>132</v>
      </c>
      <c r="L37" s="22">
        <f t="shared" si="0"/>
        <v>9.2365720064370631</v>
      </c>
      <c r="M37" s="2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">
      <c r="A38" s="11" t="s">
        <v>36</v>
      </c>
      <c r="B38" s="11" t="s">
        <v>231</v>
      </c>
      <c r="C38" s="11" t="s">
        <v>232</v>
      </c>
      <c r="D38" s="24">
        <v>0.32</v>
      </c>
      <c r="E38" s="24">
        <v>0.32</v>
      </c>
      <c r="F38" s="26">
        <v>7.4000000000000001E-7</v>
      </c>
      <c r="G38" s="11" t="s">
        <v>34</v>
      </c>
      <c r="H38" s="11" t="s">
        <v>78</v>
      </c>
      <c r="I38" s="26">
        <v>4.5000000000000001E-110</v>
      </c>
      <c r="J38" s="24">
        <v>0.82899999999999996</v>
      </c>
      <c r="K38" s="12" t="s">
        <v>132</v>
      </c>
      <c r="L38" s="22">
        <f t="shared" si="0"/>
        <v>6.1307682802690238</v>
      </c>
      <c r="M38" s="2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">
      <c r="A39" s="11" t="s">
        <v>37</v>
      </c>
      <c r="B39" s="11" t="s">
        <v>233</v>
      </c>
      <c r="C39" s="11" t="s">
        <v>234</v>
      </c>
      <c r="D39" s="24">
        <v>0.71</v>
      </c>
      <c r="E39" s="24">
        <v>0.83</v>
      </c>
      <c r="F39" s="26">
        <v>2.0000000000000002E-43</v>
      </c>
      <c r="G39" s="11" t="s">
        <v>34</v>
      </c>
      <c r="H39" s="11" t="s">
        <v>78</v>
      </c>
      <c r="I39" s="26">
        <v>4.5000000000000001E-110</v>
      </c>
      <c r="J39" s="24">
        <v>0.25700000000000001</v>
      </c>
      <c r="K39" s="12" t="s">
        <v>132</v>
      </c>
      <c r="L39" s="22">
        <f t="shared" si="0"/>
        <v>42.698970004336019</v>
      </c>
      <c r="M39" s="2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">
      <c r="A40" s="11" t="s">
        <v>38</v>
      </c>
      <c r="B40" s="11" t="s">
        <v>236</v>
      </c>
      <c r="C40" s="11" t="s">
        <v>237</v>
      </c>
      <c r="D40" s="24">
        <v>0.34</v>
      </c>
      <c r="E40" s="24">
        <v>0.59</v>
      </c>
      <c r="F40" s="26">
        <v>2.4999999999999998E-22</v>
      </c>
      <c r="G40" s="11" t="s">
        <v>34</v>
      </c>
      <c r="H40" s="11" t="s">
        <v>78</v>
      </c>
      <c r="I40" s="26">
        <v>4.5000000000000001E-110</v>
      </c>
      <c r="J40" s="24">
        <v>0.71</v>
      </c>
      <c r="K40" s="12" t="s">
        <v>132</v>
      </c>
      <c r="L40" s="22">
        <f t="shared" si="0"/>
        <v>21.602059991327963</v>
      </c>
      <c r="M40" s="2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">
      <c r="A41" s="11" t="s">
        <v>8</v>
      </c>
      <c r="B41" s="11" t="s">
        <v>128</v>
      </c>
      <c r="C41" s="11" t="s">
        <v>129</v>
      </c>
      <c r="D41" s="24">
        <v>0.5</v>
      </c>
      <c r="E41" s="24">
        <v>0.5</v>
      </c>
      <c r="F41" s="26">
        <v>4.8E-8</v>
      </c>
      <c r="G41" s="11" t="s">
        <v>39</v>
      </c>
      <c r="H41" s="11" t="s">
        <v>60</v>
      </c>
      <c r="I41" s="26">
        <v>2.2999999999999998E-30</v>
      </c>
      <c r="J41" s="24">
        <v>0.111</v>
      </c>
      <c r="K41" s="12" t="s">
        <v>132</v>
      </c>
      <c r="L41" s="22">
        <f t="shared" si="0"/>
        <v>7.3187587626244124</v>
      </c>
      <c r="M41" s="2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">
      <c r="A42" s="11" t="s">
        <v>40</v>
      </c>
      <c r="B42" s="11" t="s">
        <v>238</v>
      </c>
      <c r="C42" s="11" t="s">
        <v>239</v>
      </c>
      <c r="D42" s="24">
        <v>0.35</v>
      </c>
      <c r="E42" s="24">
        <v>0.81</v>
      </c>
      <c r="F42" s="26">
        <v>2.2999999999999999E-33</v>
      </c>
      <c r="G42" s="11" t="s">
        <v>39</v>
      </c>
      <c r="H42" s="11" t="s">
        <v>60</v>
      </c>
      <c r="I42" s="26">
        <v>2.2999999999999998E-30</v>
      </c>
      <c r="J42" s="24">
        <v>0.13500000000000001</v>
      </c>
      <c r="K42" s="12" t="s">
        <v>132</v>
      </c>
      <c r="L42" s="22">
        <f t="shared" si="0"/>
        <v>32.638272163982407</v>
      </c>
      <c r="M42" s="2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">
      <c r="A43" s="11" t="s">
        <v>41</v>
      </c>
      <c r="B43" s="11" t="s">
        <v>241</v>
      </c>
      <c r="C43" s="11" t="s">
        <v>242</v>
      </c>
      <c r="D43" s="24">
        <v>0.65</v>
      </c>
      <c r="E43" s="24">
        <v>0.65</v>
      </c>
      <c r="F43" s="26">
        <v>1.1000000000000001E-53</v>
      </c>
      <c r="G43" s="11" t="s">
        <v>39</v>
      </c>
      <c r="H43" s="11" t="s">
        <v>63</v>
      </c>
      <c r="I43" s="26">
        <v>2.3E-36</v>
      </c>
      <c r="J43" s="24">
        <v>8.5739999999999998</v>
      </c>
      <c r="K43" s="12" t="s">
        <v>132</v>
      </c>
      <c r="L43" s="22">
        <f t="shared" si="0"/>
        <v>52.958607314841778</v>
      </c>
      <c r="M43" s="2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">
      <c r="A44" s="11" t="s">
        <v>42</v>
      </c>
      <c r="B44" s="11" t="s">
        <v>243</v>
      </c>
      <c r="C44" s="11" t="s">
        <v>244</v>
      </c>
      <c r="D44" s="24">
        <v>0.3</v>
      </c>
      <c r="E44" s="24">
        <v>0.65</v>
      </c>
      <c r="F44" s="26">
        <v>3.8000000000000003E-8</v>
      </c>
      <c r="G44" s="11" t="s">
        <v>39</v>
      </c>
      <c r="H44" s="11" t="s">
        <v>216</v>
      </c>
      <c r="I44" s="26">
        <v>1.3999999999999999E-94</v>
      </c>
      <c r="J44" s="24">
        <v>11.082000000000001</v>
      </c>
      <c r="K44" s="12" t="s">
        <v>132</v>
      </c>
      <c r="L44" s="22">
        <f t="shared" si="0"/>
        <v>7.4202164033831899</v>
      </c>
      <c r="M44" s="2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">
      <c r="A45" s="11" t="s">
        <v>8</v>
      </c>
      <c r="B45" s="11" t="s">
        <v>128</v>
      </c>
      <c r="C45" s="11" t="s">
        <v>129</v>
      </c>
      <c r="D45" s="24">
        <v>0.5</v>
      </c>
      <c r="E45" s="24">
        <v>0.5</v>
      </c>
      <c r="F45" s="26">
        <v>1.2E-9</v>
      </c>
      <c r="G45" s="11" t="s">
        <v>43</v>
      </c>
      <c r="H45" s="11" t="s">
        <v>60</v>
      </c>
      <c r="I45" s="26">
        <v>2.1E-45</v>
      </c>
      <c r="J45" s="24">
        <v>6.4000000000000001E-2</v>
      </c>
      <c r="K45" s="12" t="s">
        <v>132</v>
      </c>
      <c r="L45" s="22">
        <f t="shared" si="0"/>
        <v>8.9208187539523749</v>
      </c>
      <c r="M45" s="22"/>
      <c r="N45" s="1"/>
      <c r="O45" s="11" t="s">
        <v>8</v>
      </c>
      <c r="P45" s="11" t="s">
        <v>128</v>
      </c>
      <c r="Q45" s="11" t="s">
        <v>129</v>
      </c>
      <c r="R45" s="11" t="s">
        <v>130</v>
      </c>
      <c r="S45" s="11" t="s">
        <v>130</v>
      </c>
      <c r="T45" s="11" t="s">
        <v>245</v>
      </c>
      <c r="U45" s="11" t="s">
        <v>43</v>
      </c>
      <c r="V45" s="11" t="s">
        <v>60</v>
      </c>
      <c r="W45" s="11" t="s">
        <v>246</v>
      </c>
      <c r="X45" s="11" t="s">
        <v>247</v>
      </c>
      <c r="Y45" s="12" t="s">
        <v>145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">
      <c r="A46" s="11" t="s">
        <v>40</v>
      </c>
      <c r="B46" s="11" t="s">
        <v>238</v>
      </c>
      <c r="C46" s="11" t="s">
        <v>248</v>
      </c>
      <c r="D46" s="24">
        <v>0.36</v>
      </c>
      <c r="E46" s="24">
        <v>0.81</v>
      </c>
      <c r="F46" s="26">
        <v>2.8999999999999998E-10</v>
      </c>
      <c r="G46" s="11" t="s">
        <v>43</v>
      </c>
      <c r="H46" s="11" t="s">
        <v>60</v>
      </c>
      <c r="I46" s="26">
        <v>2.1E-45</v>
      </c>
      <c r="J46" s="24">
        <v>0.92900000000000005</v>
      </c>
      <c r="K46" s="12" t="s">
        <v>132</v>
      </c>
      <c r="L46" s="22">
        <f t="shared" si="0"/>
        <v>9.5376020021010444</v>
      </c>
      <c r="M46" s="22"/>
      <c r="N46" s="1"/>
      <c r="O46" s="11" t="s">
        <v>40</v>
      </c>
      <c r="P46" s="11" t="s">
        <v>238</v>
      </c>
      <c r="Q46" s="11" t="s">
        <v>248</v>
      </c>
      <c r="R46" s="11" t="s">
        <v>249</v>
      </c>
      <c r="S46" s="11" t="s">
        <v>240</v>
      </c>
      <c r="T46" s="11" t="s">
        <v>164</v>
      </c>
      <c r="U46" s="11" t="s">
        <v>43</v>
      </c>
      <c r="V46" s="11" t="s">
        <v>60</v>
      </c>
      <c r="W46" s="11" t="s">
        <v>246</v>
      </c>
      <c r="X46" s="11" t="s">
        <v>250</v>
      </c>
      <c r="Y46" s="12" t="s">
        <v>145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">
      <c r="A47" s="11" t="s">
        <v>44</v>
      </c>
      <c r="B47" s="11" t="s">
        <v>251</v>
      </c>
      <c r="C47" s="11" t="s">
        <v>252</v>
      </c>
      <c r="D47" s="24">
        <v>0.48</v>
      </c>
      <c r="E47" s="24">
        <v>0.48</v>
      </c>
      <c r="F47" s="26">
        <v>1.5000000000000001E-12</v>
      </c>
      <c r="G47" s="11" t="s">
        <v>43</v>
      </c>
      <c r="H47" s="11" t="s">
        <v>254</v>
      </c>
      <c r="I47" s="26">
        <v>8.0999999999999998E-143</v>
      </c>
      <c r="J47" s="24">
        <v>7.0000000000000001E-3</v>
      </c>
      <c r="K47" s="12" t="s">
        <v>132</v>
      </c>
      <c r="L47" s="22">
        <f t="shared" si="0"/>
        <v>11.823908740944319</v>
      </c>
      <c r="M47" s="22"/>
      <c r="N47" s="1"/>
      <c r="O47" s="11" t="s">
        <v>44</v>
      </c>
      <c r="P47" s="11" t="s">
        <v>251</v>
      </c>
      <c r="Q47" s="11" t="s">
        <v>252</v>
      </c>
      <c r="R47" s="11" t="s">
        <v>159</v>
      </c>
      <c r="S47" s="11" t="s">
        <v>159</v>
      </c>
      <c r="T47" s="11" t="s">
        <v>253</v>
      </c>
      <c r="U47" s="11" t="s">
        <v>43</v>
      </c>
      <c r="V47" s="11" t="s">
        <v>254</v>
      </c>
      <c r="W47" s="11" t="s">
        <v>255</v>
      </c>
      <c r="X47" s="11" t="s">
        <v>256</v>
      </c>
      <c r="Y47" s="12" t="s">
        <v>145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">
      <c r="A48" s="11" t="s">
        <v>45</v>
      </c>
      <c r="B48" s="11" t="s">
        <v>257</v>
      </c>
      <c r="C48" s="11" t="s">
        <v>258</v>
      </c>
      <c r="D48" s="24">
        <v>0.82</v>
      </c>
      <c r="E48" s="24">
        <v>0.82</v>
      </c>
      <c r="F48" s="26">
        <v>1.4000000000000001E-10</v>
      </c>
      <c r="G48" s="11" t="s">
        <v>43</v>
      </c>
      <c r="H48" s="11" t="s">
        <v>216</v>
      </c>
      <c r="I48" s="26">
        <v>6.5999999999999998E-109</v>
      </c>
      <c r="J48" s="24">
        <v>1.123</v>
      </c>
      <c r="K48" s="12" t="s">
        <v>132</v>
      </c>
      <c r="L48" s="22">
        <f t="shared" si="0"/>
        <v>9.8538719643217618</v>
      </c>
      <c r="M48" s="22"/>
      <c r="N48" s="1"/>
      <c r="O48" s="11" t="s">
        <v>45</v>
      </c>
      <c r="P48" s="11" t="s">
        <v>257</v>
      </c>
      <c r="Q48" s="11" t="s">
        <v>258</v>
      </c>
      <c r="R48" s="11" t="s">
        <v>206</v>
      </c>
      <c r="S48" s="11" t="s">
        <v>206</v>
      </c>
      <c r="T48" s="11" t="s">
        <v>224</v>
      </c>
      <c r="U48" s="11" t="s">
        <v>43</v>
      </c>
      <c r="V48" s="11" t="s">
        <v>216</v>
      </c>
      <c r="W48" s="11" t="s">
        <v>259</v>
      </c>
      <c r="X48" s="11" t="s">
        <v>260</v>
      </c>
      <c r="Y48" s="12" t="s">
        <v>145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">
      <c r="A49" s="11" t="s">
        <v>41</v>
      </c>
      <c r="B49" s="11" t="s">
        <v>241</v>
      </c>
      <c r="C49" s="11" t="s">
        <v>242</v>
      </c>
      <c r="D49" s="24">
        <v>0.65</v>
      </c>
      <c r="E49" s="24">
        <v>0.65</v>
      </c>
      <c r="F49" s="26">
        <v>2E-50</v>
      </c>
      <c r="G49" s="11" t="s">
        <v>43</v>
      </c>
      <c r="H49" s="11" t="s">
        <v>63</v>
      </c>
      <c r="I49" s="26">
        <v>1.9E-33</v>
      </c>
      <c r="J49" s="24">
        <v>5.5629999999999997</v>
      </c>
      <c r="K49" s="12" t="s">
        <v>132</v>
      </c>
      <c r="L49" s="22">
        <f t="shared" si="0"/>
        <v>49.698970004336019</v>
      </c>
      <c r="M49" s="2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">
      <c r="A50" s="11" t="s">
        <v>47</v>
      </c>
      <c r="B50" s="11" t="s">
        <v>261</v>
      </c>
      <c r="C50" s="11" t="s">
        <v>262</v>
      </c>
      <c r="D50" s="24">
        <v>0.4</v>
      </c>
      <c r="E50" s="24">
        <v>0.4</v>
      </c>
      <c r="F50" s="26">
        <v>5.7999999999999996E-10</v>
      </c>
      <c r="G50" s="11" t="s">
        <v>46</v>
      </c>
      <c r="H50" s="11" t="s">
        <v>263</v>
      </c>
      <c r="I50" s="26">
        <v>4.2000000000000001E-47</v>
      </c>
      <c r="J50" s="24">
        <v>4.8099999999999996</v>
      </c>
      <c r="K50" s="12" t="s">
        <v>132</v>
      </c>
      <c r="L50" s="22">
        <f t="shared" si="0"/>
        <v>9.2365720064370631</v>
      </c>
      <c r="M50" s="22"/>
      <c r="N50" s="1"/>
      <c r="O50" s="11" t="s">
        <v>47</v>
      </c>
      <c r="P50" s="11" t="s">
        <v>261</v>
      </c>
      <c r="Q50" s="11" t="s">
        <v>262</v>
      </c>
      <c r="R50" s="11" t="s">
        <v>180</v>
      </c>
      <c r="S50" s="11" t="s">
        <v>180</v>
      </c>
      <c r="T50" s="11" t="s">
        <v>161</v>
      </c>
      <c r="U50" s="11" t="s">
        <v>46</v>
      </c>
      <c r="V50" s="11" t="s">
        <v>263</v>
      </c>
      <c r="W50" s="11" t="s">
        <v>264</v>
      </c>
      <c r="X50" s="11" t="s">
        <v>265</v>
      </c>
      <c r="Y50" s="12" t="s">
        <v>266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">
      <c r="A51" s="11" t="s">
        <v>22</v>
      </c>
      <c r="B51" s="11" t="s">
        <v>181</v>
      </c>
      <c r="C51" s="11" t="s">
        <v>182</v>
      </c>
      <c r="D51" s="24">
        <v>0.41</v>
      </c>
      <c r="E51" s="24">
        <v>0.67</v>
      </c>
      <c r="F51" s="26">
        <v>6.8000000000000001E-60</v>
      </c>
      <c r="G51" s="11" t="s">
        <v>46</v>
      </c>
      <c r="H51" s="11" t="s">
        <v>30</v>
      </c>
      <c r="I51" s="26">
        <v>7.8000000000000004E-54</v>
      </c>
      <c r="J51" s="24">
        <v>13</v>
      </c>
      <c r="K51" s="12" t="s">
        <v>266</v>
      </c>
      <c r="L51" s="22">
        <f t="shared" si="0"/>
        <v>59.167491087293762</v>
      </c>
      <c r="M51" s="2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">
      <c r="A52" s="11" t="s">
        <v>48</v>
      </c>
      <c r="B52" s="11" t="s">
        <v>268</v>
      </c>
      <c r="C52" s="11" t="s">
        <v>269</v>
      </c>
      <c r="D52" s="24">
        <v>0.32</v>
      </c>
      <c r="E52" s="24">
        <v>0.75</v>
      </c>
      <c r="F52" s="26">
        <v>4.2000000000000004E-9</v>
      </c>
      <c r="G52" s="11" t="s">
        <v>46</v>
      </c>
      <c r="H52" s="11" t="s">
        <v>30</v>
      </c>
      <c r="I52" s="26">
        <v>7.8000000000000004E-54</v>
      </c>
      <c r="J52" s="24">
        <v>2.8</v>
      </c>
      <c r="K52" s="12" t="s">
        <v>266</v>
      </c>
      <c r="L52" s="22">
        <f t="shared" si="0"/>
        <v>8.3767507096020992</v>
      </c>
      <c r="M52" s="2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">
      <c r="A53" s="11" t="s">
        <v>49</v>
      </c>
      <c r="B53" s="11" t="s">
        <v>270</v>
      </c>
      <c r="C53" s="11" t="s">
        <v>271</v>
      </c>
      <c r="D53" s="24">
        <v>0.46</v>
      </c>
      <c r="E53" s="24">
        <v>0.6</v>
      </c>
      <c r="F53" s="26">
        <v>1.4000000000000001E-10</v>
      </c>
      <c r="G53" s="11" t="s">
        <v>46</v>
      </c>
      <c r="H53" s="11" t="s">
        <v>7</v>
      </c>
      <c r="I53" s="26">
        <v>2E-45</v>
      </c>
      <c r="J53" s="24">
        <v>9.0869999999999997</v>
      </c>
      <c r="K53" s="12" t="s">
        <v>132</v>
      </c>
      <c r="L53" s="22">
        <f t="shared" si="0"/>
        <v>9.8538719643217618</v>
      </c>
      <c r="M53" s="2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">
      <c r="A54" s="11" t="s">
        <v>51</v>
      </c>
      <c r="B54" s="11" t="s">
        <v>272</v>
      </c>
      <c r="C54" s="11" t="s">
        <v>182</v>
      </c>
      <c r="D54" s="24">
        <v>0.48</v>
      </c>
      <c r="E54" s="24">
        <v>0.65</v>
      </c>
      <c r="F54" s="26">
        <v>7.6000000000000004E-5</v>
      </c>
      <c r="G54" s="11" t="s">
        <v>50</v>
      </c>
      <c r="H54" s="11" t="s">
        <v>273</v>
      </c>
      <c r="I54" s="26">
        <v>9.2999999999999997E-5</v>
      </c>
      <c r="J54" s="24">
        <v>6.9</v>
      </c>
      <c r="K54" s="12" t="s">
        <v>132</v>
      </c>
      <c r="L54" s="22">
        <f t="shared" si="0"/>
        <v>4.1191864077192086</v>
      </c>
      <c r="M54" s="2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">
      <c r="A55" s="11" t="s">
        <v>20</v>
      </c>
      <c r="B55" s="11" t="s">
        <v>175</v>
      </c>
      <c r="C55" s="11" t="s">
        <v>274</v>
      </c>
      <c r="D55" s="24">
        <v>0.26</v>
      </c>
      <c r="E55" s="24">
        <v>0.64</v>
      </c>
      <c r="F55" s="26">
        <v>5.9999999999999999E-16</v>
      </c>
      <c r="G55" s="11" t="s">
        <v>52</v>
      </c>
      <c r="H55" s="11" t="s">
        <v>7</v>
      </c>
      <c r="I55" s="26">
        <v>6.1000000000000004E-43</v>
      </c>
      <c r="J55" s="24">
        <v>1.2889999999999999</v>
      </c>
      <c r="K55" s="12" t="s">
        <v>132</v>
      </c>
      <c r="L55" s="22">
        <f t="shared" si="0"/>
        <v>15.221848749616356</v>
      </c>
      <c r="M55" s="2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">
      <c r="A56" s="11" t="s">
        <v>53</v>
      </c>
      <c r="B56" s="11" t="s">
        <v>276</v>
      </c>
      <c r="C56" s="11" t="s">
        <v>277</v>
      </c>
      <c r="D56" s="24">
        <v>0.49</v>
      </c>
      <c r="E56" s="24">
        <v>0.57999999999999996</v>
      </c>
      <c r="F56" s="26">
        <v>2.9999999999999997E-8</v>
      </c>
      <c r="G56" s="11" t="s">
        <v>52</v>
      </c>
      <c r="H56" s="11" t="s">
        <v>50</v>
      </c>
      <c r="I56" s="26">
        <v>1.6000000000000001E-100</v>
      </c>
      <c r="J56" s="24">
        <v>6.3230000000000004</v>
      </c>
      <c r="K56" s="12" t="s">
        <v>132</v>
      </c>
      <c r="L56" s="22">
        <f t="shared" si="0"/>
        <v>7.5228787452803374</v>
      </c>
      <c r="M56" s="2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">
      <c r="A57" s="11" t="s">
        <v>22</v>
      </c>
      <c r="B57" s="11" t="s">
        <v>181</v>
      </c>
      <c r="C57" s="11" t="s">
        <v>182</v>
      </c>
      <c r="D57" s="24">
        <v>0.41</v>
      </c>
      <c r="E57" s="24">
        <v>0.8</v>
      </c>
      <c r="F57" s="26">
        <v>3.3999999999999997E-29</v>
      </c>
      <c r="G57" s="11" t="s">
        <v>52</v>
      </c>
      <c r="H57" s="11" t="s">
        <v>75</v>
      </c>
      <c r="I57" s="26">
        <v>1.9E-33</v>
      </c>
      <c r="J57" s="24">
        <v>0.53</v>
      </c>
      <c r="K57" s="12" t="s">
        <v>132</v>
      </c>
      <c r="L57" s="22">
        <f t="shared" si="0"/>
        <v>28.468521082957746</v>
      </c>
      <c r="M57" s="2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">
      <c r="A58" s="11" t="s">
        <v>54</v>
      </c>
      <c r="B58" s="11" t="s">
        <v>278</v>
      </c>
      <c r="C58" s="11" t="s">
        <v>279</v>
      </c>
      <c r="D58" s="24">
        <v>0.48</v>
      </c>
      <c r="E58" s="24">
        <v>0.48</v>
      </c>
      <c r="F58" s="26">
        <v>2.8000000000000002E-13</v>
      </c>
      <c r="G58" s="11" t="s">
        <v>52</v>
      </c>
      <c r="H58" s="11" t="s">
        <v>50</v>
      </c>
      <c r="I58" s="26">
        <v>1.6000000000000001E-100</v>
      </c>
      <c r="J58" s="24">
        <v>0.94699999999999995</v>
      </c>
      <c r="K58" s="12" t="s">
        <v>132</v>
      </c>
      <c r="L58" s="22">
        <f t="shared" si="0"/>
        <v>12.552841968657781</v>
      </c>
      <c r="M58" s="2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">
      <c r="A59" s="11" t="s">
        <v>55</v>
      </c>
      <c r="B59" s="11" t="s">
        <v>280</v>
      </c>
      <c r="C59" s="11" t="s">
        <v>281</v>
      </c>
      <c r="D59" s="24">
        <v>0.24</v>
      </c>
      <c r="E59" s="24">
        <v>0.57999999999999996</v>
      </c>
      <c r="F59" s="26">
        <v>7.7999999999999999E-6</v>
      </c>
      <c r="G59" s="11" t="s">
        <v>52</v>
      </c>
      <c r="H59" s="11" t="s">
        <v>282</v>
      </c>
      <c r="I59" s="26">
        <v>3600</v>
      </c>
      <c r="J59" s="24">
        <v>7.4</v>
      </c>
      <c r="K59" s="12" t="s">
        <v>132</v>
      </c>
      <c r="L59" s="22">
        <f t="shared" si="0"/>
        <v>5.1079053973095192</v>
      </c>
      <c r="M59" s="2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">
      <c r="A60" s="11" t="s">
        <v>49</v>
      </c>
      <c r="B60" s="11" t="s">
        <v>270</v>
      </c>
      <c r="C60" s="11" t="s">
        <v>271</v>
      </c>
      <c r="D60" s="24">
        <v>0.46</v>
      </c>
      <c r="E60" s="24">
        <v>0.65</v>
      </c>
      <c r="F60" s="26">
        <v>1.1E-13</v>
      </c>
      <c r="G60" s="11" t="s">
        <v>52</v>
      </c>
      <c r="H60" s="11" t="s">
        <v>7</v>
      </c>
      <c r="I60" s="26">
        <v>6.1000000000000004E-43</v>
      </c>
      <c r="J60" s="24">
        <v>5.0460000000000003</v>
      </c>
      <c r="K60" s="12" t="s">
        <v>132</v>
      </c>
      <c r="L60" s="22">
        <f t="shared" si="0"/>
        <v>12.958607314841775</v>
      </c>
      <c r="M60" s="2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">
      <c r="A61" s="11" t="s">
        <v>27</v>
      </c>
      <c r="B61" s="11" t="s">
        <v>199</v>
      </c>
      <c r="C61" s="11" t="s">
        <v>283</v>
      </c>
      <c r="D61" s="24">
        <v>0.42</v>
      </c>
      <c r="E61" s="24">
        <v>0.42</v>
      </c>
      <c r="F61" s="26">
        <v>6.4000000000000001E-7</v>
      </c>
      <c r="G61" s="11" t="s">
        <v>52</v>
      </c>
      <c r="H61" s="11" t="s">
        <v>50</v>
      </c>
      <c r="I61" s="26">
        <v>1.6000000000000001E-100</v>
      </c>
      <c r="J61" s="24">
        <v>1.48</v>
      </c>
      <c r="K61" s="12" t="s">
        <v>132</v>
      </c>
      <c r="L61" s="22">
        <f t="shared" si="0"/>
        <v>6.1938200260161125</v>
      </c>
      <c r="M61" s="2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">
      <c r="A62" s="11" t="s">
        <v>22</v>
      </c>
      <c r="B62" s="11" t="s">
        <v>181</v>
      </c>
      <c r="C62" s="11" t="s">
        <v>182</v>
      </c>
      <c r="D62" s="24">
        <v>0.41</v>
      </c>
      <c r="E62" s="24">
        <v>0.8</v>
      </c>
      <c r="F62" s="26">
        <v>2.3000000000000001E-18</v>
      </c>
      <c r="G62" s="11" t="s">
        <v>56</v>
      </c>
      <c r="H62" s="11" t="s">
        <v>67</v>
      </c>
      <c r="I62" s="26">
        <v>5.6999999999999999E-23</v>
      </c>
      <c r="J62" s="24">
        <v>2.4169999999999998</v>
      </c>
      <c r="K62" s="12" t="s">
        <v>132</v>
      </c>
      <c r="L62" s="22">
        <f t="shared" si="0"/>
        <v>17.638272163982407</v>
      </c>
      <c r="M62" s="2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">
      <c r="A63" s="11" t="s">
        <v>57</v>
      </c>
      <c r="B63" s="11" t="s">
        <v>284</v>
      </c>
      <c r="C63" s="11" t="s">
        <v>285</v>
      </c>
      <c r="D63" s="24">
        <v>0.46</v>
      </c>
      <c r="E63" s="24">
        <v>0.46</v>
      </c>
      <c r="F63" s="26">
        <v>2.9999999999999999E-35</v>
      </c>
      <c r="G63" s="11" t="s">
        <v>56</v>
      </c>
      <c r="H63" s="11" t="s">
        <v>67</v>
      </c>
      <c r="I63" s="26">
        <v>5.6999999999999999E-23</v>
      </c>
      <c r="J63" s="24">
        <v>0.82399999999999995</v>
      </c>
      <c r="K63" s="12" t="s">
        <v>132</v>
      </c>
      <c r="L63" s="22">
        <f t="shared" si="0"/>
        <v>34.522878745280337</v>
      </c>
      <c r="M63" s="2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">
      <c r="A64" s="11" t="s">
        <v>11</v>
      </c>
      <c r="B64" s="11" t="s">
        <v>136</v>
      </c>
      <c r="C64" s="11" t="s">
        <v>286</v>
      </c>
      <c r="D64" s="24">
        <v>0.36</v>
      </c>
      <c r="E64" s="24">
        <v>0.66</v>
      </c>
      <c r="F64" s="26">
        <v>1.5E-17</v>
      </c>
      <c r="G64" s="11" t="s">
        <v>56</v>
      </c>
      <c r="H64" s="11" t="s">
        <v>107</v>
      </c>
      <c r="I64" s="26">
        <v>230</v>
      </c>
      <c r="J64" s="24">
        <v>4.1070000000000002</v>
      </c>
      <c r="K64" s="12" t="s">
        <v>132</v>
      </c>
      <c r="L64" s="22">
        <f t="shared" si="0"/>
        <v>16.823908740944319</v>
      </c>
      <c r="M64" s="2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">
      <c r="A65" s="11" t="s">
        <v>54</v>
      </c>
      <c r="B65" s="11" t="s">
        <v>278</v>
      </c>
      <c r="C65" s="11" t="s">
        <v>287</v>
      </c>
      <c r="D65" s="24">
        <v>0.42</v>
      </c>
      <c r="E65" s="24">
        <v>0.42</v>
      </c>
      <c r="F65" s="26">
        <v>2.7000000000000001E-36</v>
      </c>
      <c r="G65" s="11" t="s">
        <v>56</v>
      </c>
      <c r="H65" s="11" t="s">
        <v>50</v>
      </c>
      <c r="I65" s="26">
        <v>2.9999999999999999E-30</v>
      </c>
      <c r="J65" s="24">
        <v>4.24</v>
      </c>
      <c r="K65" s="12" t="s">
        <v>132</v>
      </c>
      <c r="L65" s="22">
        <f t="shared" si="0"/>
        <v>35.568636235841012</v>
      </c>
      <c r="M65" s="2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">
      <c r="A66" s="11" t="s">
        <v>59</v>
      </c>
      <c r="B66" s="11" t="s">
        <v>288</v>
      </c>
      <c r="C66" s="11" t="s">
        <v>289</v>
      </c>
      <c r="D66" s="24">
        <v>0.4</v>
      </c>
      <c r="E66" s="24">
        <v>0.4</v>
      </c>
      <c r="F66" s="26">
        <v>1.7E-8</v>
      </c>
      <c r="G66" s="11" t="s">
        <v>58</v>
      </c>
      <c r="H66" s="11" t="s">
        <v>290</v>
      </c>
      <c r="I66" s="26">
        <v>1.3999999999999999E-17</v>
      </c>
      <c r="J66" s="24">
        <v>13</v>
      </c>
      <c r="K66" s="12" t="s">
        <v>132</v>
      </c>
      <c r="L66" s="22">
        <f t="shared" si="0"/>
        <v>7.7695510786217259</v>
      </c>
      <c r="M66" s="2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">
      <c r="A67" s="11" t="s">
        <v>11</v>
      </c>
      <c r="B67" s="11" t="s">
        <v>136</v>
      </c>
      <c r="C67" s="11" t="s">
        <v>291</v>
      </c>
      <c r="D67" s="24">
        <v>0.44</v>
      </c>
      <c r="E67" s="24">
        <v>0.44</v>
      </c>
      <c r="F67" s="26">
        <v>2.8E-11</v>
      </c>
      <c r="G67" s="11" t="s">
        <v>60</v>
      </c>
      <c r="H67" s="11" t="s">
        <v>139</v>
      </c>
      <c r="I67" s="26">
        <v>3.5</v>
      </c>
      <c r="J67" s="24">
        <v>8.5229999999999997</v>
      </c>
      <c r="K67" s="12" t="s">
        <v>132</v>
      </c>
      <c r="L67" s="22">
        <f t="shared" ref="L67:L129" si="1">-LOG10(F67)</f>
        <v>10.552841968657781</v>
      </c>
      <c r="M67" s="2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">
      <c r="A68" s="11" t="s">
        <v>33</v>
      </c>
      <c r="B68" s="11" t="s">
        <v>221</v>
      </c>
      <c r="C68" s="11" t="s">
        <v>292</v>
      </c>
      <c r="D68" s="24">
        <v>0.3</v>
      </c>
      <c r="E68" s="24">
        <v>0.57999999999999996</v>
      </c>
      <c r="F68" s="26">
        <v>3.1999999999999998E-66</v>
      </c>
      <c r="G68" s="11" t="s">
        <v>60</v>
      </c>
      <c r="H68" s="11" t="s">
        <v>293</v>
      </c>
      <c r="I68" s="26">
        <v>0.33</v>
      </c>
      <c r="J68" s="24">
        <v>7.8680000000000003</v>
      </c>
      <c r="K68" s="12" t="s">
        <v>132</v>
      </c>
      <c r="L68" s="22">
        <f t="shared" si="1"/>
        <v>65.494850021680094</v>
      </c>
      <c r="M68" s="2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">
      <c r="A69" s="11" t="s">
        <v>61</v>
      </c>
      <c r="B69" s="11" t="s">
        <v>294</v>
      </c>
      <c r="C69" s="11" t="s">
        <v>295</v>
      </c>
      <c r="D69" s="24">
        <v>0.31</v>
      </c>
      <c r="E69" s="24">
        <v>0.67</v>
      </c>
      <c r="F69" s="26">
        <v>1.9000000000000001E-90</v>
      </c>
      <c r="G69" s="11" t="s">
        <v>60</v>
      </c>
      <c r="H69" s="11" t="s">
        <v>66</v>
      </c>
      <c r="I69" s="26">
        <v>4.6E-44</v>
      </c>
      <c r="J69" s="24">
        <v>23</v>
      </c>
      <c r="K69" s="12" t="s">
        <v>132</v>
      </c>
      <c r="L69" s="22">
        <f t="shared" si="1"/>
        <v>89.721246399047175</v>
      </c>
      <c r="M69" s="2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">
      <c r="A70" s="11" t="s">
        <v>11</v>
      </c>
      <c r="B70" s="11" t="s">
        <v>136</v>
      </c>
      <c r="C70" s="11" t="s">
        <v>296</v>
      </c>
      <c r="D70" s="24">
        <v>0.4</v>
      </c>
      <c r="E70" s="24">
        <v>0.4</v>
      </c>
      <c r="F70" s="26">
        <v>9.5000000000000003E-18</v>
      </c>
      <c r="G70" s="11" t="s">
        <v>62</v>
      </c>
      <c r="H70" s="11" t="s">
        <v>139</v>
      </c>
      <c r="I70" s="26">
        <v>44</v>
      </c>
      <c r="J70" s="24">
        <v>3.1269999999999998</v>
      </c>
      <c r="K70" s="12" t="s">
        <v>132</v>
      </c>
      <c r="L70" s="22">
        <f t="shared" si="1"/>
        <v>17.022276394711152</v>
      </c>
      <c r="M70" s="2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">
      <c r="A71" s="11" t="s">
        <v>61</v>
      </c>
      <c r="B71" s="11" t="s">
        <v>294</v>
      </c>
      <c r="C71" s="11" t="s">
        <v>297</v>
      </c>
      <c r="D71" s="24">
        <v>0.33</v>
      </c>
      <c r="E71" s="24">
        <v>0.67</v>
      </c>
      <c r="F71" s="26">
        <v>5.0999999999999997E-45</v>
      </c>
      <c r="G71" s="11" t="s">
        <v>62</v>
      </c>
      <c r="H71" s="11" t="s">
        <v>220</v>
      </c>
      <c r="I71" s="26">
        <v>6.8000000000000001E-51</v>
      </c>
      <c r="J71" s="24">
        <v>1.44</v>
      </c>
      <c r="K71" s="12" t="s">
        <v>132</v>
      </c>
      <c r="L71" s="22">
        <f t="shared" si="1"/>
        <v>44.292429823902062</v>
      </c>
      <c r="M71" s="2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">
      <c r="A72" s="11" t="s">
        <v>64</v>
      </c>
      <c r="B72" s="11" t="s">
        <v>298</v>
      </c>
      <c r="C72" s="11" t="s">
        <v>299</v>
      </c>
      <c r="D72" s="24">
        <v>0.42</v>
      </c>
      <c r="E72" s="24">
        <v>0.42</v>
      </c>
      <c r="F72" s="26">
        <v>1.3999999999999999E-9</v>
      </c>
      <c r="G72" s="11" t="s">
        <v>63</v>
      </c>
      <c r="H72" s="11" t="s">
        <v>172</v>
      </c>
      <c r="I72" s="26">
        <v>4.0000000000000003E-37</v>
      </c>
      <c r="J72" s="24">
        <v>3.0609999999999999</v>
      </c>
      <c r="K72" s="12" t="s">
        <v>132</v>
      </c>
      <c r="L72" s="22">
        <f t="shared" si="1"/>
        <v>8.8538719643217618</v>
      </c>
      <c r="M72" s="2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">
      <c r="A73" s="11" t="s">
        <v>65</v>
      </c>
      <c r="B73" s="11" t="s">
        <v>300</v>
      </c>
      <c r="C73" s="11" t="s">
        <v>301</v>
      </c>
      <c r="D73" s="24">
        <v>0.37</v>
      </c>
      <c r="E73" s="24">
        <v>0.37</v>
      </c>
      <c r="F73" s="26">
        <v>1.2999999999999999E-5</v>
      </c>
      <c r="G73" s="11" t="s">
        <v>63</v>
      </c>
      <c r="H73" s="11" t="s">
        <v>302</v>
      </c>
      <c r="I73" s="26">
        <v>58</v>
      </c>
      <c r="J73" s="24">
        <v>3.778</v>
      </c>
      <c r="K73" s="12" t="s">
        <v>132</v>
      </c>
      <c r="L73" s="22">
        <f t="shared" si="1"/>
        <v>4.8860566476931631</v>
      </c>
      <c r="M73" s="2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">
      <c r="A74" s="11" t="s">
        <v>11</v>
      </c>
      <c r="B74" s="11" t="s">
        <v>136</v>
      </c>
      <c r="C74" s="11" t="s">
        <v>303</v>
      </c>
      <c r="D74" s="24">
        <v>0.59</v>
      </c>
      <c r="E74" s="24">
        <v>0.53</v>
      </c>
      <c r="F74" s="26">
        <v>1.5E-102</v>
      </c>
      <c r="G74" s="11" t="s">
        <v>63</v>
      </c>
      <c r="H74" s="11" t="s">
        <v>139</v>
      </c>
      <c r="I74" s="26">
        <v>340</v>
      </c>
      <c r="J74" s="24">
        <v>3.8889999999999998</v>
      </c>
      <c r="K74" s="12" t="s">
        <v>132</v>
      </c>
      <c r="L74" s="22">
        <f t="shared" si="1"/>
        <v>101.82390874094432</v>
      </c>
      <c r="M74" s="2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">
      <c r="A75" s="11" t="s">
        <v>20</v>
      </c>
      <c r="B75" s="11" t="s">
        <v>175</v>
      </c>
      <c r="C75" s="11" t="s">
        <v>304</v>
      </c>
      <c r="D75" s="24">
        <v>0.28999999999999998</v>
      </c>
      <c r="E75" s="24">
        <v>0.7</v>
      </c>
      <c r="F75" s="26">
        <v>1.8000000000000001E-18</v>
      </c>
      <c r="G75" s="11" t="s">
        <v>66</v>
      </c>
      <c r="H75" s="11" t="s">
        <v>227</v>
      </c>
      <c r="I75" s="26">
        <v>7.8999999999999994E-55</v>
      </c>
      <c r="J75" s="24">
        <v>3.3820000000000001</v>
      </c>
      <c r="K75" s="12" t="s">
        <v>132</v>
      </c>
      <c r="L75" s="22">
        <f t="shared" si="1"/>
        <v>17.744727494896694</v>
      </c>
      <c r="M75" s="22"/>
      <c r="N75" s="1"/>
      <c r="O75" s="11" t="s">
        <v>20</v>
      </c>
      <c r="P75" s="11" t="s">
        <v>175</v>
      </c>
      <c r="Q75" s="11" t="s">
        <v>304</v>
      </c>
      <c r="R75" s="11" t="s">
        <v>305</v>
      </c>
      <c r="S75" s="11" t="s">
        <v>188</v>
      </c>
      <c r="T75" s="11" t="s">
        <v>306</v>
      </c>
      <c r="U75" s="11" t="s">
        <v>66</v>
      </c>
      <c r="V75" s="11" t="s">
        <v>227</v>
      </c>
      <c r="W75" s="11" t="s">
        <v>307</v>
      </c>
      <c r="X75" s="11" t="s">
        <v>308</v>
      </c>
      <c r="Y75" s="12" t="s">
        <v>145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">
      <c r="A76" s="11" t="s">
        <v>10</v>
      </c>
      <c r="B76" s="11" t="s">
        <v>133</v>
      </c>
      <c r="C76" s="11" t="s">
        <v>309</v>
      </c>
      <c r="D76" s="24">
        <v>0.57999999999999996</v>
      </c>
      <c r="E76" s="24">
        <v>0.57999999999999996</v>
      </c>
      <c r="F76" s="26">
        <v>1.2E-16</v>
      </c>
      <c r="G76" s="11" t="s">
        <v>66</v>
      </c>
      <c r="H76" s="11" t="s">
        <v>50</v>
      </c>
      <c r="I76" s="26">
        <v>6.6999999999999998E-54</v>
      </c>
      <c r="J76" s="24">
        <v>7.22</v>
      </c>
      <c r="K76" s="12" t="s">
        <v>145</v>
      </c>
      <c r="L76" s="22">
        <f t="shared" si="1"/>
        <v>15.920818753952375</v>
      </c>
      <c r="M76" s="2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">
      <c r="A77" s="11" t="s">
        <v>59</v>
      </c>
      <c r="B77" s="11" t="s">
        <v>288</v>
      </c>
      <c r="C77" s="11" t="s">
        <v>310</v>
      </c>
      <c r="D77" s="24">
        <v>0.47</v>
      </c>
      <c r="E77" s="24">
        <v>0.79</v>
      </c>
      <c r="F77" s="26">
        <v>2.2000000000000002E-11</v>
      </c>
      <c r="G77" s="11" t="s">
        <v>66</v>
      </c>
      <c r="H77" s="11" t="s">
        <v>220</v>
      </c>
      <c r="I77" s="26">
        <v>1.2000000000000001E-32</v>
      </c>
      <c r="J77" s="24">
        <v>0.14299999999999999</v>
      </c>
      <c r="K77" s="12" t="s">
        <v>132</v>
      </c>
      <c r="L77" s="22">
        <f t="shared" si="1"/>
        <v>10.657577319177793</v>
      </c>
      <c r="M77" s="22"/>
      <c r="N77" s="1"/>
      <c r="O77" s="11" t="s">
        <v>59</v>
      </c>
      <c r="P77" s="11" t="s">
        <v>288</v>
      </c>
      <c r="Q77" s="11" t="s">
        <v>310</v>
      </c>
      <c r="R77" s="11" t="s">
        <v>311</v>
      </c>
      <c r="S77" s="11" t="s">
        <v>160</v>
      </c>
      <c r="T77" s="11" t="s">
        <v>312</v>
      </c>
      <c r="U77" s="11" t="s">
        <v>66</v>
      </c>
      <c r="V77" s="11" t="s">
        <v>220</v>
      </c>
      <c r="W77" s="11" t="s">
        <v>313</v>
      </c>
      <c r="X77" s="11" t="s">
        <v>314</v>
      </c>
      <c r="Y77" s="12" t="s">
        <v>145</v>
      </c>
      <c r="Z77" s="1"/>
      <c r="AA77" s="11" t="s">
        <v>59</v>
      </c>
      <c r="AB77" s="13" t="s">
        <v>288</v>
      </c>
      <c r="AC77" s="13" t="s">
        <v>310</v>
      </c>
      <c r="AD77" s="13">
        <v>0.47</v>
      </c>
      <c r="AE77" s="13">
        <v>0.79</v>
      </c>
      <c r="AF77" s="13">
        <v>2.2000000000000002E-11</v>
      </c>
      <c r="AG77" s="13" t="s">
        <v>66</v>
      </c>
      <c r="AH77" s="13" t="s">
        <v>220</v>
      </c>
      <c r="AI77" s="13">
        <v>1.2000000000000001E-32</v>
      </c>
      <c r="AJ77" s="13">
        <v>18</v>
      </c>
      <c r="AK77" s="14" t="s">
        <v>266</v>
      </c>
    </row>
    <row r="78" spans="1:37" x14ac:dyDescent="0.2">
      <c r="A78" s="11" t="s">
        <v>68</v>
      </c>
      <c r="B78" s="11" t="s">
        <v>315</v>
      </c>
      <c r="C78" s="11" t="s">
        <v>316</v>
      </c>
      <c r="D78" s="24">
        <v>0.28999999999999998</v>
      </c>
      <c r="E78" s="24">
        <v>0.65</v>
      </c>
      <c r="F78" s="26">
        <v>1.6E-7</v>
      </c>
      <c r="G78" s="11" t="s">
        <v>67</v>
      </c>
      <c r="H78" s="11" t="s">
        <v>177</v>
      </c>
      <c r="I78" s="26">
        <v>4.7000000000000001E-43</v>
      </c>
      <c r="J78" s="24">
        <v>1.625</v>
      </c>
      <c r="K78" s="12" t="s">
        <v>132</v>
      </c>
      <c r="L78" s="22">
        <f t="shared" si="1"/>
        <v>6.795880017344075</v>
      </c>
      <c r="M78" s="2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">
      <c r="A79" s="11" t="s">
        <v>69</v>
      </c>
      <c r="B79" s="11" t="s">
        <v>315</v>
      </c>
      <c r="C79" s="11" t="s">
        <v>316</v>
      </c>
      <c r="D79" s="24">
        <v>0.28999999999999998</v>
      </c>
      <c r="E79" s="24">
        <v>0.65</v>
      </c>
      <c r="F79" s="26">
        <v>1.6E-7</v>
      </c>
      <c r="G79" s="11" t="s">
        <v>67</v>
      </c>
      <c r="H79" s="11" t="s">
        <v>177</v>
      </c>
      <c r="I79" s="26">
        <v>4.7000000000000001E-43</v>
      </c>
      <c r="J79" s="24">
        <v>1.625</v>
      </c>
      <c r="K79" s="12" t="s">
        <v>132</v>
      </c>
      <c r="L79" s="22">
        <f t="shared" si="1"/>
        <v>6.795880017344075</v>
      </c>
      <c r="M79" s="2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">
      <c r="A80" s="11" t="s">
        <v>71</v>
      </c>
      <c r="B80" s="11" t="s">
        <v>317</v>
      </c>
      <c r="C80" s="11" t="s">
        <v>318</v>
      </c>
      <c r="D80" s="24">
        <v>0.25</v>
      </c>
      <c r="E80" s="24">
        <v>0.54</v>
      </c>
      <c r="F80" s="26">
        <v>1.6000000000000001E-17</v>
      </c>
      <c r="G80" s="11" t="s">
        <v>70</v>
      </c>
      <c r="H80" s="11" t="s">
        <v>320</v>
      </c>
      <c r="I80" s="26">
        <v>360</v>
      </c>
      <c r="J80" s="24">
        <v>1.7999999999999999E-2</v>
      </c>
      <c r="K80" s="12" t="s">
        <v>132</v>
      </c>
      <c r="L80" s="22">
        <f t="shared" si="1"/>
        <v>16.795880017344075</v>
      </c>
      <c r="M80" s="22"/>
      <c r="N80" s="1"/>
      <c r="O80" s="11" t="s">
        <v>71</v>
      </c>
      <c r="P80" s="11" t="s">
        <v>317</v>
      </c>
      <c r="Q80" s="11" t="s">
        <v>318</v>
      </c>
      <c r="R80" s="11" t="s">
        <v>215</v>
      </c>
      <c r="S80" s="11" t="s">
        <v>212</v>
      </c>
      <c r="T80" s="11" t="s">
        <v>319</v>
      </c>
      <c r="U80" s="11" t="s">
        <v>70</v>
      </c>
      <c r="V80" s="11" t="s">
        <v>320</v>
      </c>
      <c r="W80" s="11" t="s">
        <v>321</v>
      </c>
      <c r="X80" s="11" t="s">
        <v>322</v>
      </c>
      <c r="Y80" s="12" t="s">
        <v>145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">
      <c r="A81" s="11" t="s">
        <v>72</v>
      </c>
      <c r="B81" s="11" t="s">
        <v>203</v>
      </c>
      <c r="C81" s="11" t="s">
        <v>323</v>
      </c>
      <c r="D81" s="24">
        <v>0.38</v>
      </c>
      <c r="E81" s="24">
        <v>0.64</v>
      </c>
      <c r="F81" s="26">
        <v>1.4000000000000001E-10</v>
      </c>
      <c r="G81" s="11" t="s">
        <v>70</v>
      </c>
      <c r="H81" s="11" t="s">
        <v>177</v>
      </c>
      <c r="I81" s="26">
        <v>2.3E-37</v>
      </c>
      <c r="J81" s="24">
        <v>13.96</v>
      </c>
      <c r="K81" s="12" t="s">
        <v>132</v>
      </c>
      <c r="L81" s="22">
        <f t="shared" si="1"/>
        <v>9.8538719643217618</v>
      </c>
      <c r="M81" s="22"/>
      <c r="N81" s="1"/>
      <c r="O81" s="11" t="s">
        <v>72</v>
      </c>
      <c r="P81" s="11" t="s">
        <v>203</v>
      </c>
      <c r="Q81" s="11" t="s">
        <v>323</v>
      </c>
      <c r="R81" s="11" t="s">
        <v>138</v>
      </c>
      <c r="S81" s="11" t="s">
        <v>275</v>
      </c>
      <c r="T81" s="11" t="s">
        <v>224</v>
      </c>
      <c r="U81" s="11" t="s">
        <v>70</v>
      </c>
      <c r="V81" s="11" t="s">
        <v>177</v>
      </c>
      <c r="W81" s="11" t="s">
        <v>324</v>
      </c>
      <c r="X81" s="11" t="s">
        <v>325</v>
      </c>
      <c r="Y81" s="12" t="s">
        <v>145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">
      <c r="A82" s="11" t="s">
        <v>57</v>
      </c>
      <c r="B82" s="11" t="s">
        <v>284</v>
      </c>
      <c r="C82" s="11" t="s">
        <v>326</v>
      </c>
      <c r="D82" s="24">
        <v>0.48</v>
      </c>
      <c r="E82" s="24">
        <v>0.46</v>
      </c>
      <c r="F82" s="26">
        <v>1.7000000000000001E-42</v>
      </c>
      <c r="G82" s="11" t="s">
        <v>70</v>
      </c>
      <c r="H82" s="11" t="s">
        <v>67</v>
      </c>
      <c r="I82" s="26">
        <v>7.9999999999999994E-104</v>
      </c>
      <c r="J82" s="24">
        <v>8.2059999999999995</v>
      </c>
      <c r="K82" s="12" t="s">
        <v>132</v>
      </c>
      <c r="L82" s="22">
        <f t="shared" si="1"/>
        <v>41.769551078621724</v>
      </c>
      <c r="M82" s="2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">
      <c r="A83" s="11" t="s">
        <v>73</v>
      </c>
      <c r="B83" s="11" t="s">
        <v>327</v>
      </c>
      <c r="C83" s="11" t="s">
        <v>328</v>
      </c>
      <c r="D83" s="24">
        <v>0.3</v>
      </c>
      <c r="E83" s="24">
        <v>0.7</v>
      </c>
      <c r="F83" s="26">
        <v>1.3E-20</v>
      </c>
      <c r="G83" s="11" t="s">
        <v>70</v>
      </c>
      <c r="H83" s="11" t="s">
        <v>177</v>
      </c>
      <c r="I83" s="26">
        <v>2.3E-37</v>
      </c>
      <c r="J83" s="24">
        <v>7.38</v>
      </c>
      <c r="K83" s="12" t="s">
        <v>132</v>
      </c>
      <c r="L83" s="22">
        <f t="shared" si="1"/>
        <v>19.886056647693163</v>
      </c>
      <c r="M83" s="22"/>
      <c r="N83" s="1"/>
      <c r="O83" s="11" t="s">
        <v>73</v>
      </c>
      <c r="P83" s="11" t="s">
        <v>327</v>
      </c>
      <c r="Q83" s="11" t="s">
        <v>328</v>
      </c>
      <c r="R83" s="11" t="s">
        <v>223</v>
      </c>
      <c r="S83" s="11" t="s">
        <v>188</v>
      </c>
      <c r="T83" s="11" t="s">
        <v>329</v>
      </c>
      <c r="U83" s="11" t="s">
        <v>70</v>
      </c>
      <c r="V83" s="11" t="s">
        <v>177</v>
      </c>
      <c r="W83" s="11" t="s">
        <v>324</v>
      </c>
      <c r="X83" s="11" t="s">
        <v>330</v>
      </c>
      <c r="Y83" s="12" t="s">
        <v>145</v>
      </c>
      <c r="Z83" s="1"/>
      <c r="AA83" s="11" t="s">
        <v>73</v>
      </c>
      <c r="AB83" s="11" t="s">
        <v>327</v>
      </c>
      <c r="AC83" s="11" t="s">
        <v>328</v>
      </c>
      <c r="AD83" s="11" t="s">
        <v>223</v>
      </c>
      <c r="AE83" s="11" t="s">
        <v>188</v>
      </c>
      <c r="AF83" s="11" t="s">
        <v>329</v>
      </c>
      <c r="AG83" s="11" t="s">
        <v>70</v>
      </c>
      <c r="AH83" s="11" t="s">
        <v>177</v>
      </c>
      <c r="AI83" s="11" t="s">
        <v>324</v>
      </c>
      <c r="AJ83" s="11" t="s">
        <v>331</v>
      </c>
      <c r="AK83" s="12" t="s">
        <v>266</v>
      </c>
    </row>
    <row r="84" spans="1:37" x14ac:dyDescent="0.2">
      <c r="A84" s="11" t="s">
        <v>74</v>
      </c>
      <c r="B84" s="11" t="s">
        <v>332</v>
      </c>
      <c r="C84" s="11" t="s">
        <v>333</v>
      </c>
      <c r="D84" s="24">
        <v>0.52</v>
      </c>
      <c r="E84" s="24">
        <v>0.61</v>
      </c>
      <c r="F84" s="26">
        <v>1.5E-6</v>
      </c>
      <c r="G84" s="11" t="s">
        <v>70</v>
      </c>
      <c r="H84" s="11" t="s">
        <v>67</v>
      </c>
      <c r="I84" s="26">
        <v>7.9999999999999994E-104</v>
      </c>
      <c r="J84" s="24">
        <v>14</v>
      </c>
      <c r="K84" s="12" t="s">
        <v>266</v>
      </c>
      <c r="L84" s="22">
        <f t="shared" si="1"/>
        <v>5.8239087409443187</v>
      </c>
      <c r="M84" s="2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">
      <c r="A85" s="11" t="s">
        <v>49</v>
      </c>
      <c r="B85" s="11" t="s">
        <v>270</v>
      </c>
      <c r="C85" s="11" t="s">
        <v>334</v>
      </c>
      <c r="D85" s="24">
        <v>0.38</v>
      </c>
      <c r="E85" s="24">
        <v>0.67</v>
      </c>
      <c r="F85" s="26">
        <v>1.8E-31</v>
      </c>
      <c r="G85" s="11" t="s">
        <v>70</v>
      </c>
      <c r="H85" s="11" t="s">
        <v>177</v>
      </c>
      <c r="I85" s="26">
        <v>2.3E-37</v>
      </c>
      <c r="J85" s="24">
        <v>0.66500000000000004</v>
      </c>
      <c r="K85" s="12" t="s">
        <v>132</v>
      </c>
      <c r="L85" s="22">
        <f t="shared" si="1"/>
        <v>30.744727494896694</v>
      </c>
      <c r="M85" s="22"/>
      <c r="N85" s="1"/>
      <c r="O85" s="11" t="s">
        <v>49</v>
      </c>
      <c r="P85" s="11" t="s">
        <v>270</v>
      </c>
      <c r="Q85" s="11" t="s">
        <v>334</v>
      </c>
      <c r="R85" s="11" t="s">
        <v>138</v>
      </c>
      <c r="S85" s="11" t="s">
        <v>267</v>
      </c>
      <c r="T85" s="11" t="s">
        <v>335</v>
      </c>
      <c r="U85" s="11" t="s">
        <v>70</v>
      </c>
      <c r="V85" s="11" t="s">
        <v>177</v>
      </c>
      <c r="W85" s="11" t="s">
        <v>324</v>
      </c>
      <c r="X85" s="11" t="s">
        <v>336</v>
      </c>
      <c r="Y85" s="12" t="s">
        <v>145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">
      <c r="A86" s="11" t="s">
        <v>71</v>
      </c>
      <c r="B86" s="11" t="s">
        <v>317</v>
      </c>
      <c r="C86" s="11" t="s">
        <v>337</v>
      </c>
      <c r="D86" s="24">
        <v>0.32</v>
      </c>
      <c r="E86" s="24">
        <v>0.54</v>
      </c>
      <c r="F86" s="26">
        <v>3.8999999999999999E-17</v>
      </c>
      <c r="G86" s="11" t="s">
        <v>75</v>
      </c>
      <c r="H86" s="11" t="s">
        <v>320</v>
      </c>
      <c r="I86" s="26">
        <v>38</v>
      </c>
      <c r="J86" s="24">
        <v>6.8319999999999999</v>
      </c>
      <c r="K86" s="12" t="s">
        <v>132</v>
      </c>
      <c r="L86" s="22">
        <f t="shared" si="1"/>
        <v>16.4089353929735</v>
      </c>
      <c r="M86" s="2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">
      <c r="A87" s="11" t="s">
        <v>59</v>
      </c>
      <c r="B87" s="11" t="s">
        <v>288</v>
      </c>
      <c r="C87" s="11" t="s">
        <v>338</v>
      </c>
      <c r="D87" s="24">
        <v>0.41</v>
      </c>
      <c r="E87" s="24">
        <v>0.56999999999999995</v>
      </c>
      <c r="F87" s="26">
        <v>1.4000000000000001E-10</v>
      </c>
      <c r="G87" s="11" t="s">
        <v>75</v>
      </c>
      <c r="H87" s="11" t="s">
        <v>220</v>
      </c>
      <c r="I87" s="26">
        <v>1.3E-28</v>
      </c>
      <c r="J87" s="24">
        <v>0.19700000000000001</v>
      </c>
      <c r="K87" s="12" t="s">
        <v>132</v>
      </c>
      <c r="L87" s="22">
        <f t="shared" si="1"/>
        <v>9.8538719643217618</v>
      </c>
      <c r="M87" s="2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">
      <c r="A88" s="11" t="s">
        <v>49</v>
      </c>
      <c r="B88" s="11" t="s">
        <v>270</v>
      </c>
      <c r="C88" s="11" t="s">
        <v>339</v>
      </c>
      <c r="D88" s="24">
        <v>0.39</v>
      </c>
      <c r="E88" s="24">
        <v>0.67</v>
      </c>
      <c r="F88" s="26">
        <v>6.9999999999999997E-31</v>
      </c>
      <c r="G88" s="11" t="s">
        <v>75</v>
      </c>
      <c r="H88" s="11" t="s">
        <v>177</v>
      </c>
      <c r="I88" s="26">
        <v>4.8999999999999996E-34</v>
      </c>
      <c r="J88" s="24">
        <v>8.4580000000000002</v>
      </c>
      <c r="K88" s="12" t="s">
        <v>132</v>
      </c>
      <c r="L88" s="22">
        <f t="shared" si="1"/>
        <v>30.154901959985743</v>
      </c>
      <c r="M88" s="2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">
      <c r="A89" s="11" t="s">
        <v>45</v>
      </c>
      <c r="B89" s="11" t="s">
        <v>257</v>
      </c>
      <c r="C89" s="11" t="s">
        <v>258</v>
      </c>
      <c r="D89" s="24">
        <v>0.82</v>
      </c>
      <c r="E89" s="24">
        <v>0.82</v>
      </c>
      <c r="F89" s="26">
        <v>3.3999999999999997E-7</v>
      </c>
      <c r="G89" s="11" t="s">
        <v>76</v>
      </c>
      <c r="H89" s="11" t="s">
        <v>263</v>
      </c>
      <c r="I89" s="26">
        <v>73</v>
      </c>
      <c r="J89" s="24">
        <v>0.377</v>
      </c>
      <c r="K89" s="12" t="s">
        <v>132</v>
      </c>
      <c r="L89" s="22">
        <f t="shared" si="1"/>
        <v>6.4685210829577446</v>
      </c>
      <c r="M89" s="2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">
      <c r="A90" s="11" t="s">
        <v>11</v>
      </c>
      <c r="B90" s="11" t="s">
        <v>136</v>
      </c>
      <c r="C90" s="11" t="s">
        <v>340</v>
      </c>
      <c r="D90" s="24">
        <v>0.39</v>
      </c>
      <c r="E90" s="24">
        <v>0.39</v>
      </c>
      <c r="F90" s="26">
        <v>1.1E-14</v>
      </c>
      <c r="G90" s="11" t="s">
        <v>77</v>
      </c>
      <c r="H90" s="11" t="s">
        <v>139</v>
      </c>
      <c r="I90" s="26">
        <v>100</v>
      </c>
      <c r="J90" s="24">
        <v>3.3</v>
      </c>
      <c r="K90" s="12" t="s">
        <v>132</v>
      </c>
      <c r="L90" s="22">
        <f t="shared" si="1"/>
        <v>13.958607314841775</v>
      </c>
      <c r="M90" s="2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">
      <c r="A91" s="11" t="s">
        <v>79</v>
      </c>
      <c r="B91" s="11" t="s">
        <v>341</v>
      </c>
      <c r="C91" s="11" t="s">
        <v>342</v>
      </c>
      <c r="D91" s="24">
        <v>0.45</v>
      </c>
      <c r="E91" s="24">
        <v>0.45</v>
      </c>
      <c r="F91" s="26">
        <v>7.3999999999999996E-24</v>
      </c>
      <c r="G91" s="11" t="s">
        <v>78</v>
      </c>
      <c r="H91" s="11" t="s">
        <v>343</v>
      </c>
      <c r="I91" s="26">
        <v>2400</v>
      </c>
      <c r="J91" s="24">
        <v>1.7</v>
      </c>
      <c r="K91" s="12" t="s">
        <v>132</v>
      </c>
      <c r="L91" s="22">
        <f t="shared" si="1"/>
        <v>23.130768280269024</v>
      </c>
      <c r="M91" s="2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">
      <c r="A92" s="11" t="s">
        <v>344</v>
      </c>
      <c r="B92" s="11" t="s">
        <v>345</v>
      </c>
      <c r="C92" s="11" t="s">
        <v>346</v>
      </c>
      <c r="D92" s="24">
        <v>0.34</v>
      </c>
      <c r="E92" s="24">
        <v>0.85</v>
      </c>
      <c r="F92" s="26">
        <v>1.1999999999999999E-6</v>
      </c>
      <c r="G92" s="11" t="s">
        <v>78</v>
      </c>
      <c r="H92" s="11" t="s">
        <v>347</v>
      </c>
      <c r="I92" s="26">
        <v>1.8000000000000001E-42</v>
      </c>
      <c r="J92" s="24">
        <v>0.12</v>
      </c>
      <c r="K92" s="12" t="s">
        <v>132</v>
      </c>
      <c r="L92" s="22">
        <f t="shared" si="1"/>
        <v>5.9208187539523749</v>
      </c>
      <c r="M92" s="2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">
      <c r="A93" s="11" t="s">
        <v>81</v>
      </c>
      <c r="B93" s="11" t="s">
        <v>348</v>
      </c>
      <c r="C93" s="11" t="s">
        <v>349</v>
      </c>
      <c r="D93" s="24">
        <v>0.32</v>
      </c>
      <c r="E93" s="24">
        <v>0.67</v>
      </c>
      <c r="F93" s="26">
        <v>9.9999999999999994E-12</v>
      </c>
      <c r="G93" s="11" t="s">
        <v>78</v>
      </c>
      <c r="H93" s="11" t="s">
        <v>34</v>
      </c>
      <c r="I93" s="26">
        <v>9.6000000000000007E-108</v>
      </c>
      <c r="J93" s="24">
        <v>6.76</v>
      </c>
      <c r="K93" s="12" t="s">
        <v>132</v>
      </c>
      <c r="L93" s="22">
        <f t="shared" si="1"/>
        <v>11</v>
      </c>
      <c r="M93" s="2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">
      <c r="A94" s="11" t="s">
        <v>82</v>
      </c>
      <c r="B94" s="11" t="s">
        <v>350</v>
      </c>
      <c r="C94" s="11" t="s">
        <v>351</v>
      </c>
      <c r="D94" s="24">
        <v>0.7</v>
      </c>
      <c r="E94" s="24">
        <v>0.87</v>
      </c>
      <c r="F94" s="26">
        <v>8.3000000000000001E-19</v>
      </c>
      <c r="G94" s="11" t="s">
        <v>78</v>
      </c>
      <c r="H94" s="11" t="s">
        <v>96</v>
      </c>
      <c r="I94" s="26">
        <v>6E-124</v>
      </c>
      <c r="J94" s="24">
        <v>1E-3</v>
      </c>
      <c r="K94" s="12" t="s">
        <v>132</v>
      </c>
      <c r="L94" s="22">
        <f t="shared" si="1"/>
        <v>18.080921907623924</v>
      </c>
      <c r="M94" s="2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">
      <c r="A95" s="11" t="s">
        <v>83</v>
      </c>
      <c r="B95" s="11" t="s">
        <v>352</v>
      </c>
      <c r="C95" s="11" t="s">
        <v>353</v>
      </c>
      <c r="D95" s="24">
        <v>0.36</v>
      </c>
      <c r="E95" s="24">
        <v>0.8</v>
      </c>
      <c r="F95" s="26">
        <v>1.1999999999999999E-6</v>
      </c>
      <c r="G95" s="11" t="s">
        <v>78</v>
      </c>
      <c r="H95" s="11" t="s">
        <v>347</v>
      </c>
      <c r="I95" s="26">
        <v>1.8000000000000001E-42</v>
      </c>
      <c r="J95" s="24">
        <v>0.51600000000000001</v>
      </c>
      <c r="K95" s="12" t="s">
        <v>132</v>
      </c>
      <c r="L95" s="22">
        <f t="shared" si="1"/>
        <v>5.9208187539523749</v>
      </c>
      <c r="M95" s="2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">
      <c r="A96" s="11" t="s">
        <v>84</v>
      </c>
      <c r="B96" s="11" t="s">
        <v>354</v>
      </c>
      <c r="C96" s="11" t="s">
        <v>355</v>
      </c>
      <c r="D96" s="24">
        <v>0.42</v>
      </c>
      <c r="E96" s="24">
        <v>0.42</v>
      </c>
      <c r="F96" s="26">
        <v>1.5999999999999999E-20</v>
      </c>
      <c r="G96" s="11" t="s">
        <v>78</v>
      </c>
      <c r="H96" s="11" t="s">
        <v>356</v>
      </c>
      <c r="I96" s="26">
        <v>4.2000000000000002E-129</v>
      </c>
      <c r="J96" s="24">
        <v>8.2000000000000003E-2</v>
      </c>
      <c r="K96" s="12" t="s">
        <v>132</v>
      </c>
      <c r="L96" s="22">
        <f t="shared" si="1"/>
        <v>19.795880017344075</v>
      </c>
      <c r="M96" s="2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">
      <c r="A97" s="11" t="s">
        <v>85</v>
      </c>
      <c r="B97" s="11" t="s">
        <v>357</v>
      </c>
      <c r="C97" s="11" t="s">
        <v>355</v>
      </c>
      <c r="D97" s="24">
        <v>0.28999999999999998</v>
      </c>
      <c r="E97" s="24">
        <v>0.74</v>
      </c>
      <c r="F97" s="26">
        <v>1.4E-5</v>
      </c>
      <c r="G97" s="11" t="s">
        <v>78</v>
      </c>
      <c r="H97" s="11" t="s">
        <v>347</v>
      </c>
      <c r="I97" s="26">
        <v>1.8000000000000001E-42</v>
      </c>
      <c r="J97" s="24">
        <v>9.7000000000000003E-2</v>
      </c>
      <c r="K97" s="12" t="s">
        <v>132</v>
      </c>
      <c r="L97" s="22">
        <f t="shared" si="1"/>
        <v>4.8538719643217618</v>
      </c>
      <c r="M97" s="2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">
      <c r="A98" s="11" t="s">
        <v>87</v>
      </c>
      <c r="B98" s="11" t="s">
        <v>358</v>
      </c>
      <c r="C98" s="11" t="s">
        <v>359</v>
      </c>
      <c r="D98" s="24">
        <v>0.48</v>
      </c>
      <c r="E98" s="24">
        <v>0.7</v>
      </c>
      <c r="F98" s="26">
        <v>5.6000000000000003E-15</v>
      </c>
      <c r="G98" s="11" t="s">
        <v>86</v>
      </c>
      <c r="H98" s="11" t="s">
        <v>46</v>
      </c>
      <c r="I98" s="26">
        <v>1.5000000000000001E-12</v>
      </c>
      <c r="J98" s="24">
        <v>24</v>
      </c>
      <c r="K98" s="12" t="s">
        <v>132</v>
      </c>
      <c r="L98" s="22">
        <f t="shared" si="1"/>
        <v>14.251811972993799</v>
      </c>
      <c r="M98" s="2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">
      <c r="A99" s="11" t="s">
        <v>20</v>
      </c>
      <c r="B99" s="11" t="s">
        <v>175</v>
      </c>
      <c r="C99" s="11" t="s">
        <v>360</v>
      </c>
      <c r="D99" s="24">
        <v>0.34</v>
      </c>
      <c r="E99" s="24">
        <v>0.61</v>
      </c>
      <c r="F99" s="26">
        <v>9.8999999999999993E-19</v>
      </c>
      <c r="G99" s="11" t="s">
        <v>88</v>
      </c>
      <c r="H99" s="11" t="s">
        <v>7</v>
      </c>
      <c r="I99" s="26">
        <v>2.8000000000000001E-18</v>
      </c>
      <c r="J99" s="24">
        <v>4.9779999999999998</v>
      </c>
      <c r="K99" s="12" t="s">
        <v>132</v>
      </c>
      <c r="L99" s="22">
        <f t="shared" si="1"/>
        <v>18.004364805402449</v>
      </c>
      <c r="M99" s="2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">
      <c r="A100" s="11" t="s">
        <v>89</v>
      </c>
      <c r="B100" s="11" t="s">
        <v>361</v>
      </c>
      <c r="C100" s="11" t="s">
        <v>362</v>
      </c>
      <c r="D100" s="24">
        <v>0.39</v>
      </c>
      <c r="E100" s="24">
        <v>0.39</v>
      </c>
      <c r="F100" s="26">
        <v>4.4000000000000002E-7</v>
      </c>
      <c r="G100" s="11" t="s">
        <v>88</v>
      </c>
      <c r="H100" s="11" t="s">
        <v>363</v>
      </c>
      <c r="I100" s="26">
        <v>15</v>
      </c>
      <c r="J100" s="24">
        <v>1.423</v>
      </c>
      <c r="K100" s="12" t="s">
        <v>132</v>
      </c>
      <c r="L100" s="22">
        <f t="shared" si="1"/>
        <v>6.3565473235138121</v>
      </c>
      <c r="M100" s="2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">
      <c r="A101" s="11" t="s">
        <v>22</v>
      </c>
      <c r="B101" s="11" t="s">
        <v>181</v>
      </c>
      <c r="C101" s="11" t="s">
        <v>364</v>
      </c>
      <c r="D101" s="24">
        <v>0.28999999999999998</v>
      </c>
      <c r="E101" s="24">
        <v>0.68</v>
      </c>
      <c r="F101" s="26">
        <v>4.0999999999999999E-27</v>
      </c>
      <c r="G101" s="11" t="s">
        <v>88</v>
      </c>
      <c r="H101" s="11" t="s">
        <v>30</v>
      </c>
      <c r="I101" s="26">
        <v>1.4000000000000001E-15</v>
      </c>
      <c r="J101" s="24">
        <v>5.3</v>
      </c>
      <c r="K101" s="12" t="s">
        <v>132</v>
      </c>
      <c r="L101" s="22">
        <f t="shared" si="1"/>
        <v>26.387216143280263</v>
      </c>
      <c r="M101" s="2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">
      <c r="A102" s="11" t="s">
        <v>90</v>
      </c>
      <c r="B102" s="11" t="s">
        <v>365</v>
      </c>
      <c r="C102" s="11" t="s">
        <v>366</v>
      </c>
      <c r="D102" s="24">
        <v>0.33</v>
      </c>
      <c r="E102" s="24">
        <v>0.56999999999999995</v>
      </c>
      <c r="F102" s="26">
        <v>9.2999999999999999E-7</v>
      </c>
      <c r="G102" s="11" t="s">
        <v>88</v>
      </c>
      <c r="H102" s="11" t="s">
        <v>30</v>
      </c>
      <c r="I102" s="26">
        <v>1.4000000000000001E-15</v>
      </c>
      <c r="J102" s="24">
        <v>3.6030000000000002</v>
      </c>
      <c r="K102" s="12" t="s">
        <v>132</v>
      </c>
      <c r="L102" s="22">
        <f t="shared" si="1"/>
        <v>6.0315170514460652</v>
      </c>
      <c r="M102" s="2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">
      <c r="A103" s="11" t="s">
        <v>91</v>
      </c>
      <c r="B103" s="11" t="s">
        <v>367</v>
      </c>
      <c r="C103" s="11" t="s">
        <v>368</v>
      </c>
      <c r="D103" s="24">
        <v>0.32</v>
      </c>
      <c r="E103" s="24">
        <v>0.67</v>
      </c>
      <c r="F103" s="26">
        <v>5.7999999999999995E-13</v>
      </c>
      <c r="G103" s="11" t="s">
        <v>88</v>
      </c>
      <c r="H103" s="11" t="s">
        <v>46</v>
      </c>
      <c r="I103" s="26">
        <v>4.6E-14</v>
      </c>
      <c r="J103" s="24">
        <v>6.9039999999999999</v>
      </c>
      <c r="K103" s="12" t="s">
        <v>132</v>
      </c>
      <c r="L103" s="22">
        <f t="shared" si="1"/>
        <v>12.236572006437063</v>
      </c>
      <c r="M103" s="2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">
      <c r="A104" s="11" t="s">
        <v>49</v>
      </c>
      <c r="B104" s="11" t="s">
        <v>270</v>
      </c>
      <c r="C104" s="11" t="s">
        <v>360</v>
      </c>
      <c r="D104" s="24">
        <v>0.33</v>
      </c>
      <c r="E104" s="24">
        <v>0.61</v>
      </c>
      <c r="F104" s="26">
        <v>2.5999999999999999E-20</v>
      </c>
      <c r="G104" s="11" t="s">
        <v>88</v>
      </c>
      <c r="H104" s="11" t="s">
        <v>112</v>
      </c>
      <c r="I104" s="26">
        <v>6.1000000000000003E-20</v>
      </c>
      <c r="J104" s="24">
        <v>10.263</v>
      </c>
      <c r="K104" s="12" t="s">
        <v>132</v>
      </c>
      <c r="L104" s="22">
        <f t="shared" si="1"/>
        <v>19.585026652029182</v>
      </c>
      <c r="M104" s="2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">
      <c r="A105" s="11" t="s">
        <v>92</v>
      </c>
      <c r="B105" s="11" t="s">
        <v>369</v>
      </c>
      <c r="C105" s="11" t="s">
        <v>370</v>
      </c>
      <c r="D105" s="24">
        <v>0.26</v>
      </c>
      <c r="E105" s="24">
        <v>0.6</v>
      </c>
      <c r="F105" s="26">
        <v>1.1000000000000001E-6</v>
      </c>
      <c r="G105" s="11" t="s">
        <v>88</v>
      </c>
      <c r="H105" s="11" t="s">
        <v>62</v>
      </c>
      <c r="I105" s="26">
        <v>7.1999999999999995E-20</v>
      </c>
      <c r="J105" s="24">
        <v>6.7110000000000003</v>
      </c>
      <c r="K105" s="12" t="s">
        <v>132</v>
      </c>
      <c r="L105" s="22">
        <f t="shared" si="1"/>
        <v>5.9586073148417746</v>
      </c>
      <c r="M105" s="2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">
      <c r="A106" s="11" t="s">
        <v>10</v>
      </c>
      <c r="B106" s="11" t="s">
        <v>133</v>
      </c>
      <c r="C106" s="11" t="s">
        <v>371</v>
      </c>
      <c r="D106" s="24">
        <v>0.56000000000000005</v>
      </c>
      <c r="E106" s="24">
        <v>0.83</v>
      </c>
      <c r="F106" s="26">
        <v>6.0999999999999997E-15</v>
      </c>
      <c r="G106" s="11" t="s">
        <v>93</v>
      </c>
      <c r="H106" s="11" t="s">
        <v>220</v>
      </c>
      <c r="I106" s="26">
        <v>3.5999999999999997E-20</v>
      </c>
      <c r="J106" s="24">
        <v>4.3849999999999998</v>
      </c>
      <c r="K106" s="12" t="s">
        <v>132</v>
      </c>
      <c r="L106" s="22">
        <f t="shared" si="1"/>
        <v>14.214670164989233</v>
      </c>
      <c r="M106" s="22"/>
      <c r="N106" s="1"/>
      <c r="O106" s="11" t="s">
        <v>10</v>
      </c>
      <c r="P106" s="11" t="s">
        <v>133</v>
      </c>
      <c r="Q106" s="11" t="s">
        <v>371</v>
      </c>
      <c r="R106" s="11" t="s">
        <v>372</v>
      </c>
      <c r="S106" s="11" t="s">
        <v>235</v>
      </c>
      <c r="T106" s="11" t="s">
        <v>373</v>
      </c>
      <c r="U106" s="11" t="s">
        <v>93</v>
      </c>
      <c r="V106" s="11" t="s">
        <v>220</v>
      </c>
      <c r="W106" s="11" t="s">
        <v>374</v>
      </c>
      <c r="X106" s="11" t="s">
        <v>375</v>
      </c>
      <c r="Y106" s="12" t="s">
        <v>266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">
      <c r="A107" s="11" t="s">
        <v>33</v>
      </c>
      <c r="B107" s="11" t="s">
        <v>221</v>
      </c>
      <c r="C107" s="11" t="s">
        <v>376</v>
      </c>
      <c r="D107" s="24">
        <v>0.31</v>
      </c>
      <c r="E107" s="24">
        <v>0.67</v>
      </c>
      <c r="F107" s="26">
        <v>1.0999999999999999E-8</v>
      </c>
      <c r="G107" s="11" t="s">
        <v>93</v>
      </c>
      <c r="H107" s="11" t="s">
        <v>377</v>
      </c>
      <c r="I107" s="26">
        <v>3.5</v>
      </c>
      <c r="J107" s="24">
        <v>1.794</v>
      </c>
      <c r="K107" s="12" t="s">
        <v>132</v>
      </c>
      <c r="L107" s="22">
        <f t="shared" si="1"/>
        <v>7.9586073148417746</v>
      </c>
      <c r="M107" s="2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">
      <c r="A108" s="11" t="s">
        <v>11</v>
      </c>
      <c r="B108" s="11" t="s">
        <v>136</v>
      </c>
      <c r="C108" s="11" t="s">
        <v>378</v>
      </c>
      <c r="D108" s="24">
        <v>0.31</v>
      </c>
      <c r="E108" s="24">
        <v>0.65</v>
      </c>
      <c r="F108" s="26">
        <v>7.6000000000000002E-17</v>
      </c>
      <c r="G108" s="11" t="s">
        <v>94</v>
      </c>
      <c r="H108" s="11" t="s">
        <v>139</v>
      </c>
      <c r="I108" s="26">
        <v>110</v>
      </c>
      <c r="J108" s="24">
        <v>11.302</v>
      </c>
      <c r="K108" s="12" t="s">
        <v>132</v>
      </c>
      <c r="L108" s="22">
        <f t="shared" si="1"/>
        <v>16.119186407719209</v>
      </c>
      <c r="M108" s="2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">
      <c r="A109" s="11" t="s">
        <v>95</v>
      </c>
      <c r="B109" s="11" t="s">
        <v>379</v>
      </c>
      <c r="C109" s="11" t="s">
        <v>380</v>
      </c>
      <c r="D109" s="24">
        <v>0.38</v>
      </c>
      <c r="E109" s="24">
        <v>0.38</v>
      </c>
      <c r="F109" s="26">
        <v>3.7000000000000002E-6</v>
      </c>
      <c r="G109" s="11" t="s">
        <v>94</v>
      </c>
      <c r="H109" s="11" t="s">
        <v>177</v>
      </c>
      <c r="I109" s="26">
        <v>33</v>
      </c>
      <c r="J109" s="24">
        <v>5.3840000000000003</v>
      </c>
      <c r="K109" s="12" t="s">
        <v>132</v>
      </c>
      <c r="L109" s="22">
        <f t="shared" si="1"/>
        <v>5.431798275933005</v>
      </c>
      <c r="M109" s="2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">
      <c r="A110" s="11" t="s">
        <v>97</v>
      </c>
      <c r="B110" s="11" t="s">
        <v>381</v>
      </c>
      <c r="C110" s="11" t="s">
        <v>382</v>
      </c>
      <c r="D110" s="24">
        <v>0.31</v>
      </c>
      <c r="E110" s="24">
        <v>0.6</v>
      </c>
      <c r="F110" s="26">
        <v>1.1999999999999999E-12</v>
      </c>
      <c r="G110" s="11" t="s">
        <v>96</v>
      </c>
      <c r="H110" s="11" t="s">
        <v>34</v>
      </c>
      <c r="I110" s="26">
        <v>2.9E-120</v>
      </c>
      <c r="J110" s="24">
        <v>3.0000000000000001E-3</v>
      </c>
      <c r="K110" s="12" t="s">
        <v>266</v>
      </c>
      <c r="L110" s="22">
        <f t="shared" si="1"/>
        <v>11.920818753952375</v>
      </c>
      <c r="M110" s="2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">
      <c r="A111" s="11" t="s">
        <v>81</v>
      </c>
      <c r="B111" s="11" t="s">
        <v>348</v>
      </c>
      <c r="C111" s="11" t="s">
        <v>383</v>
      </c>
      <c r="D111" s="24">
        <v>0.31</v>
      </c>
      <c r="E111" s="24">
        <v>0.59</v>
      </c>
      <c r="F111" s="26">
        <v>3.1E-6</v>
      </c>
      <c r="G111" s="11" t="s">
        <v>96</v>
      </c>
      <c r="H111" s="11" t="s">
        <v>34</v>
      </c>
      <c r="I111" s="26">
        <v>2.9E-120</v>
      </c>
      <c r="J111" s="24">
        <v>29.26</v>
      </c>
      <c r="K111" s="12" t="s">
        <v>132</v>
      </c>
      <c r="L111" s="22">
        <f t="shared" si="1"/>
        <v>5.5086383061657269</v>
      </c>
      <c r="M111" s="2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">
      <c r="A112" s="11" t="s">
        <v>384</v>
      </c>
      <c r="B112" s="11" t="s">
        <v>385</v>
      </c>
      <c r="C112" s="11" t="s">
        <v>386</v>
      </c>
      <c r="D112" s="24">
        <v>0.33</v>
      </c>
      <c r="E112" s="24">
        <v>0.69</v>
      </c>
      <c r="F112" s="26">
        <v>2.2999999999999999E-16</v>
      </c>
      <c r="G112" s="11" t="s">
        <v>96</v>
      </c>
      <c r="H112" s="11" t="s">
        <v>34</v>
      </c>
      <c r="I112" s="26">
        <v>2.9E-120</v>
      </c>
      <c r="J112" s="24">
        <v>7.3999999999999996E-2</v>
      </c>
      <c r="K112" s="12" t="s">
        <v>266</v>
      </c>
      <c r="L112" s="22">
        <f t="shared" si="1"/>
        <v>15.638272163982407</v>
      </c>
      <c r="M112" s="2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">
      <c r="A113" s="11" t="s">
        <v>98</v>
      </c>
      <c r="B113" s="11" t="s">
        <v>387</v>
      </c>
      <c r="C113" s="11" t="s">
        <v>388</v>
      </c>
      <c r="D113" s="24">
        <v>0.43</v>
      </c>
      <c r="E113" s="24">
        <v>0.88</v>
      </c>
      <c r="F113" s="26">
        <v>3.5999999999999999E-21</v>
      </c>
      <c r="G113" s="11" t="s">
        <v>96</v>
      </c>
      <c r="H113" s="11" t="s">
        <v>356</v>
      </c>
      <c r="I113" s="26">
        <v>9.1999999999999995E-120</v>
      </c>
      <c r="J113" s="24">
        <v>7.61</v>
      </c>
      <c r="K113" s="12" t="s">
        <v>132</v>
      </c>
      <c r="L113" s="22">
        <f t="shared" si="1"/>
        <v>20.443697499232712</v>
      </c>
      <c r="M113" s="2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">
      <c r="A114" s="11" t="s">
        <v>37</v>
      </c>
      <c r="B114" s="11" t="s">
        <v>233</v>
      </c>
      <c r="C114" s="11" t="s">
        <v>388</v>
      </c>
      <c r="D114" s="24">
        <v>0.52</v>
      </c>
      <c r="E114" s="24">
        <v>0.91</v>
      </c>
      <c r="F114" s="26">
        <v>8.6999999999999996E-22</v>
      </c>
      <c r="G114" s="11" t="s">
        <v>96</v>
      </c>
      <c r="H114" s="11" t="s">
        <v>78</v>
      </c>
      <c r="I114" s="26">
        <v>1.8000000000000001E-118</v>
      </c>
      <c r="J114" s="24">
        <v>3.0000000000000001E-3</v>
      </c>
      <c r="K114" s="12" t="s">
        <v>266</v>
      </c>
      <c r="L114" s="22">
        <f t="shared" si="1"/>
        <v>21.06048074738138</v>
      </c>
      <c r="M114" s="2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">
      <c r="A115" s="11" t="s">
        <v>99</v>
      </c>
      <c r="B115" s="11" t="s">
        <v>389</v>
      </c>
      <c r="C115" s="11" t="s">
        <v>390</v>
      </c>
      <c r="D115" s="24">
        <v>0.34</v>
      </c>
      <c r="E115" s="24">
        <v>0.63</v>
      </c>
      <c r="F115" s="26">
        <v>9.4000000000000003E-14</v>
      </c>
      <c r="G115" s="11" t="s">
        <v>96</v>
      </c>
      <c r="H115" s="11" t="s">
        <v>78</v>
      </c>
      <c r="I115" s="26">
        <v>1.8000000000000001E-118</v>
      </c>
      <c r="J115" s="24">
        <v>1.3</v>
      </c>
      <c r="K115" s="12" t="s">
        <v>266</v>
      </c>
      <c r="L115" s="22">
        <f t="shared" si="1"/>
        <v>13.026872146400301</v>
      </c>
      <c r="M115" s="2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">
      <c r="A116" s="11" t="s">
        <v>100</v>
      </c>
      <c r="B116" s="11" t="s">
        <v>391</v>
      </c>
      <c r="C116" s="11" t="s">
        <v>386</v>
      </c>
      <c r="D116" s="24">
        <v>0.36</v>
      </c>
      <c r="E116" s="24">
        <v>0.63</v>
      </c>
      <c r="F116" s="26">
        <v>3.6999999999999999E-13</v>
      </c>
      <c r="G116" s="11" t="s">
        <v>96</v>
      </c>
      <c r="H116" s="11" t="s">
        <v>78</v>
      </c>
      <c r="I116" s="26">
        <v>1.8000000000000001E-118</v>
      </c>
      <c r="J116" s="24">
        <v>23.283999999999999</v>
      </c>
      <c r="K116" s="12" t="s">
        <v>132</v>
      </c>
      <c r="L116" s="22">
        <f t="shared" si="1"/>
        <v>12.431798275933005</v>
      </c>
      <c r="M116" s="2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">
      <c r="A117" s="11" t="s">
        <v>101</v>
      </c>
      <c r="B117" s="11" t="s">
        <v>392</v>
      </c>
      <c r="C117" s="11" t="s">
        <v>393</v>
      </c>
      <c r="D117" s="24">
        <v>0.4</v>
      </c>
      <c r="E117" s="24">
        <v>0.64</v>
      </c>
      <c r="F117" s="26">
        <v>9.7000000000000003E-14</v>
      </c>
      <c r="G117" s="11" t="s">
        <v>96</v>
      </c>
      <c r="H117" s="11" t="s">
        <v>78</v>
      </c>
      <c r="I117" s="26">
        <v>1.8000000000000001E-118</v>
      </c>
      <c r="J117" s="24">
        <v>3.0000000000000001E-3</v>
      </c>
      <c r="K117" s="12" t="s">
        <v>266</v>
      </c>
      <c r="L117" s="22">
        <f t="shared" si="1"/>
        <v>13.013228265733755</v>
      </c>
      <c r="M117" s="2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">
      <c r="A118" s="11" t="s">
        <v>394</v>
      </c>
      <c r="B118" s="11" t="s">
        <v>395</v>
      </c>
      <c r="C118" s="11" t="s">
        <v>388</v>
      </c>
      <c r="D118" s="24">
        <v>0.65</v>
      </c>
      <c r="E118" s="24">
        <v>0.94</v>
      </c>
      <c r="F118" s="26">
        <v>2.9999999999999999E-21</v>
      </c>
      <c r="G118" s="11" t="s">
        <v>96</v>
      </c>
      <c r="H118" s="11" t="s">
        <v>34</v>
      </c>
      <c r="I118" s="26">
        <v>2.9E-120</v>
      </c>
      <c r="J118" s="24">
        <v>0.32800000000000001</v>
      </c>
      <c r="K118" s="12" t="s">
        <v>266</v>
      </c>
      <c r="L118" s="22">
        <f t="shared" si="1"/>
        <v>20.522878745280337</v>
      </c>
      <c r="M118" s="2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">
      <c r="A119" s="11" t="s">
        <v>104</v>
      </c>
      <c r="B119" s="11" t="s">
        <v>396</v>
      </c>
      <c r="C119" s="11" t="s">
        <v>397</v>
      </c>
      <c r="D119" s="24">
        <v>0.31</v>
      </c>
      <c r="E119" s="24">
        <v>0.31</v>
      </c>
      <c r="F119" s="26">
        <v>1.9000000000000001E-17</v>
      </c>
      <c r="G119" s="11" t="s">
        <v>103</v>
      </c>
      <c r="H119" s="11" t="s">
        <v>347</v>
      </c>
      <c r="I119" s="26">
        <v>900</v>
      </c>
      <c r="J119" s="24">
        <v>0.16</v>
      </c>
      <c r="K119" s="12" t="s">
        <v>132</v>
      </c>
      <c r="L119" s="22">
        <f t="shared" si="1"/>
        <v>16.721246399047171</v>
      </c>
      <c r="M119" s="2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">
      <c r="A120" s="11" t="s">
        <v>105</v>
      </c>
      <c r="B120" s="11" t="s">
        <v>398</v>
      </c>
      <c r="C120" s="11" t="s">
        <v>399</v>
      </c>
      <c r="D120" s="24">
        <v>0.33</v>
      </c>
      <c r="E120" s="24">
        <v>0.79</v>
      </c>
      <c r="F120" s="26">
        <v>8.6999999999999999E-10</v>
      </c>
      <c r="G120" s="11" t="s">
        <v>103</v>
      </c>
      <c r="H120" s="11" t="s">
        <v>400</v>
      </c>
      <c r="I120" s="26">
        <v>130</v>
      </c>
      <c r="J120" s="24">
        <v>25</v>
      </c>
      <c r="K120" s="12" t="s">
        <v>132</v>
      </c>
      <c r="L120" s="22">
        <f t="shared" si="1"/>
        <v>9.0604807473813818</v>
      </c>
      <c r="M120" s="2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">
      <c r="A121" s="11" t="s">
        <v>20</v>
      </c>
      <c r="B121" s="11" t="s">
        <v>175</v>
      </c>
      <c r="C121" s="11" t="s">
        <v>401</v>
      </c>
      <c r="D121" s="24">
        <v>0.3</v>
      </c>
      <c r="E121" s="24">
        <v>0.63</v>
      </c>
      <c r="F121" s="26">
        <v>1.6E-12</v>
      </c>
      <c r="G121" s="11" t="s">
        <v>106</v>
      </c>
      <c r="H121" s="11" t="s">
        <v>7</v>
      </c>
      <c r="I121" s="26">
        <v>30</v>
      </c>
      <c r="J121" s="24">
        <v>11</v>
      </c>
      <c r="K121" s="12" t="s">
        <v>132</v>
      </c>
      <c r="L121" s="22">
        <f t="shared" si="1"/>
        <v>11.795880017344075</v>
      </c>
      <c r="M121" s="2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">
      <c r="A122" s="11" t="s">
        <v>108</v>
      </c>
      <c r="B122" s="11" t="s">
        <v>402</v>
      </c>
      <c r="C122" s="11" t="s">
        <v>403</v>
      </c>
      <c r="D122" s="24">
        <v>0.61</v>
      </c>
      <c r="E122" s="24">
        <v>0.61</v>
      </c>
      <c r="F122" s="26">
        <v>8.7000000000000002E-15</v>
      </c>
      <c r="G122" s="11" t="s">
        <v>106</v>
      </c>
      <c r="H122" s="11" t="s">
        <v>63</v>
      </c>
      <c r="I122" s="26">
        <v>5.2</v>
      </c>
      <c r="J122" s="24">
        <v>4.8</v>
      </c>
      <c r="K122" s="12" t="s">
        <v>132</v>
      </c>
      <c r="L122" s="22">
        <f t="shared" si="1"/>
        <v>14.060480747381382</v>
      </c>
      <c r="M122" s="2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">
      <c r="A123" s="11" t="s">
        <v>109</v>
      </c>
      <c r="B123" s="11" t="s">
        <v>404</v>
      </c>
      <c r="C123" s="11" t="s">
        <v>405</v>
      </c>
      <c r="D123" s="24">
        <v>0.35</v>
      </c>
      <c r="E123" s="24">
        <v>0.35</v>
      </c>
      <c r="F123" s="26">
        <v>7.7999999999999997E-8</v>
      </c>
      <c r="G123" s="11" t="s">
        <v>107</v>
      </c>
      <c r="H123" s="11" t="s">
        <v>293</v>
      </c>
      <c r="I123" s="26">
        <v>26</v>
      </c>
      <c r="J123" s="24">
        <v>3</v>
      </c>
      <c r="K123" s="12" t="s">
        <v>132</v>
      </c>
      <c r="L123" s="22">
        <f t="shared" si="1"/>
        <v>7.1079053973095192</v>
      </c>
      <c r="M123" s="2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">
      <c r="A124" s="11" t="s">
        <v>16</v>
      </c>
      <c r="B124" s="11" t="s">
        <v>163</v>
      </c>
      <c r="C124" s="11" t="s">
        <v>406</v>
      </c>
      <c r="D124" s="24">
        <v>0.31</v>
      </c>
      <c r="E124" s="24">
        <v>0.31</v>
      </c>
      <c r="F124" s="26">
        <v>3.7000000000000002E-15</v>
      </c>
      <c r="G124" s="11" t="s">
        <v>107</v>
      </c>
      <c r="H124" s="11" t="s">
        <v>293</v>
      </c>
      <c r="I124" s="26">
        <v>26</v>
      </c>
      <c r="J124" s="24">
        <v>13</v>
      </c>
      <c r="K124" s="12" t="s">
        <v>132</v>
      </c>
      <c r="L124" s="22">
        <f t="shared" si="1"/>
        <v>14.431798275933005</v>
      </c>
      <c r="M124" s="2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">
      <c r="A125" s="11" t="s">
        <v>49</v>
      </c>
      <c r="B125" s="11" t="s">
        <v>270</v>
      </c>
      <c r="C125" s="11" t="s">
        <v>407</v>
      </c>
      <c r="D125" s="24">
        <v>0.42</v>
      </c>
      <c r="E125" s="24">
        <v>0.71</v>
      </c>
      <c r="F125" s="26">
        <v>2.5999999999999998E-37</v>
      </c>
      <c r="G125" s="11" t="s">
        <v>107</v>
      </c>
      <c r="H125" s="11" t="s">
        <v>408</v>
      </c>
      <c r="I125" s="26">
        <v>2.5E-137</v>
      </c>
      <c r="J125" s="24">
        <v>3.62</v>
      </c>
      <c r="K125" s="12" t="s">
        <v>132</v>
      </c>
      <c r="L125" s="22">
        <f t="shared" si="1"/>
        <v>36.585026652029185</v>
      </c>
      <c r="M125" s="2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">
      <c r="A126" s="11" t="s">
        <v>72</v>
      </c>
      <c r="B126" s="11" t="s">
        <v>203</v>
      </c>
      <c r="C126" s="11" t="s">
        <v>409</v>
      </c>
      <c r="D126" s="24">
        <v>0.32</v>
      </c>
      <c r="E126" s="24">
        <v>0.76</v>
      </c>
      <c r="F126" s="26">
        <v>1.9000000000000001E-9</v>
      </c>
      <c r="G126" s="11" t="s">
        <v>110</v>
      </c>
      <c r="H126" s="11" t="s">
        <v>30</v>
      </c>
      <c r="I126" s="26">
        <v>110</v>
      </c>
      <c r="J126" s="24">
        <v>3</v>
      </c>
      <c r="K126" s="12" t="s">
        <v>132</v>
      </c>
      <c r="L126" s="22">
        <f t="shared" si="1"/>
        <v>8.7212463990471711</v>
      </c>
      <c r="M126" s="2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">
      <c r="A127" s="11" t="s">
        <v>40</v>
      </c>
      <c r="B127" s="11" t="s">
        <v>238</v>
      </c>
      <c r="C127" s="11" t="s">
        <v>410</v>
      </c>
      <c r="D127" s="24">
        <v>0.31</v>
      </c>
      <c r="E127" s="24">
        <v>0.64</v>
      </c>
      <c r="F127" s="26">
        <v>1.1E-14</v>
      </c>
      <c r="G127" s="11" t="s">
        <v>110</v>
      </c>
      <c r="H127" s="11" t="s">
        <v>77</v>
      </c>
      <c r="I127" s="26">
        <v>61</v>
      </c>
      <c r="J127" s="24">
        <v>0.41899999999999998</v>
      </c>
      <c r="K127" s="12" t="s">
        <v>132</v>
      </c>
      <c r="L127" s="22">
        <f t="shared" si="1"/>
        <v>13.958607314841775</v>
      </c>
      <c r="M127" s="2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">
      <c r="A128" s="11" t="s">
        <v>111</v>
      </c>
      <c r="B128" s="11" t="s">
        <v>411</v>
      </c>
      <c r="C128" s="11" t="s">
        <v>412</v>
      </c>
      <c r="D128" s="24">
        <v>0.37</v>
      </c>
      <c r="E128" s="24">
        <v>0.72</v>
      </c>
      <c r="F128" s="26">
        <v>3.4E-5</v>
      </c>
      <c r="G128" s="11" t="s">
        <v>110</v>
      </c>
      <c r="H128" s="11" t="s">
        <v>320</v>
      </c>
      <c r="I128" s="26">
        <v>32</v>
      </c>
      <c r="J128" s="24">
        <v>17.8</v>
      </c>
      <c r="K128" s="12" t="s">
        <v>132</v>
      </c>
      <c r="L128" s="22">
        <f t="shared" si="1"/>
        <v>4.4685210829577446</v>
      </c>
      <c r="M128" s="2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">
      <c r="A129" s="15" t="s">
        <v>113</v>
      </c>
      <c r="B129" s="15" t="s">
        <v>413</v>
      </c>
      <c r="C129" s="15" t="s">
        <v>414</v>
      </c>
      <c r="D129" s="25">
        <v>0.35</v>
      </c>
      <c r="E129" s="25">
        <v>0.61</v>
      </c>
      <c r="F129" s="27">
        <v>4.3999999999999999E-13</v>
      </c>
      <c r="G129" s="15" t="s">
        <v>112</v>
      </c>
      <c r="H129" s="15" t="s">
        <v>86</v>
      </c>
      <c r="I129" s="27">
        <v>6.3E-21</v>
      </c>
      <c r="J129" s="25">
        <v>8.1620000000000008</v>
      </c>
      <c r="K129" s="16" t="s">
        <v>132</v>
      </c>
      <c r="L129" s="22">
        <f t="shared" si="1"/>
        <v>12.356547323513812</v>
      </c>
      <c r="M129" s="2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1" spans="1:37" x14ac:dyDescent="0.2">
      <c r="E131">
        <f>AVERAGE(E2:E129)</f>
        <v>0.61335937499999971</v>
      </c>
      <c r="K131" s="23" t="s">
        <v>777</v>
      </c>
      <c r="L131" s="23">
        <f>AVERAGE(L2:L129)</f>
        <v>17.577597308850962</v>
      </c>
    </row>
    <row r="132" spans="1:37" x14ac:dyDescent="0.2">
      <c r="E132">
        <f>STDEV(E2:E129)</f>
        <v>0.14319898244343493</v>
      </c>
      <c r="L132">
        <f>STDEV(L2:L129)</f>
        <v>15.97146548624919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F1CE-3B94-0543-939E-75E0946BD9EA}">
  <dimension ref="A1:G543"/>
  <sheetViews>
    <sheetView workbookViewId="0">
      <selection activeCell="C544" sqref="C544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415</v>
      </c>
      <c r="B2" s="3" t="s">
        <v>416</v>
      </c>
      <c r="C2" s="4">
        <v>0.92530709505081199</v>
      </c>
      <c r="D2" s="4">
        <v>1.07952320575714</v>
      </c>
      <c r="E2" s="4">
        <v>6.0454491525888401E-2</v>
      </c>
      <c r="F2" s="3" t="s">
        <v>417</v>
      </c>
      <c r="G2" s="4">
        <f>POWER(10,D2)</f>
        <v>12.009452416841583</v>
      </c>
    </row>
    <row r="3" spans="1:7" x14ac:dyDescent="0.2">
      <c r="A3" s="3" t="s">
        <v>415</v>
      </c>
      <c r="B3" s="3" t="s">
        <v>418</v>
      </c>
      <c r="C3" s="4">
        <v>0.94714385271072399</v>
      </c>
      <c r="D3" s="4">
        <v>2.5570712089538601</v>
      </c>
      <c r="E3" s="4">
        <v>0.588426113128662</v>
      </c>
      <c r="F3" s="3" t="s">
        <v>417</v>
      </c>
      <c r="G3" s="4">
        <f>POWER(10,D3)</f>
        <v>360.63777002912843</v>
      </c>
    </row>
    <row r="4" spans="1:7" x14ac:dyDescent="0.2">
      <c r="A4" s="3" t="s">
        <v>415</v>
      </c>
      <c r="B4" s="3" t="s">
        <v>419</v>
      </c>
      <c r="C4" s="4">
        <v>0.95163631439208995</v>
      </c>
      <c r="D4" s="4">
        <v>2.3588604927063002</v>
      </c>
      <c r="E4" s="4">
        <v>0.56916844844818104</v>
      </c>
      <c r="F4" s="3" t="s">
        <v>417</v>
      </c>
      <c r="G4" s="4">
        <f>POWER(10,D4)</f>
        <v>228.48647242899432</v>
      </c>
    </row>
    <row r="5" spans="1:7" x14ac:dyDescent="0.2">
      <c r="A5" s="3"/>
      <c r="B5" s="3"/>
      <c r="C5" s="4"/>
      <c r="D5" s="4"/>
      <c r="E5" s="4"/>
      <c r="F5" s="3"/>
      <c r="G5" s="4"/>
    </row>
    <row r="6" spans="1:7" x14ac:dyDescent="0.2">
      <c r="A6" s="3" t="s">
        <v>415</v>
      </c>
      <c r="B6" s="3" t="s">
        <v>420</v>
      </c>
      <c r="C6" s="4">
        <v>0.93519240617752097</v>
      </c>
      <c r="D6" s="4">
        <v>1.5340803861618</v>
      </c>
      <c r="E6" s="4">
        <v>0.22213070094585399</v>
      </c>
      <c r="F6" s="3" t="s">
        <v>417</v>
      </c>
      <c r="G6" s="4">
        <f>POWER(10,D6)</f>
        <v>34.204274739158194</v>
      </c>
    </row>
    <row r="7" spans="1:7" x14ac:dyDescent="0.2">
      <c r="A7" s="3" t="s">
        <v>415</v>
      </c>
      <c r="B7" s="3" t="s">
        <v>421</v>
      </c>
      <c r="C7" s="4">
        <v>0.95388394594192505</v>
      </c>
      <c r="D7" s="4">
        <v>1.6273339986801101</v>
      </c>
      <c r="E7" s="4">
        <v>0.77578574419021595</v>
      </c>
      <c r="F7" s="3" t="s">
        <v>417</v>
      </c>
      <c r="G7" s="4">
        <f>POWER(10,D7)</f>
        <v>42.396889838555992</v>
      </c>
    </row>
    <row r="8" spans="1:7" x14ac:dyDescent="0.2">
      <c r="A8" s="3" t="s">
        <v>415</v>
      </c>
      <c r="B8" s="3" t="s">
        <v>422</v>
      </c>
      <c r="C8" s="4">
        <v>0.94605934619903598</v>
      </c>
      <c r="D8" s="4">
        <v>1.85984587669373</v>
      </c>
      <c r="E8" s="4">
        <v>0.91201835870742798</v>
      </c>
      <c r="F8" s="3" t="s">
        <v>417</v>
      </c>
      <c r="G8" s="4">
        <f>POWER(10,D8)</f>
        <v>72.417891638547559</v>
      </c>
    </row>
    <row r="9" spans="1:7" x14ac:dyDescent="0.2">
      <c r="A9" s="3" t="s">
        <v>415</v>
      </c>
      <c r="B9" s="3" t="s">
        <v>423</v>
      </c>
      <c r="C9" s="4">
        <v>0.95010530948638905</v>
      </c>
      <c r="D9" s="4">
        <v>1.9574767351150499</v>
      </c>
      <c r="E9" s="4">
        <v>0.53540277481079102</v>
      </c>
      <c r="F9" s="3" t="s">
        <v>417</v>
      </c>
      <c r="G9" s="4">
        <f>POWER(10,D9)</f>
        <v>90.67273904612081</v>
      </c>
    </row>
    <row r="10" spans="1:7" x14ac:dyDescent="0.2">
      <c r="A10" s="3" t="s">
        <v>415</v>
      </c>
      <c r="B10" s="3" t="s">
        <v>424</v>
      </c>
      <c r="C10" s="4">
        <v>0.94809311628341697</v>
      </c>
      <c r="D10" s="4">
        <v>1.4043843746185301</v>
      </c>
      <c r="E10" s="4">
        <v>0.50241857767105103</v>
      </c>
      <c r="F10" s="3" t="s">
        <v>417</v>
      </c>
      <c r="G10" s="4">
        <f>POWER(10,D10)</f>
        <v>25.373733526492785</v>
      </c>
    </row>
    <row r="11" spans="1:7" x14ac:dyDescent="0.2">
      <c r="A11" s="3"/>
      <c r="B11" s="3"/>
      <c r="C11" s="4"/>
      <c r="D11" s="4"/>
      <c r="E11" s="4"/>
      <c r="F11" s="3"/>
      <c r="G11" s="4"/>
    </row>
    <row r="12" spans="1:7" x14ac:dyDescent="0.2">
      <c r="A12" s="3" t="s">
        <v>425</v>
      </c>
      <c r="B12" s="3" t="s">
        <v>416</v>
      </c>
      <c r="C12" s="4">
        <v>0.93446367979049705</v>
      </c>
      <c r="D12" s="4">
        <v>0.38968557119369501</v>
      </c>
      <c r="E12" s="4">
        <v>0.100540556013584</v>
      </c>
      <c r="F12" s="3" t="s">
        <v>417</v>
      </c>
      <c r="G12" s="4">
        <f>POWER(10,D12)</f>
        <v>2.4529323518758783</v>
      </c>
    </row>
    <row r="13" spans="1:7" x14ac:dyDescent="0.2">
      <c r="A13" s="3" t="s">
        <v>425</v>
      </c>
      <c r="B13" s="3" t="s">
        <v>418</v>
      </c>
      <c r="C13" s="4">
        <v>0.94464915990829501</v>
      </c>
      <c r="D13" s="4">
        <v>2.0427050590515101</v>
      </c>
      <c r="E13" s="4">
        <v>0.33682376146316501</v>
      </c>
      <c r="F13" s="3" t="s">
        <v>417</v>
      </c>
      <c r="G13" s="4">
        <f>POWER(10,D13)</f>
        <v>110.33290652583111</v>
      </c>
    </row>
    <row r="14" spans="1:7" x14ac:dyDescent="0.2">
      <c r="A14" s="3" t="s">
        <v>425</v>
      </c>
      <c r="B14" s="3" t="s">
        <v>419</v>
      </c>
      <c r="C14" s="4">
        <v>0.94976139068603505</v>
      </c>
      <c r="D14" s="4">
        <v>1.9167298078537001</v>
      </c>
      <c r="E14" s="4">
        <v>0.22432930767536199</v>
      </c>
      <c r="F14" s="3" t="s">
        <v>417</v>
      </c>
      <c r="G14" s="4">
        <f>POWER(10,D14)</f>
        <v>82.552419781938084</v>
      </c>
    </row>
    <row r="15" spans="1:7" x14ac:dyDescent="0.2">
      <c r="A15" s="3" t="s">
        <v>425</v>
      </c>
      <c r="B15" s="3" t="s">
        <v>420</v>
      </c>
      <c r="C15" s="4">
        <v>0.94129574298858598</v>
      </c>
      <c r="D15" s="4">
        <v>0.68967658281326305</v>
      </c>
      <c r="E15" s="4">
        <v>0.166831970214844</v>
      </c>
      <c r="F15" s="3" t="s">
        <v>417</v>
      </c>
      <c r="G15" s="4">
        <f>POWER(10,D15)</f>
        <v>4.8941421901510651</v>
      </c>
    </row>
    <row r="16" spans="1:7" x14ac:dyDescent="0.2">
      <c r="A16" s="3" t="s">
        <v>425</v>
      </c>
      <c r="B16" s="3" t="s">
        <v>421</v>
      </c>
      <c r="C16" s="4">
        <v>0.95128262042999301</v>
      </c>
      <c r="D16" s="4">
        <v>1.10857605934143</v>
      </c>
      <c r="E16" s="4">
        <v>0.67778748273849498</v>
      </c>
      <c r="F16" s="3" t="s">
        <v>417</v>
      </c>
      <c r="G16" s="4">
        <f>POWER(10,D16)</f>
        <v>12.840326274038889</v>
      </c>
    </row>
    <row r="17" spans="1:7" x14ac:dyDescent="0.2">
      <c r="A17" s="3" t="s">
        <v>425</v>
      </c>
      <c r="B17" s="3" t="s">
        <v>422</v>
      </c>
      <c r="C17" s="4">
        <v>0.94565057754516602</v>
      </c>
      <c r="D17" s="4">
        <v>1.7597237825393699</v>
      </c>
      <c r="E17" s="4">
        <v>0.89637768268585205</v>
      </c>
      <c r="F17" s="3" t="s">
        <v>417</v>
      </c>
      <c r="G17" s="4">
        <f>POWER(10,D17)</f>
        <v>57.507406572368488</v>
      </c>
    </row>
    <row r="18" spans="1:7" x14ac:dyDescent="0.2">
      <c r="A18" s="3" t="s">
        <v>425</v>
      </c>
      <c r="B18" s="3" t="s">
        <v>423</v>
      </c>
      <c r="C18" s="4">
        <v>0.94858568906784102</v>
      </c>
      <c r="D18" s="4">
        <v>1.92616331577301</v>
      </c>
      <c r="E18" s="4">
        <v>0.32514858245849598</v>
      </c>
      <c r="F18" s="3" t="s">
        <v>417</v>
      </c>
      <c r="G18" s="4">
        <f>POWER(10,D18)</f>
        <v>84.365195214138538</v>
      </c>
    </row>
    <row r="19" spans="1:7" x14ac:dyDescent="0.2">
      <c r="A19" s="3" t="s">
        <v>425</v>
      </c>
      <c r="B19" s="3" t="s">
        <v>424</v>
      </c>
      <c r="C19" s="4">
        <v>0.94895190000534102</v>
      </c>
      <c r="D19" s="4">
        <v>1.5951330661773699</v>
      </c>
      <c r="E19" s="4">
        <v>0.54309207201003995</v>
      </c>
      <c r="F19" s="3" t="s">
        <v>417</v>
      </c>
      <c r="G19" s="4">
        <f>POWER(10,D19)</f>
        <v>39.367067617684526</v>
      </c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3" t="s">
        <v>18</v>
      </c>
      <c r="B26" s="3" t="s">
        <v>116</v>
      </c>
      <c r="C26" s="4">
        <v>0.56879103183746305</v>
      </c>
      <c r="D26" s="4">
        <v>-2.3150210380554199</v>
      </c>
      <c r="E26" s="4">
        <v>0.97095370292663596</v>
      </c>
      <c r="F26" s="3" t="s">
        <v>417</v>
      </c>
      <c r="G26" s="4">
        <f>POWER(10,D26)</f>
        <v>4.8414891391656556E-3</v>
      </c>
    </row>
    <row r="27" spans="1:7" x14ac:dyDescent="0.2">
      <c r="A27" s="3" t="s">
        <v>18</v>
      </c>
      <c r="B27" s="3" t="s">
        <v>426</v>
      </c>
      <c r="C27" s="4">
        <v>0.677190601825714</v>
      </c>
      <c r="D27" s="4">
        <v>0.23439386487007099</v>
      </c>
      <c r="E27" s="4">
        <v>0.33163470029830899</v>
      </c>
      <c r="F27" s="3" t="s">
        <v>417</v>
      </c>
      <c r="G27" s="4">
        <f>POWER(10,D27)</f>
        <v>1.7155124130987838</v>
      </c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3" t="s">
        <v>18</v>
      </c>
      <c r="B29" s="3" t="s">
        <v>73</v>
      </c>
      <c r="C29" s="4">
        <v>0.74471825361251798</v>
      </c>
      <c r="D29" s="4">
        <v>0.90378564596176203</v>
      </c>
      <c r="E29" s="4">
        <v>0.26756134629249601</v>
      </c>
      <c r="F29" s="3" t="s">
        <v>417</v>
      </c>
      <c r="G29" s="4">
        <f>POWER(10,D29)</f>
        <v>8.0128247805038448</v>
      </c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3" t="s">
        <v>18</v>
      </c>
      <c r="B31" s="3" t="s">
        <v>15</v>
      </c>
      <c r="C31" s="4">
        <v>0.53651088476180997</v>
      </c>
      <c r="D31" s="4">
        <v>-2.1455936431884801</v>
      </c>
      <c r="E31" s="4">
        <v>0.95993030071258501</v>
      </c>
      <c r="F31" s="3" t="s">
        <v>417</v>
      </c>
      <c r="G31" s="4">
        <f>POWER(10,D31)</f>
        <v>7.1516517252642143E-3</v>
      </c>
    </row>
    <row r="32" spans="1:7" x14ac:dyDescent="0.2">
      <c r="A32" s="3" t="s">
        <v>18</v>
      </c>
      <c r="B32" s="3" t="s">
        <v>16</v>
      </c>
      <c r="C32" s="4">
        <v>0.61444938182830799</v>
      </c>
      <c r="D32" s="4">
        <v>-2.1728529930114702</v>
      </c>
      <c r="E32" s="4">
        <v>0.96326291561126698</v>
      </c>
      <c r="F32" s="3" t="s">
        <v>417</v>
      </c>
      <c r="G32" s="4">
        <f>POWER(10,D32)</f>
        <v>6.7165616744470141E-3</v>
      </c>
    </row>
    <row r="33" spans="1:7" x14ac:dyDescent="0.2">
      <c r="A33" s="1"/>
      <c r="B33" s="1"/>
      <c r="C33" s="1"/>
      <c r="D33" s="1"/>
      <c r="E33" s="1"/>
      <c r="F33" s="1"/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x14ac:dyDescent="0.2">
      <c r="A39" s="3" t="s">
        <v>25</v>
      </c>
      <c r="B39" s="3" t="s">
        <v>116</v>
      </c>
      <c r="C39" s="4">
        <v>0.84763908386230502</v>
      </c>
      <c r="D39" s="4">
        <v>-0.75484549999237105</v>
      </c>
      <c r="E39" s="4">
        <v>0.90892469882965099</v>
      </c>
      <c r="F39" s="3" t="s">
        <v>417</v>
      </c>
      <c r="G39" s="4">
        <f>POWER(10,D39)</f>
        <v>0.17585491055075073</v>
      </c>
    </row>
    <row r="40" spans="1:7" x14ac:dyDescent="0.2">
      <c r="A40" s="1"/>
      <c r="B40" s="1"/>
      <c r="C40" s="1"/>
      <c r="D40" s="1"/>
      <c r="E40" s="1"/>
      <c r="F40" s="1"/>
      <c r="G40" s="1"/>
    </row>
    <row r="41" spans="1:7" x14ac:dyDescent="0.2">
      <c r="A41" s="1"/>
      <c r="B41" s="1"/>
      <c r="C41" s="1"/>
      <c r="D41" s="1"/>
      <c r="E41" s="1"/>
      <c r="F41" s="1"/>
      <c r="G41" s="1"/>
    </row>
    <row r="42" spans="1:7" x14ac:dyDescent="0.2">
      <c r="A42" s="3" t="s">
        <v>25</v>
      </c>
      <c r="B42" s="3" t="s">
        <v>426</v>
      </c>
      <c r="C42" s="4">
        <v>0.86476153135299705</v>
      </c>
      <c r="D42" s="4">
        <v>-0.30305397510528598</v>
      </c>
      <c r="E42" s="4">
        <v>0.84741950035095204</v>
      </c>
      <c r="F42" s="3" t="s">
        <v>417</v>
      </c>
      <c r="G42" s="4">
        <f>POWER(10,D42)</f>
        <v>0.49767522892663091</v>
      </c>
    </row>
    <row r="43" spans="1:7" x14ac:dyDescent="0.2">
      <c r="A43" s="1"/>
      <c r="B43" s="1"/>
      <c r="C43" s="1"/>
      <c r="D43" s="1"/>
      <c r="E43" s="1"/>
      <c r="F43" s="1"/>
      <c r="G43" s="1"/>
    </row>
    <row r="44" spans="1:7" x14ac:dyDescent="0.2">
      <c r="A44" s="3" t="s">
        <v>25</v>
      </c>
      <c r="B44" s="3" t="s">
        <v>73</v>
      </c>
      <c r="C44" s="4">
        <v>0.86740845441818204</v>
      </c>
      <c r="D44" s="4">
        <v>0.53867542743682895</v>
      </c>
      <c r="E44" s="4">
        <v>0.93562519550323497</v>
      </c>
      <c r="F44" s="3" t="s">
        <v>417</v>
      </c>
      <c r="G44" s="4">
        <f>POWER(10,D44)</f>
        <v>3.4568093456188715</v>
      </c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3" t="s">
        <v>25</v>
      </c>
      <c r="B46" s="3" t="s">
        <v>15</v>
      </c>
      <c r="C46" s="4">
        <v>0.84406995773315396</v>
      </c>
      <c r="D46" s="4">
        <v>-0.11990061402320901</v>
      </c>
      <c r="E46" s="4">
        <v>0.78457850217819203</v>
      </c>
      <c r="F46" s="3" t="s">
        <v>417</v>
      </c>
      <c r="G46" s="4">
        <f>POWER(10,D46)</f>
        <v>0.7587511913277819</v>
      </c>
    </row>
    <row r="47" spans="1:7" x14ac:dyDescent="0.2">
      <c r="A47" s="1"/>
      <c r="B47" s="1"/>
      <c r="C47" s="1"/>
      <c r="D47" s="1"/>
      <c r="E47" s="1"/>
      <c r="F47" s="1"/>
      <c r="G47" s="1"/>
    </row>
    <row r="48" spans="1:7" x14ac:dyDescent="0.2">
      <c r="A48" s="3" t="s">
        <v>25</v>
      </c>
      <c r="B48" s="3" t="s">
        <v>427</v>
      </c>
      <c r="C48" s="4">
        <v>0.86986488103866599</v>
      </c>
      <c r="D48" s="4">
        <v>-0.28809326887130698</v>
      </c>
      <c r="E48" s="4">
        <v>0.85606461763382002</v>
      </c>
      <c r="F48" s="3" t="s">
        <v>417</v>
      </c>
      <c r="G48" s="4">
        <f>POWER(10,D48)</f>
        <v>0.51511800620985748</v>
      </c>
    </row>
    <row r="49" spans="1:7" x14ac:dyDescent="0.2">
      <c r="A49" s="3" t="s">
        <v>25</v>
      </c>
      <c r="B49" s="3" t="s">
        <v>428</v>
      </c>
      <c r="C49" s="4">
        <v>0.88556069135665905</v>
      </c>
      <c r="D49" s="4">
        <v>1.72397124767303</v>
      </c>
      <c r="E49" s="4">
        <v>0.97013098001480103</v>
      </c>
      <c r="F49" s="3" t="s">
        <v>417</v>
      </c>
      <c r="G49" s="4">
        <f>POWER(10,D49)</f>
        <v>52.962837885387586</v>
      </c>
    </row>
    <row r="50" spans="1:7" x14ac:dyDescent="0.2">
      <c r="A50" s="1"/>
      <c r="B50" s="1"/>
      <c r="C50" s="1"/>
      <c r="D50" s="1"/>
      <c r="E50" s="1"/>
      <c r="F50" s="1"/>
      <c r="G50" s="1"/>
    </row>
    <row r="51" spans="1:7" x14ac:dyDescent="0.2">
      <c r="A51" s="1"/>
      <c r="B51" s="1"/>
      <c r="C51" s="1"/>
      <c r="D51" s="1"/>
      <c r="E51" s="1"/>
      <c r="F51" s="1"/>
      <c r="G51" s="1"/>
    </row>
    <row r="52" spans="1:7" x14ac:dyDescent="0.2">
      <c r="A52" s="1"/>
      <c r="B52" s="1"/>
      <c r="C52" s="1"/>
      <c r="D52" s="1"/>
      <c r="E52" s="1"/>
      <c r="F52" s="1"/>
      <c r="G52" s="1"/>
    </row>
    <row r="53" spans="1:7" x14ac:dyDescent="0.2">
      <c r="A53" s="1"/>
      <c r="B53" s="1"/>
      <c r="C53" s="1"/>
      <c r="D53" s="1"/>
      <c r="E53" s="1"/>
      <c r="F53" s="1"/>
      <c r="G53" s="1"/>
    </row>
    <row r="54" spans="1:7" x14ac:dyDescent="0.2">
      <c r="A54" s="1"/>
      <c r="B54" s="1"/>
      <c r="C54" s="1"/>
      <c r="D54" s="1"/>
      <c r="E54" s="1"/>
      <c r="F54" s="1"/>
      <c r="G54" s="1"/>
    </row>
    <row r="55" spans="1:7" x14ac:dyDescent="0.2">
      <c r="A55" s="1"/>
      <c r="B55" s="1"/>
      <c r="C55" s="1"/>
      <c r="D55" s="1"/>
      <c r="E55" s="1"/>
      <c r="F55" s="1"/>
      <c r="G55" s="1"/>
    </row>
    <row r="56" spans="1:7" x14ac:dyDescent="0.2">
      <c r="A56" s="1"/>
      <c r="B56" s="1"/>
      <c r="C56" s="1"/>
      <c r="D56" s="1"/>
      <c r="E56" s="1"/>
      <c r="F56" s="1"/>
      <c r="G56" s="1"/>
    </row>
    <row r="57" spans="1:7" x14ac:dyDescent="0.2">
      <c r="A57" s="1"/>
      <c r="B57" s="1"/>
      <c r="C57" s="1"/>
      <c r="D57" s="1"/>
      <c r="E57" s="1"/>
      <c r="F57" s="1"/>
      <c r="G57" s="1"/>
    </row>
    <row r="58" spans="1:7" x14ac:dyDescent="0.2">
      <c r="A58" s="1"/>
      <c r="B58" s="1"/>
      <c r="C58" s="1"/>
      <c r="D58" s="1"/>
      <c r="E58" s="1"/>
      <c r="F58" s="1"/>
      <c r="G58" s="1"/>
    </row>
    <row r="59" spans="1:7" x14ac:dyDescent="0.2">
      <c r="A59" s="1"/>
      <c r="B59" s="1"/>
      <c r="C59" s="1"/>
      <c r="D59" s="1"/>
      <c r="E59" s="1"/>
      <c r="F59" s="1"/>
      <c r="G59" s="1"/>
    </row>
    <row r="60" spans="1:7" x14ac:dyDescent="0.2">
      <c r="A60" s="1"/>
      <c r="B60" s="1"/>
      <c r="C60" s="1"/>
      <c r="D60" s="1"/>
      <c r="E60" s="1"/>
      <c r="F60" s="1"/>
      <c r="G60" s="1"/>
    </row>
    <row r="61" spans="1:7" x14ac:dyDescent="0.2">
      <c r="A61" s="1"/>
      <c r="B61" s="1"/>
      <c r="C61" s="1"/>
      <c r="D61" s="1"/>
      <c r="E61" s="1"/>
      <c r="F61" s="1"/>
      <c r="G61" s="1"/>
    </row>
    <row r="62" spans="1:7" x14ac:dyDescent="0.2">
      <c r="A62" s="3" t="s">
        <v>28</v>
      </c>
      <c r="B62" s="3" t="s">
        <v>429</v>
      </c>
      <c r="C62" s="4">
        <v>0.77751415967941295</v>
      </c>
      <c r="D62" s="4">
        <v>0.181607395410538</v>
      </c>
      <c r="E62" s="4">
        <v>0.946927130222321</v>
      </c>
      <c r="F62" s="3" t="s">
        <v>417</v>
      </c>
      <c r="G62" s="4">
        <f>POWER(10,D62)</f>
        <v>1.5191735675686417</v>
      </c>
    </row>
    <row r="63" spans="1:7" x14ac:dyDescent="0.2">
      <c r="A63" s="3" t="s">
        <v>28</v>
      </c>
      <c r="B63" s="3" t="s">
        <v>430</v>
      </c>
      <c r="C63" s="4">
        <v>0.75781118869781505</v>
      </c>
      <c r="D63" s="4">
        <v>2.3646438121795699</v>
      </c>
      <c r="E63" s="4">
        <v>0.488279819488525</v>
      </c>
      <c r="F63" s="3" t="s">
        <v>417</v>
      </c>
      <c r="G63" s="4">
        <f>POWER(10,D63)</f>
        <v>231.54948115226267</v>
      </c>
    </row>
    <row r="64" spans="1:7" x14ac:dyDescent="0.2">
      <c r="A64" s="3" t="s">
        <v>28</v>
      </c>
      <c r="B64" s="3" t="s">
        <v>431</v>
      </c>
      <c r="C64" s="4">
        <v>0.78587919473648105</v>
      </c>
      <c r="D64" s="4">
        <v>1.2779513597488401</v>
      </c>
      <c r="E64" s="4">
        <v>5.8554124087095302E-2</v>
      </c>
      <c r="F64" s="3" t="s">
        <v>417</v>
      </c>
      <c r="G64" s="4">
        <f>POWER(10,D64)</f>
        <v>18.964935052350096</v>
      </c>
    </row>
    <row r="65" spans="1:7" x14ac:dyDescent="0.2">
      <c r="A65" s="3"/>
      <c r="B65" s="3"/>
      <c r="C65" s="4"/>
      <c r="D65" s="4"/>
      <c r="E65" s="4"/>
      <c r="F65" s="3"/>
      <c r="G65" s="4"/>
    </row>
    <row r="66" spans="1:7" x14ac:dyDescent="0.2">
      <c r="A66" s="3" t="s">
        <v>28</v>
      </c>
      <c r="B66" s="3" t="s">
        <v>432</v>
      </c>
      <c r="C66" s="4">
        <v>0.78683167695999201</v>
      </c>
      <c r="D66" s="4">
        <v>1.0218356847763099</v>
      </c>
      <c r="E66" s="4">
        <v>0.68154948949813798</v>
      </c>
      <c r="F66" s="3" t="s">
        <v>417</v>
      </c>
      <c r="G66" s="4">
        <f>POWER(10,D66)</f>
        <v>10.515639395587513</v>
      </c>
    </row>
    <row r="67" spans="1:7" x14ac:dyDescent="0.2">
      <c r="A67" s="3" t="s">
        <v>28</v>
      </c>
      <c r="B67" s="3" t="s">
        <v>433</v>
      </c>
      <c r="C67" s="4">
        <v>0.77089548110961903</v>
      </c>
      <c r="D67" s="4">
        <v>0.42920076847076399</v>
      </c>
      <c r="E67" s="4">
        <v>0.74686044454574596</v>
      </c>
      <c r="F67" s="3" t="s">
        <v>417</v>
      </c>
      <c r="G67" s="4">
        <f>POWER(10,D67)</f>
        <v>2.6865861310962451</v>
      </c>
    </row>
    <row r="68" spans="1:7" x14ac:dyDescent="0.2">
      <c r="A68" s="3" t="s">
        <v>28</v>
      </c>
      <c r="B68" s="3" t="s">
        <v>434</v>
      </c>
      <c r="C68" s="4">
        <v>0.77421021461486805</v>
      </c>
      <c r="D68" s="4">
        <v>-0.10206139087677001</v>
      </c>
      <c r="E68" s="4">
        <v>0.27460724115371699</v>
      </c>
      <c r="F68" s="3" t="s">
        <v>417</v>
      </c>
      <c r="G68" s="4">
        <f>POWER(10,D68)</f>
        <v>0.79056686737283932</v>
      </c>
    </row>
    <row r="69" spans="1:7" x14ac:dyDescent="0.2">
      <c r="A69" s="3" t="s">
        <v>28</v>
      </c>
      <c r="B69" s="3" t="s">
        <v>435</v>
      </c>
      <c r="C69" s="4">
        <v>0.77969998121261597</v>
      </c>
      <c r="D69" s="4">
        <v>1.95399594306946</v>
      </c>
      <c r="E69" s="4">
        <v>0.35914176702499401</v>
      </c>
      <c r="F69" s="3" t="s">
        <v>417</v>
      </c>
      <c r="G69" s="4">
        <f>POWER(10,D69)</f>
        <v>89.948917897758136</v>
      </c>
    </row>
    <row r="70" spans="1:7" x14ac:dyDescent="0.2">
      <c r="A70" s="3" t="s">
        <v>28</v>
      </c>
      <c r="B70" s="3" t="s">
        <v>436</v>
      </c>
      <c r="C70" s="4">
        <v>0.77963280677795399</v>
      </c>
      <c r="D70" s="4">
        <v>2.3998932838439901</v>
      </c>
      <c r="E70" s="4">
        <v>0.48648372292518599</v>
      </c>
      <c r="F70" s="3" t="s">
        <v>417</v>
      </c>
      <c r="G70" s="4">
        <f>POWER(10,D70)</f>
        <v>251.12692789919885</v>
      </c>
    </row>
    <row r="71" spans="1:7" x14ac:dyDescent="0.2">
      <c r="A71" s="3" t="s">
        <v>28</v>
      </c>
      <c r="B71" s="3" t="s">
        <v>437</v>
      </c>
      <c r="C71" s="4">
        <v>0.77945899963378895</v>
      </c>
      <c r="D71" s="4">
        <v>0.98547589778900202</v>
      </c>
      <c r="E71" s="4">
        <v>0.51467162370681796</v>
      </c>
      <c r="F71" s="3" t="s">
        <v>417</v>
      </c>
      <c r="G71" s="4">
        <f>POWER(10,D71)</f>
        <v>9.6711005307517777</v>
      </c>
    </row>
    <row r="72" spans="1:7" x14ac:dyDescent="0.2">
      <c r="A72" s="3"/>
      <c r="B72" s="3"/>
      <c r="C72" s="4"/>
      <c r="D72" s="4"/>
      <c r="E72" s="4"/>
      <c r="F72" s="3"/>
      <c r="G72" s="4"/>
    </row>
    <row r="73" spans="1:7" x14ac:dyDescent="0.2">
      <c r="A73" s="3" t="s">
        <v>28</v>
      </c>
      <c r="B73" s="3" t="s">
        <v>427</v>
      </c>
      <c r="C73" s="4">
        <v>0.78615981340408303</v>
      </c>
      <c r="D73" s="4">
        <v>4.8606812953949002E-2</v>
      </c>
      <c r="E73" s="4">
        <v>0.87971311807632502</v>
      </c>
      <c r="F73" s="3" t="s">
        <v>417</v>
      </c>
      <c r="G73" s="4">
        <f>POWER(10,D73)</f>
        <v>1.1184248627873694</v>
      </c>
    </row>
    <row r="74" spans="1:7" x14ac:dyDescent="0.2">
      <c r="A74" s="3"/>
      <c r="B74" s="3"/>
      <c r="C74" s="4"/>
      <c r="D74" s="4"/>
      <c r="E74" s="4"/>
      <c r="F74" s="3"/>
      <c r="G74" s="4"/>
    </row>
    <row r="75" spans="1:7" x14ac:dyDescent="0.2">
      <c r="A75" s="3"/>
      <c r="B75" s="3"/>
      <c r="C75" s="4"/>
      <c r="D75" s="4"/>
      <c r="E75" s="4"/>
      <c r="F75" s="3"/>
      <c r="G75" s="4"/>
    </row>
    <row r="76" spans="1:7" x14ac:dyDescent="0.2">
      <c r="A76" s="3" t="s">
        <v>30</v>
      </c>
      <c r="B76" s="3" t="s">
        <v>430</v>
      </c>
      <c r="C76" s="4">
        <v>0.88835173845291104</v>
      </c>
      <c r="D76" s="4">
        <v>1.63375055789948</v>
      </c>
      <c r="E76" s="4">
        <v>0.78589624166488703</v>
      </c>
      <c r="F76" s="3" t="s">
        <v>417</v>
      </c>
      <c r="G76" s="4">
        <f>POWER(10,D76)</f>
        <v>43.027940351197962</v>
      </c>
    </row>
    <row r="77" spans="1:7" x14ac:dyDescent="0.2">
      <c r="A77" s="3"/>
      <c r="B77" s="3"/>
      <c r="C77" s="4"/>
      <c r="D77" s="4"/>
      <c r="E77" s="4"/>
      <c r="F77" s="3"/>
      <c r="G77" s="4"/>
    </row>
    <row r="78" spans="1:7" x14ac:dyDescent="0.2">
      <c r="A78" s="3" t="s">
        <v>30</v>
      </c>
      <c r="B78" s="3" t="s">
        <v>431</v>
      </c>
      <c r="C78" s="4">
        <v>0.874309182167053</v>
      </c>
      <c r="D78" s="4">
        <v>1.3576012849807699</v>
      </c>
      <c r="E78" s="4">
        <v>5.7968046516179997E-2</v>
      </c>
      <c r="F78" s="3" t="s">
        <v>417</v>
      </c>
      <c r="G78" s="4">
        <f>POWER(10,D78)</f>
        <v>22.782495070736402</v>
      </c>
    </row>
    <row r="79" spans="1:7" x14ac:dyDescent="0.2">
      <c r="A79" s="3"/>
      <c r="B79" s="3"/>
      <c r="C79" s="4"/>
      <c r="D79" s="4"/>
      <c r="E79" s="4"/>
      <c r="F79" s="3"/>
      <c r="G79" s="4"/>
    </row>
    <row r="80" spans="1:7" x14ac:dyDescent="0.2">
      <c r="A80" s="3"/>
      <c r="B80" s="3"/>
      <c r="C80" s="4"/>
      <c r="D80" s="4"/>
      <c r="E80" s="4"/>
      <c r="F80" s="3"/>
      <c r="G80" s="4"/>
    </row>
    <row r="81" spans="1:7" x14ac:dyDescent="0.2">
      <c r="A81" s="3"/>
      <c r="B81" s="3"/>
      <c r="C81" s="4"/>
      <c r="D81" s="4"/>
      <c r="E81" s="4"/>
      <c r="F81" s="3"/>
      <c r="G81" s="4"/>
    </row>
    <row r="82" spans="1:7" x14ac:dyDescent="0.2">
      <c r="A82" s="3"/>
      <c r="B82" s="3"/>
      <c r="C82" s="4"/>
      <c r="D82" s="4"/>
      <c r="E82" s="4"/>
      <c r="F82" s="3"/>
      <c r="G82" s="4"/>
    </row>
    <row r="83" spans="1:7" x14ac:dyDescent="0.2">
      <c r="A83" s="3" t="s">
        <v>30</v>
      </c>
      <c r="B83" s="3" t="s">
        <v>432</v>
      </c>
      <c r="C83" s="4">
        <v>0.894190013408661</v>
      </c>
      <c r="D83" s="4">
        <v>1.65828084945679</v>
      </c>
      <c r="E83" s="4">
        <v>0.68101978302001998</v>
      </c>
      <c r="F83" s="3" t="s">
        <v>417</v>
      </c>
      <c r="G83" s="4">
        <f>POWER(10,D83)</f>
        <v>45.528238688262839</v>
      </c>
    </row>
    <row r="84" spans="1:7" x14ac:dyDescent="0.2">
      <c r="A84" s="3"/>
      <c r="B84" s="3"/>
      <c r="C84" s="4"/>
      <c r="D84" s="4"/>
      <c r="E84" s="4"/>
      <c r="F84" s="3"/>
      <c r="G84" s="4"/>
    </row>
    <row r="85" spans="1:7" x14ac:dyDescent="0.2">
      <c r="A85" s="3" t="s">
        <v>30</v>
      </c>
      <c r="B85" s="3" t="s">
        <v>433</v>
      </c>
      <c r="C85" s="4">
        <v>0.85867643356323198</v>
      </c>
      <c r="D85" s="4">
        <v>0.104478746652603</v>
      </c>
      <c r="E85" s="4">
        <v>0.81833475828170799</v>
      </c>
      <c r="F85" s="3" t="s">
        <v>417</v>
      </c>
      <c r="G85" s="4">
        <f>POWER(10,D85)</f>
        <v>1.2719755010822473</v>
      </c>
    </row>
    <row r="86" spans="1:7" x14ac:dyDescent="0.2">
      <c r="A86" s="3"/>
      <c r="B86" s="3"/>
      <c r="C86" s="4"/>
      <c r="D86" s="4"/>
      <c r="E86" s="4"/>
      <c r="F86" s="3"/>
      <c r="G86" s="4"/>
    </row>
    <row r="87" spans="1:7" x14ac:dyDescent="0.2">
      <c r="A87" s="3" t="s">
        <v>30</v>
      </c>
      <c r="B87" s="3" t="s">
        <v>438</v>
      </c>
      <c r="C87" s="4">
        <v>0.87052422761917103</v>
      </c>
      <c r="D87" s="4">
        <v>1.1487014591693901E-2</v>
      </c>
      <c r="E87" s="4">
        <v>0.75805842876434304</v>
      </c>
      <c r="F87" s="3" t="s">
        <v>417</v>
      </c>
      <c r="G87" s="4">
        <f>POWER(10,D87)</f>
        <v>1.0268027297996791</v>
      </c>
    </row>
    <row r="88" spans="1:7" x14ac:dyDescent="0.2">
      <c r="A88" s="3" t="s">
        <v>30</v>
      </c>
      <c r="B88" s="3" t="s">
        <v>434</v>
      </c>
      <c r="C88" s="4">
        <v>0.86901408433914196</v>
      </c>
      <c r="D88" s="4">
        <v>1.1628454923629801</v>
      </c>
      <c r="E88" s="4">
        <v>0.53565615415573098</v>
      </c>
      <c r="F88" s="3" t="s">
        <v>417</v>
      </c>
      <c r="G88" s="4">
        <f>POWER(10,D88)</f>
        <v>14.549413683957104</v>
      </c>
    </row>
    <row r="89" spans="1:7" x14ac:dyDescent="0.2">
      <c r="A89" s="3"/>
      <c r="B89" s="3"/>
      <c r="C89" s="4"/>
      <c r="D89" s="4"/>
      <c r="E89" s="4"/>
      <c r="F89" s="3"/>
      <c r="G89" s="4"/>
    </row>
    <row r="90" spans="1:7" x14ac:dyDescent="0.2">
      <c r="A90" s="3"/>
      <c r="B90" s="3"/>
      <c r="C90" s="4"/>
      <c r="D90" s="4"/>
      <c r="E90" s="4"/>
      <c r="F90" s="3"/>
      <c r="G90" s="4"/>
    </row>
    <row r="91" spans="1:7" x14ac:dyDescent="0.2">
      <c r="A91" s="3"/>
      <c r="B91" s="3"/>
      <c r="C91" s="4"/>
      <c r="D91" s="4"/>
      <c r="E91" s="4"/>
      <c r="F91" s="3"/>
      <c r="G91" s="4"/>
    </row>
    <row r="92" spans="1:7" x14ac:dyDescent="0.2">
      <c r="A92" s="3"/>
      <c r="B92" s="3"/>
      <c r="C92" s="4"/>
      <c r="D92" s="4"/>
      <c r="E92" s="4"/>
      <c r="F92" s="3"/>
      <c r="G92" s="4"/>
    </row>
    <row r="93" spans="1:7" x14ac:dyDescent="0.2">
      <c r="A93" s="3" t="s">
        <v>30</v>
      </c>
      <c r="B93" s="3" t="s">
        <v>435</v>
      </c>
      <c r="C93" s="4">
        <v>0.88436812162399303</v>
      </c>
      <c r="D93" s="4">
        <v>0.59065222740173295</v>
      </c>
      <c r="E93" s="4">
        <v>0.61565238237381004</v>
      </c>
      <c r="F93" s="3" t="s">
        <v>417</v>
      </c>
      <c r="G93" s="4">
        <f>POWER(10,D93)</f>
        <v>3.8962985548228124</v>
      </c>
    </row>
    <row r="94" spans="1:7" x14ac:dyDescent="0.2">
      <c r="A94" s="3" t="s">
        <v>30</v>
      </c>
      <c r="B94" s="3" t="s">
        <v>439</v>
      </c>
      <c r="C94" s="4">
        <v>0.85035365819930997</v>
      </c>
      <c r="D94" s="4">
        <v>-0.90615862607955899</v>
      </c>
      <c r="E94" s="4">
        <v>0.66340166330337502</v>
      </c>
      <c r="F94" s="3" t="s">
        <v>417</v>
      </c>
      <c r="G94" s="4">
        <f>POWER(10,D94)</f>
        <v>0.12411988768425995</v>
      </c>
    </row>
    <row r="95" spans="1:7" x14ac:dyDescent="0.2">
      <c r="A95" s="3" t="s">
        <v>30</v>
      </c>
      <c r="B95" s="3" t="s">
        <v>440</v>
      </c>
      <c r="C95" s="4">
        <v>0.89167606830596902</v>
      </c>
      <c r="D95" s="4">
        <v>-0.48100721836090099</v>
      </c>
      <c r="E95" s="4">
        <v>0.55369913578033503</v>
      </c>
      <c r="F95" s="3" t="s">
        <v>417</v>
      </c>
      <c r="G95" s="4">
        <f>POWER(10,D95)</f>
        <v>0.33036405004657832</v>
      </c>
    </row>
    <row r="96" spans="1:7" x14ac:dyDescent="0.2">
      <c r="A96" s="3" t="s">
        <v>30</v>
      </c>
      <c r="B96" s="3" t="s">
        <v>436</v>
      </c>
      <c r="C96" s="4">
        <v>0.893071830272675</v>
      </c>
      <c r="D96" s="4">
        <v>1.02021265029907</v>
      </c>
      <c r="E96" s="4">
        <v>0.72442215681076105</v>
      </c>
      <c r="F96" s="3" t="s">
        <v>417</v>
      </c>
      <c r="G96" s="4">
        <f>POWER(10,D96)</f>
        <v>10.476413952831292</v>
      </c>
    </row>
    <row r="97" spans="1:7" x14ac:dyDescent="0.2">
      <c r="A97" s="3" t="s">
        <v>30</v>
      </c>
      <c r="B97" s="3" t="s">
        <v>437</v>
      </c>
      <c r="C97" s="4">
        <v>0.88272571563720703</v>
      </c>
      <c r="D97" s="4">
        <v>1.0476541519164999</v>
      </c>
      <c r="E97" s="4">
        <v>0.59742170572280895</v>
      </c>
      <c r="F97" s="3" t="s">
        <v>417</v>
      </c>
      <c r="G97" s="4">
        <f>POWER(10,D97)</f>
        <v>11.159741937615804</v>
      </c>
    </row>
    <row r="98" spans="1:7" x14ac:dyDescent="0.2">
      <c r="A98" s="3" t="s">
        <v>30</v>
      </c>
      <c r="B98" s="3" t="s">
        <v>441</v>
      </c>
      <c r="C98" s="4">
        <v>0.87076967954635598</v>
      </c>
      <c r="D98" s="4">
        <v>0.82033818960189797</v>
      </c>
      <c r="E98" s="4">
        <v>0.84924012422561701</v>
      </c>
      <c r="F98" s="3" t="s">
        <v>417</v>
      </c>
      <c r="G98" s="4">
        <f>POWER(10,D98)</f>
        <v>6.6120813719533134</v>
      </c>
    </row>
    <row r="99" spans="1:7" x14ac:dyDescent="0.2">
      <c r="A99" s="3"/>
      <c r="B99" s="3"/>
      <c r="C99" s="4"/>
      <c r="D99" s="4"/>
      <c r="E99" s="4"/>
      <c r="F99" s="3"/>
      <c r="G99" s="4"/>
    </row>
    <row r="100" spans="1:7" x14ac:dyDescent="0.2">
      <c r="A100" s="3" t="s">
        <v>30</v>
      </c>
      <c r="B100" s="3" t="s">
        <v>442</v>
      </c>
      <c r="C100" s="4">
        <v>0.89290392398834195</v>
      </c>
      <c r="D100" s="4">
        <v>1.3755086660385101</v>
      </c>
      <c r="E100" s="4">
        <v>0.692973792552948</v>
      </c>
      <c r="F100" s="3" t="s">
        <v>417</v>
      </c>
      <c r="G100" s="4">
        <f>POWER(10,D100)</f>
        <v>23.741527967982975</v>
      </c>
    </row>
    <row r="101" spans="1:7" x14ac:dyDescent="0.2">
      <c r="A101" s="3"/>
      <c r="B101" s="3"/>
      <c r="C101" s="4"/>
      <c r="D101" s="4"/>
      <c r="E101" s="4"/>
      <c r="F101" s="3"/>
      <c r="G101" s="4"/>
    </row>
    <row r="102" spans="1:7" x14ac:dyDescent="0.2">
      <c r="A102" s="1"/>
      <c r="B102" s="1"/>
      <c r="C102" s="1"/>
      <c r="D102" s="1"/>
      <c r="E102" s="1"/>
      <c r="F102" s="1"/>
      <c r="G102" s="1"/>
    </row>
    <row r="103" spans="1:7" x14ac:dyDescent="0.2">
      <c r="A103" s="3" t="s">
        <v>30</v>
      </c>
      <c r="B103" s="3" t="s">
        <v>117</v>
      </c>
      <c r="C103" s="4">
        <v>0.87734681367874201</v>
      </c>
      <c r="D103" s="4">
        <v>0.22476023435592701</v>
      </c>
      <c r="E103" s="4">
        <v>0.88758307695388805</v>
      </c>
      <c r="F103" s="3" t="s">
        <v>417</v>
      </c>
      <c r="G103" s="4">
        <f>POWER(10,D103)</f>
        <v>1.6778774384577486</v>
      </c>
    </row>
    <row r="104" spans="1:7" x14ac:dyDescent="0.2">
      <c r="A104" s="3"/>
      <c r="B104" s="3"/>
      <c r="C104" s="4"/>
      <c r="D104" s="4"/>
      <c r="E104" s="4"/>
      <c r="F104" s="3"/>
      <c r="G104" s="4"/>
    </row>
    <row r="105" spans="1:7" x14ac:dyDescent="0.2">
      <c r="A105" s="3" t="s">
        <v>443</v>
      </c>
      <c r="B105" s="3" t="s">
        <v>429</v>
      </c>
      <c r="C105" s="4">
        <v>0.92198365926742598</v>
      </c>
      <c r="D105" s="4">
        <v>3.6909565329551697E-2</v>
      </c>
      <c r="E105" s="4">
        <v>0.87249320745468095</v>
      </c>
      <c r="F105" s="3" t="s">
        <v>417</v>
      </c>
      <c r="G105" s="4">
        <f>POWER(10,D105)</f>
        <v>1.0887033651896587</v>
      </c>
    </row>
    <row r="106" spans="1:7" x14ac:dyDescent="0.2">
      <c r="A106" s="3" t="s">
        <v>443</v>
      </c>
      <c r="B106" s="3" t="s">
        <v>430</v>
      </c>
      <c r="C106" s="4">
        <v>0.89802455902099598</v>
      </c>
      <c r="D106" s="4">
        <v>2.36834764480591</v>
      </c>
      <c r="E106" s="4">
        <v>0.41360166668891901</v>
      </c>
      <c r="F106" s="3" t="s">
        <v>417</v>
      </c>
      <c r="G106" s="4">
        <f>POWER(10,D106)</f>
        <v>233.53267006746711</v>
      </c>
    </row>
    <row r="107" spans="1:7" x14ac:dyDescent="0.2">
      <c r="A107" s="3" t="s">
        <v>443</v>
      </c>
      <c r="B107" s="3" t="s">
        <v>432</v>
      </c>
      <c r="C107" s="4">
        <v>0.91794633865356501</v>
      </c>
      <c r="D107" s="4">
        <v>0.462825328111649</v>
      </c>
      <c r="E107" s="4">
        <v>0.59523284435272195</v>
      </c>
      <c r="F107" s="3" t="s">
        <v>417</v>
      </c>
      <c r="G107" s="4">
        <f>POWER(10,D107)</f>
        <v>2.9028549004443893</v>
      </c>
    </row>
    <row r="108" spans="1:7" x14ac:dyDescent="0.2">
      <c r="A108" s="3" t="s">
        <v>443</v>
      </c>
      <c r="B108" s="3" t="s">
        <v>433</v>
      </c>
      <c r="C108" s="4">
        <v>0.90455019474029497</v>
      </c>
      <c r="D108" s="4">
        <v>-0.35186120867729198</v>
      </c>
      <c r="E108" s="4">
        <v>0.67807400226592995</v>
      </c>
      <c r="F108" s="3" t="s">
        <v>417</v>
      </c>
      <c r="G108" s="4">
        <f>POWER(10,D108)</f>
        <v>0.4447733849173155</v>
      </c>
    </row>
    <row r="109" spans="1:7" x14ac:dyDescent="0.2">
      <c r="A109" s="3"/>
      <c r="B109" s="3"/>
      <c r="C109" s="4"/>
      <c r="D109" s="4"/>
      <c r="E109" s="4"/>
      <c r="F109" s="3"/>
      <c r="G109" s="4"/>
    </row>
    <row r="110" spans="1:7" x14ac:dyDescent="0.2">
      <c r="A110" s="3" t="s">
        <v>443</v>
      </c>
      <c r="B110" s="3" t="s">
        <v>435</v>
      </c>
      <c r="C110" s="4">
        <v>0.91950148344039895</v>
      </c>
      <c r="D110" s="4">
        <v>1.2116916179657</v>
      </c>
      <c r="E110" s="4">
        <v>0.39723700284957902</v>
      </c>
      <c r="F110" s="3" t="s">
        <v>417</v>
      </c>
      <c r="G110" s="4">
        <f>POWER(10,D110)</f>
        <v>16.281395194881444</v>
      </c>
    </row>
    <row r="111" spans="1:7" x14ac:dyDescent="0.2">
      <c r="A111" s="3" t="s">
        <v>443</v>
      </c>
      <c r="B111" s="3" t="s">
        <v>437</v>
      </c>
      <c r="C111" s="4">
        <v>0.90037250518798795</v>
      </c>
      <c r="D111" s="4">
        <v>0.63610601425170898</v>
      </c>
      <c r="E111" s="4">
        <v>0.49362522363662698</v>
      </c>
      <c r="F111" s="3" t="s">
        <v>417</v>
      </c>
      <c r="G111" s="4">
        <f>POWER(10,D111)</f>
        <v>4.3261942350506652</v>
      </c>
    </row>
    <row r="112" spans="1:7" x14ac:dyDescent="0.2">
      <c r="A112" s="3" t="s">
        <v>443</v>
      </c>
      <c r="B112" s="3" t="s">
        <v>444</v>
      </c>
      <c r="C112" s="4">
        <v>0.90695142745971702</v>
      </c>
      <c r="D112" s="4">
        <v>0.67855882644653298</v>
      </c>
      <c r="E112" s="4">
        <v>0.50052112340927102</v>
      </c>
      <c r="F112" s="3" t="s">
        <v>417</v>
      </c>
      <c r="G112" s="4">
        <f>POWER(10,D112)</f>
        <v>4.7704442679363028</v>
      </c>
    </row>
    <row r="113" spans="1:7" x14ac:dyDescent="0.2">
      <c r="A113" s="1"/>
      <c r="B113" s="1"/>
      <c r="C113" s="1"/>
      <c r="D113" s="1"/>
      <c r="E113" s="1"/>
      <c r="F113" s="1"/>
      <c r="G113" s="1"/>
    </row>
    <row r="114" spans="1:7" x14ac:dyDescent="0.2">
      <c r="A114" s="1"/>
      <c r="B114" s="1"/>
      <c r="C114" s="1"/>
      <c r="D114" s="1"/>
      <c r="E114" s="1"/>
      <c r="F114" s="1"/>
      <c r="G114" s="1"/>
    </row>
    <row r="115" spans="1:7" x14ac:dyDescent="0.2">
      <c r="A115" s="1"/>
      <c r="B115" s="1"/>
      <c r="C115" s="1"/>
      <c r="D115" s="1"/>
      <c r="E115" s="1"/>
      <c r="F115" s="1"/>
      <c r="G115" s="1"/>
    </row>
    <row r="116" spans="1:7" x14ac:dyDescent="0.2">
      <c r="A116" s="1"/>
      <c r="B116" s="1"/>
      <c r="C116" s="1"/>
      <c r="D116" s="1"/>
      <c r="E116" s="1"/>
      <c r="F116" s="1"/>
      <c r="G116" s="1"/>
    </row>
    <row r="117" spans="1:7" x14ac:dyDescent="0.2">
      <c r="A117" s="1"/>
      <c r="B117" s="1"/>
      <c r="C117" s="1"/>
      <c r="D117" s="1"/>
      <c r="E117" s="1"/>
      <c r="F117" s="1"/>
      <c r="G117" s="1"/>
    </row>
    <row r="118" spans="1:7" x14ac:dyDescent="0.2">
      <c r="A118" s="1"/>
      <c r="B118" s="1"/>
      <c r="C118" s="1"/>
      <c r="D118" s="1"/>
      <c r="E118" s="1"/>
      <c r="F118" s="1"/>
      <c r="G118" s="1"/>
    </row>
    <row r="119" spans="1:7" x14ac:dyDescent="0.2">
      <c r="A119" s="1"/>
      <c r="B119" s="1"/>
      <c r="C119" s="1"/>
      <c r="D119" s="1"/>
      <c r="E119" s="1"/>
      <c r="F119" s="1"/>
      <c r="G119" s="1"/>
    </row>
    <row r="120" spans="1:7" x14ac:dyDescent="0.2">
      <c r="A120" s="1"/>
      <c r="B120" s="1"/>
      <c r="C120" s="1"/>
      <c r="D120" s="1"/>
      <c r="E120" s="1"/>
      <c r="F120" s="1"/>
      <c r="G120" s="1"/>
    </row>
    <row r="121" spans="1:7" x14ac:dyDescent="0.2">
      <c r="A121" s="1"/>
      <c r="B121" s="1"/>
      <c r="C121" s="1"/>
      <c r="D121" s="1"/>
      <c r="E121" s="1"/>
      <c r="F121" s="1"/>
      <c r="G121" s="1"/>
    </row>
    <row r="122" spans="1:7" x14ac:dyDescent="0.2">
      <c r="A122" s="1"/>
      <c r="B122" s="1"/>
      <c r="C122" s="1"/>
      <c r="D122" s="1"/>
      <c r="E122" s="1"/>
      <c r="F122" s="1"/>
      <c r="G122" s="1"/>
    </row>
    <row r="123" spans="1:7" x14ac:dyDescent="0.2">
      <c r="A123" s="1"/>
      <c r="B123" s="1"/>
      <c r="C123" s="1"/>
      <c r="D123" s="1"/>
      <c r="E123" s="1"/>
      <c r="F123" s="1"/>
      <c r="G123" s="1"/>
    </row>
    <row r="124" spans="1:7" x14ac:dyDescent="0.2">
      <c r="A124" s="3" t="s">
        <v>34</v>
      </c>
      <c r="B124" s="3" t="s">
        <v>445</v>
      </c>
      <c r="C124" s="4">
        <v>0.97635191679000899</v>
      </c>
      <c r="D124" s="4">
        <v>-1.28205347061157</v>
      </c>
      <c r="E124" s="4">
        <v>0.85262185335159302</v>
      </c>
      <c r="F124" s="3" t="s">
        <v>417</v>
      </c>
      <c r="G124" s="4">
        <f>POWER(10,D124)</f>
        <v>5.2233187520885203E-2</v>
      </c>
    </row>
    <row r="125" spans="1:7" x14ac:dyDescent="0.2">
      <c r="A125" s="1"/>
      <c r="B125" s="1"/>
      <c r="C125" s="1"/>
      <c r="D125" s="1"/>
      <c r="E125" s="1"/>
      <c r="F125" s="1"/>
      <c r="G125" s="1"/>
    </row>
    <row r="126" spans="1:7" x14ac:dyDescent="0.2">
      <c r="A126" s="3" t="s">
        <v>34</v>
      </c>
      <c r="B126" s="3" t="s">
        <v>446</v>
      </c>
      <c r="C126" s="4">
        <v>0.89288657903671298</v>
      </c>
      <c r="D126" s="4">
        <v>2.1396470069885298</v>
      </c>
      <c r="E126" s="4">
        <v>0.31623601913452198</v>
      </c>
      <c r="F126" s="3" t="s">
        <v>417</v>
      </c>
      <c r="G126" s="4">
        <f>POWER(10,D126)</f>
        <v>137.92627490219877</v>
      </c>
    </row>
    <row r="127" spans="1:7" x14ac:dyDescent="0.2">
      <c r="A127" s="1"/>
      <c r="B127" s="1"/>
      <c r="C127" s="1"/>
      <c r="D127" s="1"/>
      <c r="E127" s="1"/>
      <c r="F127" s="1"/>
      <c r="G127" s="1"/>
    </row>
    <row r="128" spans="1:7" x14ac:dyDescent="0.2">
      <c r="A128" s="3" t="s">
        <v>34</v>
      </c>
      <c r="B128" s="3" t="s">
        <v>99</v>
      </c>
      <c r="C128" s="4">
        <v>0.98144686222076405</v>
      </c>
      <c r="D128" s="4">
        <v>-1.02718341350555</v>
      </c>
      <c r="E128" s="4">
        <v>0.818320453166962</v>
      </c>
      <c r="F128" s="3" t="s">
        <v>417</v>
      </c>
      <c r="G128" s="4">
        <f>POWER(10,D128)</f>
        <v>9.3932652551811102E-2</v>
      </c>
    </row>
    <row r="129" spans="1:7" x14ac:dyDescent="0.2">
      <c r="A129" s="3" t="s">
        <v>34</v>
      </c>
      <c r="B129" s="3" t="s">
        <v>100</v>
      </c>
      <c r="C129" s="4">
        <v>0.98193800449371305</v>
      </c>
      <c r="D129" s="4">
        <v>-0.93099379539489802</v>
      </c>
      <c r="E129" s="4">
        <v>0.80243229866027799</v>
      </c>
      <c r="F129" s="3" t="s">
        <v>417</v>
      </c>
      <c r="G129" s="4">
        <f>POWER(10,D129)</f>
        <v>0.11722121123906584</v>
      </c>
    </row>
    <row r="130" spans="1:7" x14ac:dyDescent="0.2">
      <c r="A130" s="3" t="s">
        <v>34</v>
      </c>
      <c r="B130" s="3" t="s">
        <v>101</v>
      </c>
      <c r="C130" s="4">
        <v>0.97958177328109697</v>
      </c>
      <c r="D130" s="4">
        <v>-0.32110643386840798</v>
      </c>
      <c r="E130" s="4">
        <v>0.61915802955627397</v>
      </c>
      <c r="F130" s="3" t="s">
        <v>417</v>
      </c>
      <c r="G130" s="4">
        <f>POWER(10,D130)</f>
        <v>0.4774122584467087</v>
      </c>
    </row>
    <row r="131" spans="1:7" x14ac:dyDescent="0.2">
      <c r="A131" s="1"/>
      <c r="B131" s="1"/>
      <c r="C131" s="1"/>
      <c r="D131" s="1"/>
      <c r="E131" s="1"/>
      <c r="F131" s="1"/>
      <c r="G131" s="1"/>
    </row>
    <row r="132" spans="1:7" x14ac:dyDescent="0.2">
      <c r="A132" s="3" t="s">
        <v>34</v>
      </c>
      <c r="B132" s="3" t="s">
        <v>447</v>
      </c>
      <c r="C132" s="4">
        <v>0.89969682693481501</v>
      </c>
      <c r="D132" s="4">
        <v>2.4893565177917498</v>
      </c>
      <c r="E132" s="4">
        <v>0.189014136791229</v>
      </c>
      <c r="F132" s="3" t="s">
        <v>417</v>
      </c>
      <c r="G132" s="4">
        <f>POWER(10,D132)</f>
        <v>308.57200171004934</v>
      </c>
    </row>
    <row r="133" spans="1:7" x14ac:dyDescent="0.2">
      <c r="A133" s="1"/>
      <c r="B133" s="1"/>
      <c r="C133" s="1"/>
      <c r="D133" s="1"/>
      <c r="E133" s="1"/>
      <c r="F133" s="1"/>
      <c r="G133" s="1"/>
    </row>
    <row r="134" spans="1:7" x14ac:dyDescent="0.2">
      <c r="A134" s="1"/>
      <c r="B134" s="1"/>
      <c r="C134" s="1"/>
      <c r="D134" s="1"/>
      <c r="E134" s="1"/>
      <c r="F134" s="1"/>
      <c r="G134" s="1"/>
    </row>
    <row r="135" spans="1:7" x14ac:dyDescent="0.2">
      <c r="A135" s="1"/>
      <c r="B135" s="1"/>
      <c r="C135" s="1"/>
      <c r="D135" s="1"/>
      <c r="E135" s="1"/>
      <c r="F135" s="1"/>
      <c r="G135" s="1"/>
    </row>
    <row r="136" spans="1:7" x14ac:dyDescent="0.2">
      <c r="A136" s="1"/>
      <c r="B136" s="1"/>
      <c r="C136" s="1"/>
      <c r="D136" s="1"/>
      <c r="E136" s="1"/>
      <c r="F136" s="1"/>
      <c r="G136" s="1"/>
    </row>
    <row r="137" spans="1:7" x14ac:dyDescent="0.2">
      <c r="A137" s="1"/>
      <c r="B137" s="1"/>
      <c r="C137" s="1"/>
      <c r="D137" s="1"/>
      <c r="E137" s="1"/>
      <c r="F137" s="1"/>
      <c r="G137" s="1"/>
    </row>
    <row r="138" spans="1:7" x14ac:dyDescent="0.2">
      <c r="A138" s="1"/>
      <c r="B138" s="1"/>
      <c r="C138" s="1"/>
      <c r="D138" s="1"/>
      <c r="E138" s="1"/>
      <c r="F138" s="1"/>
      <c r="G138" s="1"/>
    </row>
    <row r="139" spans="1:7" x14ac:dyDescent="0.2">
      <c r="A139" s="1"/>
      <c r="B139" s="1"/>
      <c r="C139" s="1"/>
      <c r="D139" s="1"/>
      <c r="E139" s="1"/>
      <c r="F139" s="1"/>
      <c r="G139" s="1"/>
    </row>
    <row r="140" spans="1:7" x14ac:dyDescent="0.2">
      <c r="A140" s="1"/>
      <c r="B140" s="1"/>
      <c r="C140" s="1"/>
      <c r="D140" s="1"/>
      <c r="E140" s="1"/>
      <c r="F140" s="1"/>
      <c r="G140" s="1"/>
    </row>
    <row r="141" spans="1:7" x14ac:dyDescent="0.2">
      <c r="A141" s="3" t="s">
        <v>448</v>
      </c>
      <c r="B141" s="3" t="s">
        <v>20</v>
      </c>
      <c r="C141" s="4">
        <v>0.83231395483017001</v>
      </c>
      <c r="D141" s="4">
        <v>1.2717148065567001</v>
      </c>
      <c r="E141" s="4">
        <v>0.289344042539597</v>
      </c>
      <c r="F141" s="3" t="s">
        <v>417</v>
      </c>
      <c r="G141" s="4">
        <f>POWER(10,D141)</f>
        <v>18.69454100016544</v>
      </c>
    </row>
    <row r="142" spans="1:7" x14ac:dyDescent="0.2">
      <c r="A142" s="3" t="s">
        <v>448</v>
      </c>
      <c r="B142" s="3" t="s">
        <v>449</v>
      </c>
      <c r="C142" s="4">
        <v>0.88908272981643699</v>
      </c>
      <c r="D142" s="4">
        <v>0.93638992309570301</v>
      </c>
      <c r="E142" s="4">
        <v>0.304704129695892</v>
      </c>
      <c r="F142" s="3" t="s">
        <v>417</v>
      </c>
      <c r="G142" s="4">
        <f>POWER(10,D142)</f>
        <v>8.6375370468025352</v>
      </c>
    </row>
    <row r="143" spans="1:7" x14ac:dyDescent="0.2">
      <c r="A143" s="3" t="s">
        <v>450</v>
      </c>
      <c r="B143" s="3" t="s">
        <v>72</v>
      </c>
      <c r="C143" s="4">
        <v>0.84248250722885099</v>
      </c>
      <c r="D143" s="4">
        <v>1.1070969104766799</v>
      </c>
      <c r="E143" s="4">
        <v>0.13489355146884899</v>
      </c>
      <c r="F143" s="3" t="s">
        <v>417</v>
      </c>
      <c r="G143" s="4">
        <f>POWER(10,D143)</f>
        <v>12.796668230659627</v>
      </c>
    </row>
    <row r="144" spans="1:7" x14ac:dyDescent="0.2">
      <c r="A144" s="3" t="s">
        <v>450</v>
      </c>
      <c r="B144" s="3" t="s">
        <v>21</v>
      </c>
      <c r="C144" s="4">
        <v>0.85003072023391701</v>
      </c>
      <c r="D144" s="4">
        <v>0.57839393615722701</v>
      </c>
      <c r="E144" s="4">
        <v>0.210150927305222</v>
      </c>
      <c r="F144" s="3" t="s">
        <v>417</v>
      </c>
      <c r="G144" s="4">
        <f>POWER(10,D144)</f>
        <v>3.7878601494320678</v>
      </c>
    </row>
    <row r="145" spans="1:7" x14ac:dyDescent="0.2">
      <c r="A145" s="3" t="s">
        <v>450</v>
      </c>
      <c r="B145" s="3" t="s">
        <v>451</v>
      </c>
      <c r="C145" s="4">
        <v>0.77921378612518299</v>
      </c>
      <c r="D145" s="4">
        <v>0.21985086798667899</v>
      </c>
      <c r="E145" s="4">
        <v>0.36694982647895802</v>
      </c>
      <c r="F145" s="3" t="s">
        <v>417</v>
      </c>
      <c r="G145" s="4">
        <f>POWER(10,D145)</f>
        <v>1.6590171211336178</v>
      </c>
    </row>
    <row r="146" spans="1:7" x14ac:dyDescent="0.2">
      <c r="A146" s="3" t="s">
        <v>450</v>
      </c>
      <c r="B146" s="3" t="s">
        <v>452</v>
      </c>
      <c r="C146" s="4">
        <v>0.85046559572219904</v>
      </c>
      <c r="D146" s="4">
        <v>1.03050637245178</v>
      </c>
      <c r="E146" s="4">
        <v>0.40617772936821001</v>
      </c>
      <c r="F146" s="3" t="s">
        <v>417</v>
      </c>
      <c r="G146" s="4">
        <f>POWER(10,D146)</f>
        <v>10.727693885859447</v>
      </c>
    </row>
    <row r="147" spans="1:7" x14ac:dyDescent="0.2">
      <c r="A147" s="3" t="s">
        <v>450</v>
      </c>
      <c r="B147" s="3" t="s">
        <v>453</v>
      </c>
      <c r="C147" s="4">
        <v>0.84179508686065696</v>
      </c>
      <c r="D147" s="4">
        <v>1.45344078540802</v>
      </c>
      <c r="E147" s="4">
        <v>0.37358263134956399</v>
      </c>
      <c r="F147" s="3" t="s">
        <v>417</v>
      </c>
      <c r="G147" s="4">
        <f>POWER(10,D147)</f>
        <v>28.408008249379815</v>
      </c>
    </row>
    <row r="148" spans="1:7" x14ac:dyDescent="0.2">
      <c r="A148" s="3" t="s">
        <v>450</v>
      </c>
      <c r="B148" s="3" t="s">
        <v>454</v>
      </c>
      <c r="C148" s="4">
        <v>0.88392698764801003</v>
      </c>
      <c r="D148" s="4">
        <v>0.96473073959350597</v>
      </c>
      <c r="E148" s="4">
        <v>0.53216302394866899</v>
      </c>
      <c r="F148" s="3" t="s">
        <v>417</v>
      </c>
      <c r="G148" s="4">
        <f>POWER(10,D148)</f>
        <v>9.2199961476324095</v>
      </c>
    </row>
    <row r="149" spans="1:7" x14ac:dyDescent="0.2">
      <c r="A149" s="3" t="s">
        <v>455</v>
      </c>
      <c r="B149" s="3" t="s">
        <v>456</v>
      </c>
      <c r="C149" s="4">
        <v>0.80185157060623202</v>
      </c>
      <c r="D149" s="4">
        <v>-9.8682008683681502E-2</v>
      </c>
      <c r="E149" s="4">
        <v>0.64874184131622303</v>
      </c>
      <c r="F149" s="3" t="s">
        <v>417</v>
      </c>
      <c r="G149" s="4">
        <f>POWER(10,D149)</f>
        <v>0.79674251340800906</v>
      </c>
    </row>
    <row r="150" spans="1:7" x14ac:dyDescent="0.2">
      <c r="A150" s="3" t="s">
        <v>455</v>
      </c>
      <c r="B150" s="3" t="s">
        <v>457</v>
      </c>
      <c r="C150" s="4">
        <v>0.80306476354598999</v>
      </c>
      <c r="D150" s="4">
        <v>0.49220165610313399</v>
      </c>
      <c r="E150" s="4">
        <v>0.28563600778579701</v>
      </c>
      <c r="F150" s="3" t="s">
        <v>417</v>
      </c>
      <c r="G150" s="4">
        <f>POWER(10,D150)</f>
        <v>3.1060014640555709</v>
      </c>
    </row>
    <row r="151" spans="1:7" x14ac:dyDescent="0.2">
      <c r="A151" s="3" t="s">
        <v>455</v>
      </c>
      <c r="B151" s="3" t="s">
        <v>458</v>
      </c>
      <c r="C151" s="4">
        <v>0.75155192613601696</v>
      </c>
      <c r="D151" s="4">
        <v>-0.26289698481559798</v>
      </c>
      <c r="E151" s="4">
        <v>0.37630426883697499</v>
      </c>
      <c r="F151" s="3" t="s">
        <v>417</v>
      </c>
      <c r="G151" s="4">
        <f>POWER(10,D151)</f>
        <v>0.54588733088067798</v>
      </c>
    </row>
    <row r="152" spans="1:7" x14ac:dyDescent="0.2">
      <c r="A152" s="3"/>
      <c r="B152" s="3"/>
      <c r="C152" s="4"/>
      <c r="D152" s="4"/>
      <c r="E152" s="4"/>
      <c r="F152" s="3"/>
      <c r="G152" s="4"/>
    </row>
    <row r="153" spans="1:7" x14ac:dyDescent="0.2">
      <c r="A153" s="3"/>
      <c r="B153" s="3"/>
      <c r="C153" s="4"/>
      <c r="D153" s="4"/>
      <c r="E153" s="4"/>
      <c r="F153" s="3"/>
      <c r="G153" s="4"/>
    </row>
    <row r="154" spans="1:7" x14ac:dyDescent="0.2">
      <c r="A154" s="3"/>
      <c r="B154" s="3"/>
      <c r="C154" s="4"/>
      <c r="D154" s="4"/>
      <c r="E154" s="4"/>
      <c r="F154" s="3"/>
      <c r="G154" s="4"/>
    </row>
    <row r="155" spans="1:7" x14ac:dyDescent="0.2">
      <c r="A155" s="3" t="s">
        <v>455</v>
      </c>
      <c r="B155" s="3" t="s">
        <v>439</v>
      </c>
      <c r="C155" s="4">
        <v>0.79125607013702404</v>
      </c>
      <c r="D155" s="4">
        <v>0.27043643593788103</v>
      </c>
      <c r="E155" s="4">
        <v>6.8611271679401398E-2</v>
      </c>
      <c r="F155" s="3" t="s">
        <v>417</v>
      </c>
      <c r="G155" s="4">
        <f>POWER(10,D155)</f>
        <v>1.8639593460993211</v>
      </c>
    </row>
    <row r="156" spans="1:7" x14ac:dyDescent="0.2">
      <c r="A156" s="3" t="s">
        <v>455</v>
      </c>
      <c r="B156" s="3" t="s">
        <v>459</v>
      </c>
      <c r="C156" s="4">
        <v>0.76814240217208896</v>
      </c>
      <c r="D156" s="4">
        <v>0.64131009578704801</v>
      </c>
      <c r="E156" s="4">
        <v>0.40029013156890902</v>
      </c>
      <c r="F156" s="3" t="s">
        <v>417</v>
      </c>
      <c r="G156" s="4">
        <f>POWER(10,D156)</f>
        <v>4.3783461709601976</v>
      </c>
    </row>
    <row r="157" spans="1:7" x14ac:dyDescent="0.2">
      <c r="A157" s="3" t="s">
        <v>455</v>
      </c>
      <c r="B157" s="3" t="s">
        <v>460</v>
      </c>
      <c r="C157" s="4">
        <v>0.78148543834686302</v>
      </c>
      <c r="D157" s="4">
        <v>0.71101969480514504</v>
      </c>
      <c r="E157" s="4">
        <v>0.18666407465934801</v>
      </c>
      <c r="F157" s="3" t="s">
        <v>417</v>
      </c>
      <c r="G157" s="4">
        <f>POWER(10,D157)</f>
        <v>5.1406696345843548</v>
      </c>
    </row>
    <row r="158" spans="1:7" x14ac:dyDescent="0.2">
      <c r="A158" s="3" t="s">
        <v>455</v>
      </c>
      <c r="B158" s="3" t="s">
        <v>461</v>
      </c>
      <c r="C158" s="4">
        <v>0.76958292722702004</v>
      </c>
      <c r="D158" s="4">
        <v>0.27113845944404602</v>
      </c>
      <c r="E158" s="4">
        <v>0.30925729870796198</v>
      </c>
      <c r="F158" s="3" t="s">
        <v>417</v>
      </c>
      <c r="G158" s="4">
        <f>POWER(10,D158)</f>
        <v>1.8669748148881065</v>
      </c>
    </row>
    <row r="159" spans="1:7" x14ac:dyDescent="0.2">
      <c r="A159" s="3" t="s">
        <v>455</v>
      </c>
      <c r="B159" s="3" t="s">
        <v>462</v>
      </c>
      <c r="C159" s="4">
        <v>0.80201005935669001</v>
      </c>
      <c r="D159" s="4">
        <v>0.392332673072815</v>
      </c>
      <c r="E159" s="4">
        <v>0.211681723594666</v>
      </c>
      <c r="F159" s="3" t="s">
        <v>417</v>
      </c>
      <c r="G159" s="4">
        <f>POWER(10,D159)</f>
        <v>2.4679290669204375</v>
      </c>
    </row>
    <row r="160" spans="1:7" x14ac:dyDescent="0.2">
      <c r="A160" s="3" t="s">
        <v>455</v>
      </c>
      <c r="B160" s="3" t="s">
        <v>463</v>
      </c>
      <c r="C160" s="4">
        <v>0.78594440221786499</v>
      </c>
      <c r="D160" s="4">
        <v>1.0571097135543801</v>
      </c>
      <c r="E160" s="4">
        <v>0.25658783316612199</v>
      </c>
      <c r="F160" s="3" t="s">
        <v>417</v>
      </c>
      <c r="G160" s="4">
        <f>POWER(10,D160)</f>
        <v>11.405378793178178</v>
      </c>
    </row>
    <row r="161" spans="1:7" x14ac:dyDescent="0.2">
      <c r="A161" s="3" t="s">
        <v>455</v>
      </c>
      <c r="B161" s="3" t="s">
        <v>464</v>
      </c>
      <c r="C161" s="4">
        <v>0.79678314924240101</v>
      </c>
      <c r="D161" s="4">
        <v>1.11513960361481</v>
      </c>
      <c r="E161" s="4">
        <v>0.24886636435985601</v>
      </c>
      <c r="F161" s="3" t="s">
        <v>417</v>
      </c>
      <c r="G161" s="4">
        <f>POWER(10,D161)</f>
        <v>13.035857477088729</v>
      </c>
    </row>
    <row r="162" spans="1:7" x14ac:dyDescent="0.2">
      <c r="A162" s="3" t="s">
        <v>465</v>
      </c>
      <c r="B162" s="3" t="s">
        <v>456</v>
      </c>
      <c r="C162" s="4">
        <v>0.78385668992996205</v>
      </c>
      <c r="D162" s="4">
        <v>0.605379939079285</v>
      </c>
      <c r="E162" s="4">
        <v>0.29361209273338301</v>
      </c>
      <c r="F162" s="3" t="s">
        <v>417</v>
      </c>
      <c r="G162" s="4">
        <f>POWER(10,D162)</f>
        <v>4.0306950227986471</v>
      </c>
    </row>
    <row r="163" spans="1:7" x14ac:dyDescent="0.2">
      <c r="A163" s="3" t="s">
        <v>465</v>
      </c>
      <c r="B163" s="3" t="s">
        <v>458</v>
      </c>
      <c r="C163" s="4">
        <v>0.77252101898193404</v>
      </c>
      <c r="D163" s="4">
        <v>-6.4319401979446397E-2</v>
      </c>
      <c r="E163" s="4">
        <v>0.24330750107765201</v>
      </c>
      <c r="F163" s="3" t="s">
        <v>417</v>
      </c>
      <c r="G163" s="4">
        <f>POWER(10,D163)</f>
        <v>0.86234410331963729</v>
      </c>
    </row>
    <row r="164" spans="1:7" x14ac:dyDescent="0.2">
      <c r="A164" s="3" t="s">
        <v>465</v>
      </c>
      <c r="B164" s="3" t="s">
        <v>466</v>
      </c>
      <c r="C164" s="4">
        <v>0.78349918127059903</v>
      </c>
      <c r="D164" s="4">
        <v>0.37916952371597301</v>
      </c>
      <c r="E164" s="4">
        <v>0.54847824573516901</v>
      </c>
      <c r="F164" s="3" t="s">
        <v>417</v>
      </c>
      <c r="G164" s="4">
        <f>POWER(10,D164)</f>
        <v>2.3942501522897719</v>
      </c>
    </row>
    <row r="165" spans="1:7" x14ac:dyDescent="0.2">
      <c r="A165" s="3" t="s">
        <v>465</v>
      </c>
      <c r="B165" s="3" t="s">
        <v>467</v>
      </c>
      <c r="C165" s="4">
        <v>0.75067728757858299</v>
      </c>
      <c r="D165" s="4">
        <v>-0.19599339365959201</v>
      </c>
      <c r="E165" s="4">
        <v>0.35736441612243702</v>
      </c>
      <c r="F165" s="3" t="s">
        <v>417</v>
      </c>
      <c r="G165" s="4">
        <f>POWER(10,D165)</f>
        <v>0.6368052076991455</v>
      </c>
    </row>
    <row r="166" spans="1:7" x14ac:dyDescent="0.2">
      <c r="A166" s="3" t="s">
        <v>465</v>
      </c>
      <c r="B166" s="3" t="s">
        <v>439</v>
      </c>
      <c r="C166" s="4">
        <v>0.75953584909439098</v>
      </c>
      <c r="D166" s="4">
        <v>0.80421948432922397</v>
      </c>
      <c r="E166" s="4">
        <v>5.7357519865035997E-2</v>
      </c>
      <c r="F166" s="3" t="s">
        <v>417</v>
      </c>
      <c r="G166" s="4">
        <f>POWER(10,D166)</f>
        <v>6.3711742682028829</v>
      </c>
    </row>
    <row r="167" spans="1:7" x14ac:dyDescent="0.2">
      <c r="A167" s="3" t="s">
        <v>465</v>
      </c>
      <c r="B167" s="3" t="s">
        <v>460</v>
      </c>
      <c r="C167" s="4">
        <v>0.77074784040451105</v>
      </c>
      <c r="D167" s="4">
        <v>0.187227413058281</v>
      </c>
      <c r="E167" s="4">
        <v>0.22773651778698001</v>
      </c>
      <c r="F167" s="3" t="s">
        <v>417</v>
      </c>
      <c r="G167" s="4">
        <f>POWER(10,D167)</f>
        <v>1.5389602873116206</v>
      </c>
    </row>
    <row r="168" spans="1:7" x14ac:dyDescent="0.2">
      <c r="A168" s="3" t="s">
        <v>465</v>
      </c>
      <c r="B168" s="3" t="s">
        <v>461</v>
      </c>
      <c r="C168" s="4">
        <v>0.77399086952209495</v>
      </c>
      <c r="D168" s="4">
        <v>-0.49171489477157598</v>
      </c>
      <c r="E168" s="4">
        <v>0.38501554727554299</v>
      </c>
      <c r="F168" s="3" t="s">
        <v>417</v>
      </c>
      <c r="G168" s="4">
        <f>POWER(10,D168)</f>
        <v>0.32231840496954378</v>
      </c>
    </row>
    <row r="169" spans="1:7" x14ac:dyDescent="0.2">
      <c r="A169" s="3" t="s">
        <v>465</v>
      </c>
      <c r="B169" s="3" t="s">
        <v>468</v>
      </c>
      <c r="C169" s="4">
        <v>0.73977398872375499</v>
      </c>
      <c r="D169" s="4">
        <v>0.54533481597900402</v>
      </c>
      <c r="E169" s="4">
        <v>0.31826123595237699</v>
      </c>
      <c r="F169" s="3" t="s">
        <v>417</v>
      </c>
      <c r="G169" s="4">
        <f>POWER(10,D169)</f>
        <v>3.5102238766457261</v>
      </c>
    </row>
    <row r="170" spans="1:7" x14ac:dyDescent="0.2">
      <c r="A170" s="3" t="s">
        <v>465</v>
      </c>
      <c r="B170" s="3" t="s">
        <v>463</v>
      </c>
      <c r="C170" s="4">
        <v>0.76222956180572499</v>
      </c>
      <c r="D170" s="4">
        <v>0.51344317197799705</v>
      </c>
      <c r="E170" s="4">
        <v>0.35525852441787698</v>
      </c>
      <c r="F170" s="3" t="s">
        <v>417</v>
      </c>
      <c r="G170" s="4">
        <f>POWER(10,D170)</f>
        <v>3.2616936789761417</v>
      </c>
    </row>
    <row r="171" spans="1:7" x14ac:dyDescent="0.2">
      <c r="A171" s="3" t="s">
        <v>465</v>
      </c>
      <c r="B171" s="3" t="s">
        <v>469</v>
      </c>
      <c r="C171" s="4">
        <v>0.75943017005920399</v>
      </c>
      <c r="D171" s="4">
        <v>2.2366147041320801</v>
      </c>
      <c r="E171" s="4">
        <v>0.11376723647117599</v>
      </c>
      <c r="F171" s="3" t="s">
        <v>417</v>
      </c>
      <c r="G171" s="4">
        <f>POWER(10,D171)</f>
        <v>172.43074481192042</v>
      </c>
    </row>
    <row r="172" spans="1:7" x14ac:dyDescent="0.2">
      <c r="A172" s="3" t="s">
        <v>39</v>
      </c>
      <c r="B172" s="3" t="s">
        <v>13</v>
      </c>
      <c r="C172" s="4">
        <v>0.88858807086944602</v>
      </c>
      <c r="D172" s="4">
        <v>0.41780936717987099</v>
      </c>
      <c r="E172" s="4">
        <v>0.83353739976882901</v>
      </c>
      <c r="F172" s="3" t="s">
        <v>417</v>
      </c>
      <c r="G172" s="4">
        <f>POWER(10,D172)</f>
        <v>2.617034013458067</v>
      </c>
    </row>
    <row r="173" spans="1:7" x14ac:dyDescent="0.2">
      <c r="A173" s="1"/>
      <c r="B173" s="1"/>
      <c r="C173" s="1"/>
      <c r="D173" s="1"/>
      <c r="E173" s="1"/>
      <c r="F173" s="1"/>
      <c r="G173" s="1"/>
    </row>
    <row r="174" spans="1:7" x14ac:dyDescent="0.2">
      <c r="A174" s="3" t="s">
        <v>43</v>
      </c>
      <c r="B174" s="3" t="s">
        <v>13</v>
      </c>
      <c r="C174" s="4">
        <v>0.90851444005966198</v>
      </c>
      <c r="D174" s="4">
        <v>0.570698142051697</v>
      </c>
      <c r="E174" s="4">
        <v>0.77287918329238903</v>
      </c>
      <c r="F174" s="3" t="s">
        <v>417</v>
      </c>
      <c r="G174" s="4">
        <f>POWER(10,D174)</f>
        <v>3.7213296398436202</v>
      </c>
    </row>
    <row r="175" spans="1:7" x14ac:dyDescent="0.2">
      <c r="A175" s="1"/>
      <c r="B175" s="1"/>
      <c r="C175" s="1"/>
      <c r="D175" s="1"/>
      <c r="E175" s="1"/>
      <c r="F175" s="1"/>
      <c r="G175" s="1"/>
    </row>
    <row r="176" spans="1:7" x14ac:dyDescent="0.2">
      <c r="A176" s="1"/>
      <c r="B176" s="1"/>
      <c r="C176" s="1"/>
      <c r="D176" s="1"/>
      <c r="E176" s="1"/>
      <c r="F176" s="1"/>
      <c r="G176" s="1"/>
    </row>
    <row r="177" spans="1:7" x14ac:dyDescent="0.2">
      <c r="A177" s="1"/>
      <c r="B177" s="1"/>
      <c r="C177" s="1"/>
      <c r="D177" s="1"/>
      <c r="E177" s="1"/>
      <c r="F177" s="1"/>
      <c r="G177" s="1"/>
    </row>
    <row r="178" spans="1:7" x14ac:dyDescent="0.2">
      <c r="A178" s="3" t="s">
        <v>216</v>
      </c>
      <c r="B178" s="3" t="s">
        <v>57</v>
      </c>
      <c r="C178" s="4">
        <v>0.86913055181503296</v>
      </c>
      <c r="D178" s="4">
        <v>9.1119483113288893E-2</v>
      </c>
      <c r="E178" s="4">
        <v>0.84163856506347701</v>
      </c>
      <c r="F178" s="3" t="s">
        <v>417</v>
      </c>
      <c r="G178" s="4">
        <f>POWER(10,D178)</f>
        <v>1.2334441317462013</v>
      </c>
    </row>
    <row r="179" spans="1:7" x14ac:dyDescent="0.2">
      <c r="A179" s="3" t="s">
        <v>216</v>
      </c>
      <c r="B179" s="3" t="s">
        <v>13</v>
      </c>
      <c r="C179" s="4">
        <v>0.910558640956879</v>
      </c>
      <c r="D179" s="4">
        <v>-0.506278336048126</v>
      </c>
      <c r="E179" s="4">
        <v>0.86820363998413097</v>
      </c>
      <c r="F179" s="3" t="s">
        <v>417</v>
      </c>
      <c r="G179" s="4">
        <f>POWER(10,D179)</f>
        <v>0.311689135174748</v>
      </c>
    </row>
    <row r="180" spans="1:7" x14ac:dyDescent="0.2">
      <c r="A180" s="1"/>
      <c r="B180" s="1"/>
      <c r="C180" s="1"/>
      <c r="D180" s="1"/>
      <c r="E180" s="1"/>
      <c r="F180" s="1"/>
      <c r="G180" s="1"/>
    </row>
    <row r="181" spans="1:7" x14ac:dyDescent="0.2">
      <c r="A181" s="1"/>
      <c r="B181" s="1"/>
      <c r="C181" s="1"/>
      <c r="D181" s="1"/>
      <c r="E181" s="1"/>
      <c r="F181" s="1"/>
      <c r="G181" s="1"/>
    </row>
    <row r="182" spans="1:7" x14ac:dyDescent="0.2">
      <c r="A182" s="1"/>
      <c r="B182" s="1"/>
      <c r="C182" s="1"/>
      <c r="D182" s="1"/>
      <c r="E182" s="1"/>
      <c r="F182" s="1"/>
      <c r="G182" s="1"/>
    </row>
    <row r="183" spans="1:7" x14ac:dyDescent="0.2">
      <c r="A183" s="3" t="s">
        <v>470</v>
      </c>
      <c r="B183" s="3" t="s">
        <v>471</v>
      </c>
      <c r="C183" s="4">
        <v>0.92553389072418202</v>
      </c>
      <c r="D183" s="4">
        <v>1.65208387374878</v>
      </c>
      <c r="E183" s="4">
        <v>0.16346922516822801</v>
      </c>
      <c r="F183" s="3" t="s">
        <v>417</v>
      </c>
      <c r="G183" s="4">
        <f>POWER(10,D183)</f>
        <v>44.883206290353918</v>
      </c>
    </row>
    <row r="184" spans="1:7" x14ac:dyDescent="0.2">
      <c r="A184" s="1"/>
      <c r="B184" s="1"/>
      <c r="C184" s="1"/>
      <c r="D184" s="1"/>
      <c r="E184" s="1"/>
      <c r="F184" s="1"/>
      <c r="G184" s="1"/>
    </row>
    <row r="185" spans="1:7" x14ac:dyDescent="0.2">
      <c r="A185" s="3" t="s">
        <v>46</v>
      </c>
      <c r="B185" s="3" t="s">
        <v>8</v>
      </c>
      <c r="C185" s="4">
        <v>0.76323670148849498</v>
      </c>
      <c r="D185" s="4">
        <v>-0.25815251469612099</v>
      </c>
      <c r="E185" s="4">
        <v>0.96711492538452204</v>
      </c>
      <c r="F185" s="3" t="s">
        <v>417</v>
      </c>
      <c r="G185" s="4">
        <f>POWER(10,D185)</f>
        <v>0.55188359583226188</v>
      </c>
    </row>
    <row r="186" spans="1:7" x14ac:dyDescent="0.2">
      <c r="A186" s="3" t="s">
        <v>46</v>
      </c>
      <c r="B186" s="3" t="s">
        <v>20</v>
      </c>
      <c r="C186" s="4">
        <v>0.77715545892715499</v>
      </c>
      <c r="D186" s="4">
        <v>0.77888524532318104</v>
      </c>
      <c r="E186" s="4">
        <v>0.59026998281478904</v>
      </c>
      <c r="F186" s="3" t="s">
        <v>417</v>
      </c>
      <c r="G186" s="4">
        <f>POWER(10,D186)</f>
        <v>6.0101490888363536</v>
      </c>
    </row>
    <row r="187" spans="1:7" x14ac:dyDescent="0.2">
      <c r="A187" s="3"/>
      <c r="B187" s="3"/>
      <c r="C187" s="4"/>
      <c r="D187" s="4"/>
      <c r="E187" s="4"/>
      <c r="F187" s="3"/>
      <c r="G187" s="4"/>
    </row>
    <row r="188" spans="1:7" x14ac:dyDescent="0.2">
      <c r="A188" s="3"/>
      <c r="B188" s="3"/>
      <c r="C188" s="4"/>
      <c r="D188" s="4"/>
      <c r="E188" s="4"/>
      <c r="F188" s="3"/>
      <c r="G188" s="4"/>
    </row>
    <row r="189" spans="1:7" x14ac:dyDescent="0.2">
      <c r="A189" s="3"/>
      <c r="B189" s="3"/>
      <c r="C189" s="4"/>
      <c r="D189" s="4"/>
      <c r="E189" s="4"/>
      <c r="F189" s="3"/>
      <c r="G189" s="4"/>
    </row>
    <row r="190" spans="1:7" x14ac:dyDescent="0.2">
      <c r="A190" s="3" t="s">
        <v>46</v>
      </c>
      <c r="B190" s="3" t="s">
        <v>472</v>
      </c>
      <c r="C190" s="4">
        <v>0.77524882555007901</v>
      </c>
      <c r="D190" s="4">
        <v>-0.14563935995101901</v>
      </c>
      <c r="E190" s="4">
        <v>0.341783106327057</v>
      </c>
      <c r="F190" s="3" t="s">
        <v>417</v>
      </c>
      <c r="G190" s="4">
        <f>POWER(10,D190)</f>
        <v>0.71508989338532913</v>
      </c>
    </row>
    <row r="191" spans="1:7" x14ac:dyDescent="0.2">
      <c r="A191" s="3"/>
      <c r="B191" s="3"/>
      <c r="C191" s="4"/>
      <c r="D191" s="4"/>
      <c r="E191" s="4"/>
      <c r="F191" s="3"/>
      <c r="G191" s="4"/>
    </row>
    <row r="192" spans="1:7" x14ac:dyDescent="0.2">
      <c r="A192" s="3"/>
      <c r="B192" s="3"/>
      <c r="C192" s="4"/>
      <c r="D192" s="4"/>
      <c r="E192" s="4"/>
      <c r="F192" s="3"/>
      <c r="G192" s="4"/>
    </row>
    <row r="193" spans="1:7" x14ac:dyDescent="0.2">
      <c r="A193" s="3"/>
      <c r="B193" s="3"/>
      <c r="C193" s="4"/>
      <c r="D193" s="4"/>
      <c r="E193" s="4"/>
      <c r="F193" s="3"/>
      <c r="G193" s="4"/>
    </row>
    <row r="194" spans="1:7" x14ac:dyDescent="0.2">
      <c r="A194" s="3"/>
      <c r="B194" s="3"/>
      <c r="C194" s="4"/>
      <c r="D194" s="4"/>
      <c r="E194" s="4"/>
      <c r="F194" s="3"/>
      <c r="G194" s="4"/>
    </row>
    <row r="195" spans="1:7" x14ac:dyDescent="0.2">
      <c r="A195" s="3" t="s">
        <v>46</v>
      </c>
      <c r="B195" s="3" t="s">
        <v>12</v>
      </c>
      <c r="C195" s="4">
        <v>0.78005260229110696</v>
      </c>
      <c r="D195" s="4">
        <v>-1.2753040790557899</v>
      </c>
      <c r="E195" s="4">
        <v>0.77743023633956898</v>
      </c>
      <c r="F195" s="3" t="s">
        <v>417</v>
      </c>
      <c r="G195" s="4">
        <f>POWER(10,D195)</f>
        <v>5.3051286608274809E-2</v>
      </c>
    </row>
    <row r="196" spans="1:7" x14ac:dyDescent="0.2">
      <c r="A196" s="3" t="s">
        <v>46</v>
      </c>
      <c r="B196" s="3" t="s">
        <v>24</v>
      </c>
      <c r="C196" s="4">
        <v>0.764149129390717</v>
      </c>
      <c r="D196" s="4">
        <v>0.19018432497978199</v>
      </c>
      <c r="E196" s="4">
        <v>0.71505129337310802</v>
      </c>
      <c r="F196" s="3" t="s">
        <v>417</v>
      </c>
      <c r="G196" s="4">
        <f>POWER(10,D196)</f>
        <v>1.5494741132991221</v>
      </c>
    </row>
    <row r="197" spans="1:7" x14ac:dyDescent="0.2">
      <c r="A197" s="3"/>
      <c r="B197" s="3"/>
      <c r="C197" s="4"/>
      <c r="D197" s="4"/>
      <c r="E197" s="4"/>
      <c r="F197" s="3"/>
      <c r="G197" s="4"/>
    </row>
    <row r="198" spans="1:7" x14ac:dyDescent="0.2">
      <c r="A198" s="3"/>
      <c r="B198" s="3"/>
      <c r="C198" s="4"/>
      <c r="D198" s="4"/>
      <c r="E198" s="4"/>
      <c r="F198" s="3"/>
      <c r="G198" s="4"/>
    </row>
    <row r="199" spans="1:7" x14ac:dyDescent="0.2">
      <c r="A199" s="3"/>
      <c r="B199" s="3"/>
      <c r="C199" s="4"/>
      <c r="D199" s="4"/>
      <c r="E199" s="4"/>
      <c r="F199" s="3"/>
      <c r="G199" s="4"/>
    </row>
    <row r="200" spans="1:7" x14ac:dyDescent="0.2">
      <c r="A200" s="3"/>
      <c r="B200" s="3"/>
      <c r="C200" s="4"/>
      <c r="D200" s="4"/>
      <c r="E200" s="4"/>
      <c r="F200" s="3"/>
      <c r="G200" s="4"/>
    </row>
    <row r="201" spans="1:7" x14ac:dyDescent="0.2">
      <c r="A201" s="1"/>
      <c r="B201" s="1"/>
      <c r="C201" s="1"/>
      <c r="D201" s="1"/>
      <c r="E201" s="1"/>
      <c r="F201" s="1"/>
      <c r="G201" s="1"/>
    </row>
    <row r="202" spans="1:7" x14ac:dyDescent="0.2">
      <c r="A202" s="3" t="s">
        <v>46</v>
      </c>
      <c r="B202" s="3" t="s">
        <v>473</v>
      </c>
      <c r="C202" s="4">
        <v>0.790477395057678</v>
      </c>
      <c r="D202" s="4">
        <v>-1.11258840560913</v>
      </c>
      <c r="E202" s="4">
        <v>0.80667340755462702</v>
      </c>
      <c r="F202" s="3" t="s">
        <v>417</v>
      </c>
      <c r="G202" s="4">
        <f>POWER(10,D202)</f>
        <v>7.7163442458385745E-2</v>
      </c>
    </row>
    <row r="203" spans="1:7" x14ac:dyDescent="0.2">
      <c r="A203" s="3" t="s">
        <v>46</v>
      </c>
      <c r="B203" s="3" t="s">
        <v>14</v>
      </c>
      <c r="C203" s="4">
        <v>0.78893882036209095</v>
      </c>
      <c r="D203" s="4">
        <v>-2.0471453666686998</v>
      </c>
      <c r="E203" s="4">
        <v>0.93274152278900202</v>
      </c>
      <c r="F203" s="3" t="s">
        <v>417</v>
      </c>
      <c r="G203" s="4">
        <f>POWER(10,D203)</f>
        <v>8.9712845818742913E-3</v>
      </c>
    </row>
    <row r="204" spans="1:7" x14ac:dyDescent="0.2">
      <c r="A204" s="3" t="s">
        <v>46</v>
      </c>
      <c r="B204" s="3" t="s">
        <v>33</v>
      </c>
      <c r="C204" s="4">
        <v>0.77821284532546997</v>
      </c>
      <c r="D204" s="4">
        <v>0.46642440557479897</v>
      </c>
      <c r="E204" s="4">
        <v>0.84719622135162398</v>
      </c>
      <c r="F204" s="3" t="s">
        <v>417</v>
      </c>
      <c r="G204" s="4">
        <f>POWER(10,D204)</f>
        <v>2.9270113438311554</v>
      </c>
    </row>
    <row r="205" spans="1:7" x14ac:dyDescent="0.2">
      <c r="A205" s="3"/>
      <c r="B205" s="3"/>
      <c r="C205" s="4"/>
      <c r="D205" s="4"/>
      <c r="E205" s="4"/>
      <c r="F205" s="3"/>
      <c r="G205" s="4"/>
    </row>
    <row r="206" spans="1:7" x14ac:dyDescent="0.2">
      <c r="A206" s="3" t="s">
        <v>46</v>
      </c>
      <c r="B206" s="3" t="s">
        <v>427</v>
      </c>
      <c r="C206" s="4">
        <v>0.75791418552398704</v>
      </c>
      <c r="D206" s="4">
        <v>0.64099782705306996</v>
      </c>
      <c r="E206" s="4">
        <v>0.76597964763641402</v>
      </c>
      <c r="F206" s="3" t="s">
        <v>417</v>
      </c>
      <c r="G206" s="4">
        <f>POWER(10,D206)</f>
        <v>4.375199160677238</v>
      </c>
    </row>
    <row r="207" spans="1:7" x14ac:dyDescent="0.2">
      <c r="A207" s="3" t="s">
        <v>50</v>
      </c>
      <c r="B207" s="3" t="s">
        <v>20</v>
      </c>
      <c r="C207" s="4">
        <v>0.93482726812362704</v>
      </c>
      <c r="D207" s="4">
        <v>-4.6178027987480198E-3</v>
      </c>
      <c r="E207" s="4">
        <v>0.76948100328445401</v>
      </c>
      <c r="F207" s="3" t="s">
        <v>417</v>
      </c>
      <c r="G207" s="4">
        <f>POWER(10,D207)</f>
        <v>0.98942344539873051</v>
      </c>
    </row>
    <row r="208" spans="1:7" x14ac:dyDescent="0.2">
      <c r="A208" s="3"/>
      <c r="B208" s="3"/>
      <c r="C208" s="4"/>
      <c r="D208" s="4"/>
      <c r="E208" s="4"/>
      <c r="F208" s="3"/>
      <c r="G208" s="4"/>
    </row>
    <row r="209" spans="1:7" x14ac:dyDescent="0.2">
      <c r="A209" s="3" t="s">
        <v>50</v>
      </c>
      <c r="B209" s="3" t="s">
        <v>21</v>
      </c>
      <c r="C209" s="4">
        <v>0.93141382932662997</v>
      </c>
      <c r="D209" s="4">
        <v>0.35074627399444602</v>
      </c>
      <c r="E209" s="4">
        <v>0.30087956786155701</v>
      </c>
      <c r="F209" s="3" t="s">
        <v>417</v>
      </c>
      <c r="G209" s="4">
        <f>POWER(10,D209)</f>
        <v>2.2425713731205046</v>
      </c>
    </row>
    <row r="210" spans="1:7" x14ac:dyDescent="0.2">
      <c r="A210" s="3"/>
      <c r="B210" s="3"/>
      <c r="C210" s="4"/>
      <c r="D210" s="4"/>
      <c r="E210" s="4"/>
      <c r="F210" s="3"/>
      <c r="G210" s="4"/>
    </row>
    <row r="211" spans="1:7" x14ac:dyDescent="0.2">
      <c r="A211" s="3" t="s">
        <v>50</v>
      </c>
      <c r="B211" s="3" t="s">
        <v>65</v>
      </c>
      <c r="C211" s="4">
        <v>0.89692795276641901</v>
      </c>
      <c r="D211" s="4">
        <v>-1.28172206878662</v>
      </c>
      <c r="E211" s="4">
        <v>0.76642197370529197</v>
      </c>
      <c r="F211" s="3" t="s">
        <v>417</v>
      </c>
      <c r="G211" s="4">
        <f>POWER(10,D211)</f>
        <v>5.227306088009348E-2</v>
      </c>
    </row>
    <row r="212" spans="1:7" x14ac:dyDescent="0.2">
      <c r="A212" s="3" t="s">
        <v>50</v>
      </c>
      <c r="B212" s="3" t="s">
        <v>57</v>
      </c>
      <c r="C212" s="4">
        <v>0.92817145586013805</v>
      </c>
      <c r="D212" s="4">
        <v>0.66065824031829801</v>
      </c>
      <c r="E212" s="4">
        <v>0.93448203802108798</v>
      </c>
      <c r="F212" s="3" t="s">
        <v>417</v>
      </c>
      <c r="G212" s="4">
        <f>POWER(10,D212)</f>
        <v>4.5778150259398478</v>
      </c>
    </row>
    <row r="213" spans="1:7" x14ac:dyDescent="0.2">
      <c r="A213" s="3" t="s">
        <v>50</v>
      </c>
      <c r="B213" s="3" t="s">
        <v>449</v>
      </c>
      <c r="C213" s="4">
        <v>0.93975162506103505</v>
      </c>
      <c r="D213" s="4">
        <v>-1.36495018005371</v>
      </c>
      <c r="E213" s="4">
        <v>0.88867002725601196</v>
      </c>
      <c r="F213" s="3" t="s">
        <v>417</v>
      </c>
      <c r="G213" s="4">
        <f>POWER(10,D213)</f>
        <v>4.3156858123377613E-2</v>
      </c>
    </row>
    <row r="214" spans="1:7" x14ac:dyDescent="0.2">
      <c r="A214" s="3" t="s">
        <v>50</v>
      </c>
      <c r="B214" s="3" t="s">
        <v>426</v>
      </c>
      <c r="C214" s="4">
        <v>0.94013100862503096</v>
      </c>
      <c r="D214" s="4">
        <v>0.39383244514465299</v>
      </c>
      <c r="E214" s="4">
        <v>0.807833611965179</v>
      </c>
      <c r="F214" s="3" t="s">
        <v>417</v>
      </c>
      <c r="G214" s="4">
        <f>POWER(10,D214)</f>
        <v>2.4764664294902206</v>
      </c>
    </row>
    <row r="215" spans="1:7" x14ac:dyDescent="0.2">
      <c r="A215" s="3"/>
      <c r="B215" s="3"/>
      <c r="C215" s="4"/>
      <c r="D215" s="4"/>
      <c r="E215" s="4"/>
      <c r="F215" s="3"/>
      <c r="G215" s="4"/>
    </row>
    <row r="216" spans="1:7" x14ac:dyDescent="0.2">
      <c r="A216" s="3"/>
      <c r="B216" s="3"/>
      <c r="C216" s="4"/>
      <c r="D216" s="4"/>
      <c r="E216" s="4"/>
      <c r="F216" s="3"/>
      <c r="G216" s="4"/>
    </row>
    <row r="217" spans="1:7" x14ac:dyDescent="0.2">
      <c r="A217" s="3"/>
      <c r="B217" s="3"/>
      <c r="C217" s="4"/>
      <c r="D217" s="4"/>
      <c r="E217" s="4"/>
      <c r="F217" s="3"/>
      <c r="G217" s="4"/>
    </row>
    <row r="218" spans="1:7" x14ac:dyDescent="0.2">
      <c r="A218" s="3"/>
      <c r="B218" s="3"/>
      <c r="C218" s="4"/>
      <c r="D218" s="4"/>
      <c r="E218" s="4"/>
      <c r="F218" s="3"/>
      <c r="G218" s="4"/>
    </row>
    <row r="219" spans="1:7" x14ac:dyDescent="0.2">
      <c r="A219" s="3" t="s">
        <v>50</v>
      </c>
      <c r="B219" s="3" t="s">
        <v>24</v>
      </c>
      <c r="C219" s="4">
        <v>0.94236576557159402</v>
      </c>
      <c r="D219" s="4">
        <v>0.356070816516876</v>
      </c>
      <c r="E219" s="4">
        <v>0.41839975118637102</v>
      </c>
      <c r="F219" s="3" t="s">
        <v>417</v>
      </c>
      <c r="G219" s="4">
        <f>POWER(10,D219)</f>
        <v>2.2702350086220204</v>
      </c>
    </row>
    <row r="220" spans="1:7" x14ac:dyDescent="0.2">
      <c r="A220" s="3" t="s">
        <v>50</v>
      </c>
      <c r="B220" s="3" t="s">
        <v>13</v>
      </c>
      <c r="C220" s="4">
        <v>0.94123286008834794</v>
      </c>
      <c r="D220" s="4">
        <v>0.78144806623458896</v>
      </c>
      <c r="E220" s="4">
        <v>0.87742561101913497</v>
      </c>
      <c r="F220" s="3" t="s">
        <v>417</v>
      </c>
      <c r="G220" s="4">
        <f>POWER(10,D220)</f>
        <v>6.0457205113888568</v>
      </c>
    </row>
    <row r="221" spans="1:7" x14ac:dyDescent="0.2">
      <c r="A221" s="3"/>
      <c r="B221" s="3"/>
      <c r="C221" s="4"/>
      <c r="D221" s="4"/>
      <c r="E221" s="4"/>
      <c r="F221" s="3"/>
      <c r="G221" s="4"/>
    </row>
    <row r="222" spans="1:7" x14ac:dyDescent="0.2">
      <c r="A222" s="3"/>
      <c r="B222" s="3"/>
      <c r="C222" s="4"/>
      <c r="D222" s="4"/>
      <c r="E222" s="4"/>
      <c r="F222" s="3"/>
      <c r="G222" s="4"/>
    </row>
    <row r="223" spans="1:7" x14ac:dyDescent="0.2">
      <c r="A223" s="3" t="s">
        <v>50</v>
      </c>
      <c r="B223" s="3" t="s">
        <v>474</v>
      </c>
      <c r="C223" s="4">
        <v>0.95046895742416404</v>
      </c>
      <c r="D223" s="4">
        <v>1.77996242046356</v>
      </c>
      <c r="E223" s="4">
        <v>0.91668099164962802</v>
      </c>
      <c r="F223" s="3" t="s">
        <v>417</v>
      </c>
      <c r="G223" s="4">
        <f>POWER(10,D223)</f>
        <v>60.250744880067806</v>
      </c>
    </row>
    <row r="224" spans="1:7" x14ac:dyDescent="0.2">
      <c r="A224" s="3" t="s">
        <v>50</v>
      </c>
      <c r="B224" s="3" t="s">
        <v>475</v>
      </c>
      <c r="C224" s="4">
        <v>0.94837009906768799</v>
      </c>
      <c r="D224" s="4">
        <v>-1.3008790016174301</v>
      </c>
      <c r="E224" s="4">
        <v>0.91885221004486095</v>
      </c>
      <c r="F224" s="3" t="s">
        <v>417</v>
      </c>
      <c r="G224" s="4">
        <f>POWER(10,D224)</f>
        <v>5.0017386854362376E-2</v>
      </c>
    </row>
    <row r="225" spans="1:7" x14ac:dyDescent="0.2">
      <c r="A225" s="3"/>
      <c r="B225" s="3"/>
      <c r="C225" s="4"/>
      <c r="D225" s="4"/>
      <c r="E225" s="4"/>
      <c r="F225" s="3"/>
      <c r="G225" s="4"/>
    </row>
    <row r="226" spans="1:7" x14ac:dyDescent="0.2">
      <c r="A226" s="3" t="s">
        <v>50</v>
      </c>
      <c r="B226" s="3" t="s">
        <v>476</v>
      </c>
      <c r="C226" s="4">
        <v>0.91334247589111295</v>
      </c>
      <c r="D226" s="4">
        <v>-0.673287153244019</v>
      </c>
      <c r="E226" s="4">
        <v>0.50231516361236594</v>
      </c>
      <c r="F226" s="3" t="s">
        <v>417</v>
      </c>
      <c r="G226" s="4">
        <f>POWER(10,D226)</f>
        <v>0.21218410478634062</v>
      </c>
    </row>
    <row r="227" spans="1:7" x14ac:dyDescent="0.2">
      <c r="A227" s="3"/>
      <c r="B227" s="3"/>
      <c r="C227" s="4"/>
      <c r="D227" s="4"/>
      <c r="E227" s="4"/>
      <c r="F227" s="3"/>
      <c r="G227" s="4"/>
    </row>
    <row r="228" spans="1:7" x14ac:dyDescent="0.2">
      <c r="A228" s="1"/>
      <c r="B228" s="1"/>
      <c r="C228" s="1"/>
      <c r="D228" s="1"/>
      <c r="E228" s="1"/>
      <c r="F228" s="1"/>
      <c r="G228" s="1"/>
    </row>
    <row r="229" spans="1:7" x14ac:dyDescent="0.2">
      <c r="A229" s="3" t="s">
        <v>50</v>
      </c>
      <c r="B229" s="3" t="s">
        <v>477</v>
      </c>
      <c r="C229" s="4">
        <v>0.93154972791671797</v>
      </c>
      <c r="D229" s="4">
        <v>-1.2969335317611701</v>
      </c>
      <c r="E229" s="4">
        <v>0.91155868768692005</v>
      </c>
      <c r="F229" s="3" t="s">
        <v>417</v>
      </c>
      <c r="G229" s="4">
        <f>POWER(10,D229)</f>
        <v>5.0473854126823432E-2</v>
      </c>
    </row>
    <row r="230" spans="1:7" x14ac:dyDescent="0.2">
      <c r="A230" s="1"/>
      <c r="B230" s="1"/>
      <c r="C230" s="1"/>
      <c r="D230" s="1"/>
      <c r="E230" s="1"/>
      <c r="F230" s="1"/>
      <c r="G230" s="1"/>
    </row>
    <row r="231" spans="1:7" x14ac:dyDescent="0.2">
      <c r="A231" s="1"/>
      <c r="B231" s="1"/>
      <c r="C231" s="1"/>
      <c r="D231" s="1"/>
      <c r="E231" s="1"/>
      <c r="F231" s="1"/>
      <c r="G231" s="1"/>
    </row>
    <row r="232" spans="1:7" x14ac:dyDescent="0.2">
      <c r="A232" s="3" t="s">
        <v>52</v>
      </c>
      <c r="B232" s="3" t="s">
        <v>21</v>
      </c>
      <c r="C232" s="4">
        <v>0.91805344820022605</v>
      </c>
      <c r="D232" s="4">
        <v>-7.61769264936447E-2</v>
      </c>
      <c r="E232" s="4">
        <v>0.26815977692604098</v>
      </c>
      <c r="F232" s="3" t="s">
        <v>417</v>
      </c>
      <c r="G232" s="4">
        <f>POWER(10,D232)</f>
        <v>0.83911806998797178</v>
      </c>
    </row>
    <row r="233" spans="1:7" x14ac:dyDescent="0.2">
      <c r="A233" s="3" t="s">
        <v>52</v>
      </c>
      <c r="B233" s="3" t="s">
        <v>65</v>
      </c>
      <c r="C233" s="4">
        <v>0.93302947282791104</v>
      </c>
      <c r="D233" s="4">
        <v>-1.4091278314590501</v>
      </c>
      <c r="E233" s="4">
        <v>0.80168324708938599</v>
      </c>
      <c r="F233" s="3" t="s">
        <v>417</v>
      </c>
      <c r="G233" s="4">
        <f>POWER(10,D233)</f>
        <v>3.8982722694583798E-2</v>
      </c>
    </row>
    <row r="234" spans="1:7" x14ac:dyDescent="0.2">
      <c r="A234" s="3" t="s">
        <v>52</v>
      </c>
      <c r="B234" s="3" t="s">
        <v>57</v>
      </c>
      <c r="C234" s="4">
        <v>0.91563397645950295</v>
      </c>
      <c r="D234" s="4">
        <v>-0.17642995715141299</v>
      </c>
      <c r="E234" s="4">
        <v>0.84292489290237405</v>
      </c>
      <c r="F234" s="3" t="s">
        <v>417</v>
      </c>
      <c r="G234" s="4">
        <f>POWER(10,D234)</f>
        <v>0.66614694856135637</v>
      </c>
    </row>
    <row r="235" spans="1:7" x14ac:dyDescent="0.2">
      <c r="A235" s="3" t="s">
        <v>52</v>
      </c>
      <c r="B235" s="3" t="s">
        <v>478</v>
      </c>
      <c r="C235" s="4">
        <v>0.93768274784088101</v>
      </c>
      <c r="D235" s="4">
        <v>-2.42211961746216</v>
      </c>
      <c r="E235" s="4">
        <v>0.95221167802810702</v>
      </c>
      <c r="F235" s="3" t="s">
        <v>417</v>
      </c>
      <c r="G235" s="4">
        <f>POWER(10,D235)</f>
        <v>3.7833836486190322E-3</v>
      </c>
    </row>
    <row r="236" spans="1:7" x14ac:dyDescent="0.2">
      <c r="A236" s="3" t="s">
        <v>52</v>
      </c>
      <c r="B236" s="3" t="s">
        <v>449</v>
      </c>
      <c r="C236" s="4">
        <v>0.929171562194824</v>
      </c>
      <c r="D236" s="4">
        <v>0.166394263505936</v>
      </c>
      <c r="E236" s="4">
        <v>0.61212021112442005</v>
      </c>
      <c r="F236" s="3" t="s">
        <v>417</v>
      </c>
      <c r="G236" s="4">
        <f>POWER(10,D236)</f>
        <v>1.4668789064185104</v>
      </c>
    </row>
    <row r="237" spans="1:7" x14ac:dyDescent="0.2">
      <c r="A237" s="3" t="s">
        <v>52</v>
      </c>
      <c r="B237" s="3" t="s">
        <v>426</v>
      </c>
      <c r="C237" s="4">
        <v>0.93775129318237305</v>
      </c>
      <c r="D237" s="4">
        <v>-0.15945532917976399</v>
      </c>
      <c r="E237" s="4">
        <v>0.78943061828613303</v>
      </c>
      <c r="F237" s="3" t="s">
        <v>417</v>
      </c>
      <c r="G237" s="4">
        <f>POWER(10,D237)</f>
        <v>0.69269917567765049</v>
      </c>
    </row>
    <row r="238" spans="1:7" x14ac:dyDescent="0.2">
      <c r="A238" s="3" t="s">
        <v>52</v>
      </c>
      <c r="B238" s="3" t="s">
        <v>452</v>
      </c>
      <c r="C238" s="4">
        <v>0.93883067369461104</v>
      </c>
      <c r="D238" s="4">
        <v>6.2777996063232394E-2</v>
      </c>
      <c r="E238" s="4">
        <v>0.97975540161132801</v>
      </c>
      <c r="F238" s="3" t="s">
        <v>417</v>
      </c>
      <c r="G238" s="4">
        <f>POWER(10,D238)</f>
        <v>1.1555214083443379</v>
      </c>
    </row>
    <row r="239" spans="1:7" x14ac:dyDescent="0.2">
      <c r="A239" s="3" t="s">
        <v>52</v>
      </c>
      <c r="B239" s="3" t="s">
        <v>24</v>
      </c>
      <c r="C239" s="4">
        <v>0.92466181516647294</v>
      </c>
      <c r="D239" s="4">
        <v>0.34033530950546298</v>
      </c>
      <c r="E239" s="4">
        <v>0.52738589048385598</v>
      </c>
      <c r="F239" s="3" t="s">
        <v>417</v>
      </c>
      <c r="G239" s="4">
        <f>POWER(10,D239)</f>
        <v>2.1894514002680481</v>
      </c>
    </row>
    <row r="240" spans="1:7" x14ac:dyDescent="0.2">
      <c r="A240" s="3" t="s">
        <v>52</v>
      </c>
      <c r="B240" s="3" t="s">
        <v>13</v>
      </c>
      <c r="C240" s="4">
        <v>0.918282210826874</v>
      </c>
      <c r="D240" s="4">
        <v>0.253505378961563</v>
      </c>
      <c r="E240" s="4">
        <v>0.77629715204238903</v>
      </c>
      <c r="F240" s="3" t="s">
        <v>417</v>
      </c>
      <c r="G240" s="4">
        <f>POWER(10,D240)</f>
        <v>1.7926907556293394</v>
      </c>
    </row>
    <row r="241" spans="1:7" x14ac:dyDescent="0.2">
      <c r="A241" s="3"/>
      <c r="B241" s="3"/>
      <c r="C241" s="4"/>
      <c r="D241" s="4"/>
      <c r="E241" s="4"/>
      <c r="F241" s="3"/>
      <c r="G241" s="4"/>
    </row>
    <row r="242" spans="1:7" x14ac:dyDescent="0.2">
      <c r="A242" s="3" t="s">
        <v>52</v>
      </c>
      <c r="B242" s="3" t="s">
        <v>474</v>
      </c>
      <c r="C242" s="4">
        <v>0.94959729909896895</v>
      </c>
      <c r="D242" s="4">
        <v>1.25843417644501</v>
      </c>
      <c r="E242" s="4">
        <v>0.45894718170165999</v>
      </c>
      <c r="F242" s="3" t="s">
        <v>417</v>
      </c>
      <c r="G242" s="4">
        <f>POWER(10,D242)</f>
        <v>18.131518458876435</v>
      </c>
    </row>
    <row r="243" spans="1:7" x14ac:dyDescent="0.2">
      <c r="A243" s="3" t="s">
        <v>52</v>
      </c>
      <c r="B243" s="3" t="s">
        <v>475</v>
      </c>
      <c r="C243" s="4">
        <v>0.92088806629180897</v>
      </c>
      <c r="D243" s="4">
        <v>-0.90998524427413896</v>
      </c>
      <c r="E243" s="4">
        <v>0.84185171127319303</v>
      </c>
      <c r="F243" s="3" t="s">
        <v>417</v>
      </c>
      <c r="G243" s="4">
        <f>POWER(10,D243)</f>
        <v>0.12303105715210524</v>
      </c>
    </row>
    <row r="244" spans="1:7" x14ac:dyDescent="0.2">
      <c r="A244" s="3" t="s">
        <v>52</v>
      </c>
      <c r="B244" s="3" t="s">
        <v>476</v>
      </c>
      <c r="C244" s="4">
        <v>0.92037767171859697</v>
      </c>
      <c r="D244" s="4">
        <v>-0.752513527870178</v>
      </c>
      <c r="E244" s="4">
        <v>0.63503676652908303</v>
      </c>
      <c r="F244" s="3" t="s">
        <v>417</v>
      </c>
      <c r="G244" s="4">
        <f>POWER(10,D244)</f>
        <v>0.17680171447828735</v>
      </c>
    </row>
    <row r="245" spans="1:7" x14ac:dyDescent="0.2">
      <c r="A245" s="3" t="s">
        <v>56</v>
      </c>
      <c r="B245" s="3" t="s">
        <v>479</v>
      </c>
      <c r="C245" s="4">
        <v>0.90241920948028598</v>
      </c>
      <c r="D245" s="4">
        <v>1.7677930593490601</v>
      </c>
      <c r="E245" s="4">
        <v>0.168418288230896</v>
      </c>
      <c r="F245" s="3" t="s">
        <v>417</v>
      </c>
      <c r="G245" s="4">
        <f>POWER(10,D245)</f>
        <v>58.585893711346586</v>
      </c>
    </row>
    <row r="246" spans="1:7" x14ac:dyDescent="0.2">
      <c r="A246" s="3" t="s">
        <v>56</v>
      </c>
      <c r="B246" s="3" t="s">
        <v>20</v>
      </c>
      <c r="C246" s="4">
        <v>0.92112362384796098</v>
      </c>
      <c r="D246" s="4">
        <v>-0.43830111622810403</v>
      </c>
      <c r="E246" s="4">
        <v>0.86441773176193204</v>
      </c>
      <c r="F246" s="3" t="s">
        <v>417</v>
      </c>
      <c r="G246" s="4">
        <f>POWER(10,D246)</f>
        <v>0.36450113398457046</v>
      </c>
    </row>
    <row r="247" spans="1:7" x14ac:dyDescent="0.2">
      <c r="A247" s="3" t="s">
        <v>56</v>
      </c>
      <c r="B247" s="3" t="s">
        <v>21</v>
      </c>
      <c r="C247" s="4">
        <v>0.90643644332885698</v>
      </c>
      <c r="D247" s="4">
        <v>1.3261392712593099E-2</v>
      </c>
      <c r="E247" s="4">
        <v>0.20471623539924599</v>
      </c>
      <c r="F247" s="3" t="s">
        <v>417</v>
      </c>
      <c r="G247" s="4">
        <f>POWER(10,D247)</f>
        <v>1.0310064748421288</v>
      </c>
    </row>
    <row r="248" spans="1:7" x14ac:dyDescent="0.2">
      <c r="A248" s="3" t="s">
        <v>56</v>
      </c>
      <c r="B248" s="3" t="s">
        <v>478</v>
      </c>
      <c r="C248" s="4">
        <v>0.91242372989654497</v>
      </c>
      <c r="D248" s="4">
        <v>-2.4704275131225599</v>
      </c>
      <c r="E248" s="4">
        <v>0.96730697154998802</v>
      </c>
      <c r="F248" s="3" t="s">
        <v>417</v>
      </c>
      <c r="G248" s="4">
        <f>POWER(10,D248)</f>
        <v>3.3851076703691001E-3</v>
      </c>
    </row>
    <row r="249" spans="1:7" x14ac:dyDescent="0.2">
      <c r="A249" s="3"/>
      <c r="B249" s="3"/>
      <c r="C249" s="4"/>
      <c r="D249" s="4"/>
      <c r="E249" s="4"/>
      <c r="F249" s="3"/>
      <c r="G249" s="4"/>
    </row>
    <row r="250" spans="1:7" x14ac:dyDescent="0.2">
      <c r="A250" s="3" t="s">
        <v>56</v>
      </c>
      <c r="B250" s="3" t="s">
        <v>480</v>
      </c>
      <c r="C250" s="4">
        <v>0.90690726041793801</v>
      </c>
      <c r="D250" s="4">
        <v>0.88323104381561302</v>
      </c>
      <c r="E250" s="4">
        <v>0.15782408416271199</v>
      </c>
      <c r="F250" s="3" t="s">
        <v>417</v>
      </c>
      <c r="G250" s="4">
        <f>POWER(10,D250)</f>
        <v>7.6424225083206432</v>
      </c>
    </row>
    <row r="251" spans="1:7" x14ac:dyDescent="0.2">
      <c r="A251" s="3" t="s">
        <v>56</v>
      </c>
      <c r="B251" s="3" t="s">
        <v>481</v>
      </c>
      <c r="C251" s="4">
        <v>0.91686010360717796</v>
      </c>
      <c r="D251" s="4">
        <v>-0.100893162190914</v>
      </c>
      <c r="E251" s="4">
        <v>0.85536724328994795</v>
      </c>
      <c r="F251" s="3" t="s">
        <v>417</v>
      </c>
      <c r="G251" s="4">
        <f>POWER(10,D251)</f>
        <v>0.79269631228351578</v>
      </c>
    </row>
    <row r="252" spans="1:7" x14ac:dyDescent="0.2">
      <c r="A252" s="3" t="s">
        <v>56</v>
      </c>
      <c r="B252" s="3" t="s">
        <v>477</v>
      </c>
      <c r="C252" s="4">
        <v>0.86944478750228904</v>
      </c>
      <c r="D252" s="4">
        <v>-1.0973174571991</v>
      </c>
      <c r="E252" s="4">
        <v>0.75308531522750899</v>
      </c>
      <c r="F252" s="3" t="s">
        <v>417</v>
      </c>
      <c r="G252" s="4">
        <f>POWER(10,D252)</f>
        <v>7.9924981202237844E-2</v>
      </c>
    </row>
    <row r="253" spans="1:7" x14ac:dyDescent="0.2">
      <c r="A253" s="3" t="s">
        <v>56</v>
      </c>
      <c r="B253" s="3" t="s">
        <v>482</v>
      </c>
      <c r="C253" s="4">
        <v>0.91382902860641502</v>
      </c>
      <c r="D253" s="4">
        <v>-0.162412390112877</v>
      </c>
      <c r="E253" s="4">
        <v>0.81334537267684903</v>
      </c>
      <c r="F253" s="3" t="s">
        <v>417</v>
      </c>
      <c r="G253" s="4">
        <f>POWER(10,D253)</f>
        <v>0.68799868774950768</v>
      </c>
    </row>
    <row r="254" spans="1:7" x14ac:dyDescent="0.2">
      <c r="A254" s="1"/>
      <c r="B254" s="1"/>
      <c r="C254" s="1"/>
      <c r="D254" s="1"/>
      <c r="E254" s="1"/>
      <c r="F254" s="1"/>
      <c r="G254" s="1"/>
    </row>
    <row r="255" spans="1:7" x14ac:dyDescent="0.2">
      <c r="A255" s="3"/>
      <c r="B255" s="3"/>
      <c r="C255" s="4"/>
      <c r="D255" s="4"/>
      <c r="E255" s="4"/>
      <c r="F255" s="3"/>
      <c r="G255" s="4"/>
    </row>
    <row r="256" spans="1:7" x14ac:dyDescent="0.2">
      <c r="A256" s="3"/>
      <c r="B256" s="3"/>
      <c r="C256" s="4"/>
      <c r="D256" s="4"/>
      <c r="E256" s="4"/>
      <c r="F256" s="3"/>
      <c r="G256" s="4"/>
    </row>
    <row r="257" spans="1:7" x14ac:dyDescent="0.2">
      <c r="A257" s="3" t="s">
        <v>347</v>
      </c>
      <c r="B257" s="3" t="s">
        <v>449</v>
      </c>
      <c r="C257" s="4">
        <v>0.88487321138382002</v>
      </c>
      <c r="D257" s="4">
        <v>0.82592368125915505</v>
      </c>
      <c r="E257" s="4">
        <v>0.58826678991317805</v>
      </c>
      <c r="F257" s="3" t="s">
        <v>417</v>
      </c>
      <c r="G257" s="4">
        <f>POWER(10,D257)</f>
        <v>6.6976690067232392</v>
      </c>
    </row>
    <row r="258" spans="1:7" x14ac:dyDescent="0.2">
      <c r="A258" s="3"/>
      <c r="B258" s="3"/>
      <c r="C258" s="4"/>
      <c r="D258" s="4"/>
      <c r="E258" s="4"/>
      <c r="F258" s="3"/>
      <c r="G258" s="4"/>
    </row>
    <row r="259" spans="1:7" x14ac:dyDescent="0.2">
      <c r="A259" s="3" t="s">
        <v>347</v>
      </c>
      <c r="B259" s="3" t="s">
        <v>483</v>
      </c>
      <c r="C259" s="4">
        <v>0.94117826223373402</v>
      </c>
      <c r="D259" s="4">
        <v>1.0478903055191</v>
      </c>
      <c r="E259" s="4">
        <v>0.60226470232009899</v>
      </c>
      <c r="F259" s="3" t="s">
        <v>417</v>
      </c>
      <c r="G259" s="4">
        <f>POWER(10,D259)</f>
        <v>11.165811851058201</v>
      </c>
    </row>
    <row r="260" spans="1:7" x14ac:dyDescent="0.2">
      <c r="A260" s="3"/>
      <c r="B260" s="3"/>
      <c r="C260" s="4"/>
      <c r="D260" s="4"/>
      <c r="E260" s="4"/>
      <c r="F260" s="3"/>
      <c r="G260" s="4"/>
    </row>
    <row r="261" spans="1:7" x14ac:dyDescent="0.2">
      <c r="A261" s="3" t="s">
        <v>347</v>
      </c>
      <c r="B261" s="3" t="s">
        <v>24</v>
      </c>
      <c r="C261" s="4">
        <v>0.92806398868560802</v>
      </c>
      <c r="D261" s="4">
        <v>0.46130347251892101</v>
      </c>
      <c r="E261" s="4">
        <v>0.23079510033130601</v>
      </c>
      <c r="F261" s="3" t="s">
        <v>417</v>
      </c>
      <c r="G261" s="4">
        <f>POWER(10,D261)</f>
        <v>2.8927005123964751</v>
      </c>
    </row>
    <row r="262" spans="1:7" x14ac:dyDescent="0.2">
      <c r="A262" s="3"/>
      <c r="B262" s="3"/>
      <c r="C262" s="4"/>
      <c r="D262" s="4"/>
      <c r="E262" s="4"/>
      <c r="F262" s="3"/>
      <c r="G262" s="4"/>
    </row>
    <row r="263" spans="1:7" x14ac:dyDescent="0.2">
      <c r="A263" s="3"/>
      <c r="B263" s="3"/>
      <c r="C263" s="4"/>
      <c r="D263" s="4"/>
      <c r="E263" s="4"/>
      <c r="F263" s="3"/>
      <c r="G263" s="4"/>
    </row>
    <row r="264" spans="1:7" x14ac:dyDescent="0.2">
      <c r="A264" s="3"/>
      <c r="B264" s="3"/>
      <c r="C264" s="4"/>
      <c r="D264" s="4"/>
      <c r="E264" s="4"/>
      <c r="F264" s="3"/>
      <c r="G264" s="4"/>
    </row>
    <row r="265" spans="1:7" x14ac:dyDescent="0.2">
      <c r="A265" s="1"/>
      <c r="B265" s="1"/>
      <c r="C265" s="1"/>
      <c r="D265" s="1"/>
      <c r="E265" s="1"/>
      <c r="F265" s="1"/>
      <c r="G265" s="1"/>
    </row>
    <row r="266" spans="1:7" x14ac:dyDescent="0.2">
      <c r="A266" s="1"/>
      <c r="B266" s="1"/>
      <c r="C266" s="1"/>
      <c r="D266" s="1"/>
      <c r="E266" s="1"/>
      <c r="F266" s="1"/>
      <c r="G266" s="1"/>
    </row>
    <row r="267" spans="1:7" x14ac:dyDescent="0.2">
      <c r="A267" s="3" t="s">
        <v>347</v>
      </c>
      <c r="B267" s="3" t="s">
        <v>102</v>
      </c>
      <c r="C267" s="4">
        <v>0.93911868333816495</v>
      </c>
      <c r="D267" s="4">
        <v>-0.87970346212387096</v>
      </c>
      <c r="E267" s="4">
        <v>0.91788601875305198</v>
      </c>
      <c r="F267" s="3" t="s">
        <v>417</v>
      </c>
      <c r="G267" s="4">
        <f>POWER(10,D267)</f>
        <v>0.13191571564952886</v>
      </c>
    </row>
    <row r="268" spans="1:7" x14ac:dyDescent="0.2">
      <c r="A268" s="1"/>
      <c r="B268" s="1"/>
      <c r="C268" s="1"/>
      <c r="D268" s="1"/>
      <c r="E268" s="1"/>
      <c r="F268" s="1"/>
      <c r="G268" s="1"/>
    </row>
    <row r="269" spans="1:7" x14ac:dyDescent="0.2">
      <c r="A269" s="3" t="s">
        <v>484</v>
      </c>
      <c r="B269" s="3" t="s">
        <v>449</v>
      </c>
      <c r="C269" s="4">
        <v>0.90908068418502797</v>
      </c>
      <c r="D269" s="4">
        <v>0.69202804565429699</v>
      </c>
      <c r="E269" s="4">
        <v>0.80927002429962203</v>
      </c>
      <c r="F269" s="3" t="s">
        <v>417</v>
      </c>
      <c r="G269" s="4">
        <f>POWER(10,D269)</f>
        <v>4.9207131139326341</v>
      </c>
    </row>
    <row r="270" spans="1:7" x14ac:dyDescent="0.2">
      <c r="A270" s="3" t="s">
        <v>484</v>
      </c>
      <c r="B270" s="3" t="s">
        <v>485</v>
      </c>
      <c r="C270" s="4">
        <v>0.91148263216018699</v>
      </c>
      <c r="D270" s="4">
        <v>-0.14360864460468301</v>
      </c>
      <c r="E270" s="4">
        <v>0.31990504264831499</v>
      </c>
      <c r="F270" s="3" t="s">
        <v>417</v>
      </c>
      <c r="G270" s="4">
        <f>POWER(10,D270)</f>
        <v>0.71844140811867274</v>
      </c>
    </row>
    <row r="271" spans="1:7" x14ac:dyDescent="0.2">
      <c r="A271" s="3" t="s">
        <v>484</v>
      </c>
      <c r="B271" s="3" t="s">
        <v>98</v>
      </c>
      <c r="C271" s="4">
        <v>0.91466790437698398</v>
      </c>
      <c r="D271" s="4">
        <v>0.61340093612670898</v>
      </c>
      <c r="E271" s="4">
        <v>0.38347297906875599</v>
      </c>
      <c r="F271" s="3" t="s">
        <v>417</v>
      </c>
      <c r="G271" s="4">
        <f>POWER(10,D271)</f>
        <v>4.1058297398524264</v>
      </c>
    </row>
    <row r="272" spans="1:7" x14ac:dyDescent="0.2">
      <c r="A272" s="3" t="s">
        <v>484</v>
      </c>
      <c r="B272" s="3" t="s">
        <v>486</v>
      </c>
      <c r="C272" s="4">
        <v>0.91926354169845603</v>
      </c>
      <c r="D272" s="4">
        <v>0.14465154707431799</v>
      </c>
      <c r="E272" s="4">
        <v>0.33277130126953097</v>
      </c>
      <c r="F272" s="3" t="s">
        <v>417</v>
      </c>
      <c r="G272" s="4">
        <f>POWER(10,D272)</f>
        <v>1.3952484446953843</v>
      </c>
    </row>
    <row r="273" spans="1:7" x14ac:dyDescent="0.2">
      <c r="A273" s="3" t="s">
        <v>484</v>
      </c>
      <c r="B273" s="3" t="s">
        <v>100</v>
      </c>
      <c r="C273" s="4">
        <v>0.91660827398300204</v>
      </c>
      <c r="D273" s="4">
        <v>-0.19140848517417899</v>
      </c>
      <c r="E273" s="4">
        <v>0.466257154941559</v>
      </c>
      <c r="F273" s="3" t="s">
        <v>417</v>
      </c>
      <c r="G273" s="4">
        <f>POWER(10,D273)</f>
        <v>0.64356366287378053</v>
      </c>
    </row>
    <row r="274" spans="1:7" x14ac:dyDescent="0.2">
      <c r="A274" s="3" t="s">
        <v>484</v>
      </c>
      <c r="B274" s="3" t="s">
        <v>487</v>
      </c>
      <c r="C274" s="4">
        <v>0.91966813802719105</v>
      </c>
      <c r="D274" s="4">
        <v>-9.2806536704301799E-3</v>
      </c>
      <c r="E274" s="4">
        <v>0.545870661735535</v>
      </c>
      <c r="F274" s="3" t="s">
        <v>417</v>
      </c>
      <c r="G274" s="4">
        <f>POWER(10,D274)</f>
        <v>0.97885721509549761</v>
      </c>
    </row>
    <row r="275" spans="1:7" x14ac:dyDescent="0.2">
      <c r="A275" s="1"/>
      <c r="B275" s="1"/>
      <c r="C275" s="1"/>
      <c r="D275" s="1"/>
      <c r="E275" s="1"/>
      <c r="F275" s="1"/>
      <c r="G275" s="1"/>
    </row>
    <row r="276" spans="1:7" x14ac:dyDescent="0.2">
      <c r="A276" s="1"/>
      <c r="B276" s="1"/>
      <c r="C276" s="1"/>
      <c r="D276" s="1"/>
      <c r="E276" s="1"/>
      <c r="F276" s="1"/>
      <c r="G276" s="1"/>
    </row>
    <row r="277" spans="1:7" x14ac:dyDescent="0.2">
      <c r="A277" s="1"/>
      <c r="B277" s="1"/>
      <c r="C277" s="1"/>
      <c r="D277" s="1"/>
      <c r="E277" s="1"/>
      <c r="F277" s="1"/>
      <c r="G277" s="1"/>
    </row>
    <row r="278" spans="1:7" x14ac:dyDescent="0.2">
      <c r="A278" s="1"/>
      <c r="B278" s="1"/>
      <c r="C278" s="1"/>
      <c r="D278" s="1"/>
      <c r="E278" s="1"/>
      <c r="F278" s="1"/>
      <c r="G278" s="1"/>
    </row>
    <row r="279" spans="1:7" x14ac:dyDescent="0.2">
      <c r="A279" s="1"/>
      <c r="B279" s="1"/>
      <c r="C279" s="1"/>
      <c r="D279" s="1"/>
      <c r="E279" s="1"/>
      <c r="F279" s="1"/>
      <c r="G279" s="1"/>
    </row>
    <row r="280" spans="1:7" x14ac:dyDescent="0.2">
      <c r="A280" s="1"/>
      <c r="B280" s="1"/>
      <c r="C280" s="1"/>
      <c r="D280" s="1"/>
      <c r="E280" s="1"/>
      <c r="F280" s="1"/>
      <c r="G280" s="1"/>
    </row>
    <row r="281" spans="1:7" x14ac:dyDescent="0.2">
      <c r="A281" s="1"/>
      <c r="B281" s="1"/>
      <c r="C281" s="1"/>
      <c r="D281" s="1"/>
      <c r="E281" s="1"/>
      <c r="F281" s="1"/>
      <c r="G281" s="1"/>
    </row>
    <row r="282" spans="1:7" x14ac:dyDescent="0.2">
      <c r="A282" s="1"/>
      <c r="B282" s="1"/>
      <c r="C282" s="1"/>
      <c r="D282" s="1"/>
      <c r="E282" s="1"/>
      <c r="F282" s="1"/>
      <c r="G282" s="1"/>
    </row>
    <row r="283" spans="1:7" x14ac:dyDescent="0.2">
      <c r="A283" s="1"/>
      <c r="B283" s="1"/>
      <c r="C283" s="1"/>
      <c r="D283" s="1"/>
      <c r="E283" s="1"/>
      <c r="F283" s="1"/>
      <c r="G283" s="1"/>
    </row>
    <row r="284" spans="1:7" x14ac:dyDescent="0.2">
      <c r="A284" s="1"/>
      <c r="B284" s="1"/>
      <c r="C284" s="1"/>
      <c r="D284" s="1"/>
      <c r="E284" s="1"/>
      <c r="F284" s="1"/>
      <c r="G284" s="1"/>
    </row>
    <row r="285" spans="1:7" x14ac:dyDescent="0.2">
      <c r="A285" s="1"/>
      <c r="B285" s="1"/>
      <c r="C285" s="1"/>
      <c r="D285" s="1"/>
      <c r="E285" s="1"/>
      <c r="F285" s="1"/>
      <c r="G285" s="1"/>
    </row>
    <row r="286" spans="1:7" x14ac:dyDescent="0.2">
      <c r="A286" s="1"/>
      <c r="B286" s="1"/>
      <c r="C286" s="1"/>
      <c r="D286" s="1"/>
      <c r="E286" s="1"/>
      <c r="F286" s="1"/>
      <c r="G286" s="1"/>
    </row>
    <row r="287" spans="1:7" x14ac:dyDescent="0.2">
      <c r="A287" s="3" t="s">
        <v>488</v>
      </c>
      <c r="B287" s="3" t="s">
        <v>489</v>
      </c>
      <c r="C287" s="4">
        <v>0.93129819631576505</v>
      </c>
      <c r="D287" s="4">
        <v>1.1477148532867401</v>
      </c>
      <c r="E287" s="4">
        <v>0.13011629879474601</v>
      </c>
      <c r="F287" s="3" t="s">
        <v>417</v>
      </c>
      <c r="G287" s="4">
        <f>POWER(10,D287)</f>
        <v>14.051246520798889</v>
      </c>
    </row>
    <row r="288" spans="1:7" x14ac:dyDescent="0.2">
      <c r="A288" s="3" t="s">
        <v>488</v>
      </c>
      <c r="B288" s="3" t="s">
        <v>439</v>
      </c>
      <c r="C288" s="4">
        <v>0.93670982122421298</v>
      </c>
      <c r="D288" s="4">
        <v>-1.3264174461364699</v>
      </c>
      <c r="E288" s="4">
        <v>0.64301329851150502</v>
      </c>
      <c r="F288" s="3" t="s">
        <v>417</v>
      </c>
      <c r="G288" s="4">
        <f>POWER(10,D288)</f>
        <v>4.7160950979287623E-2</v>
      </c>
    </row>
    <row r="289" spans="1:7" x14ac:dyDescent="0.2">
      <c r="A289" s="3" t="s">
        <v>488</v>
      </c>
      <c r="B289" s="3" t="s">
        <v>490</v>
      </c>
      <c r="C289" s="4">
        <v>0.926741242408752</v>
      </c>
      <c r="D289" s="4">
        <v>0.54134762287139904</v>
      </c>
      <c r="E289" s="4">
        <v>0.36817893385887102</v>
      </c>
      <c r="F289" s="3" t="s">
        <v>417</v>
      </c>
      <c r="G289" s="4">
        <f>POWER(10,D289)</f>
        <v>3.478144516056461</v>
      </c>
    </row>
    <row r="290" spans="1:7" x14ac:dyDescent="0.2">
      <c r="A290" s="3" t="s">
        <v>488</v>
      </c>
      <c r="B290" s="3" t="s">
        <v>491</v>
      </c>
      <c r="C290" s="4">
        <v>0.92247486114501998</v>
      </c>
      <c r="D290" s="4">
        <v>1.0894365310668901</v>
      </c>
      <c r="E290" s="4">
        <v>0.283605337142944</v>
      </c>
      <c r="F290" s="3" t="s">
        <v>417</v>
      </c>
      <c r="G290" s="4">
        <f>POWER(10,D290)</f>
        <v>12.286736118772279</v>
      </c>
    </row>
    <row r="291" spans="1:7" x14ac:dyDescent="0.2">
      <c r="A291" s="3" t="s">
        <v>488</v>
      </c>
      <c r="B291" s="3" t="s">
        <v>492</v>
      </c>
      <c r="C291" s="4">
        <v>0.91329222917556796</v>
      </c>
      <c r="D291" s="4">
        <v>-1.28811836242676</v>
      </c>
      <c r="E291" s="4">
        <v>0.81052523851394698</v>
      </c>
      <c r="F291" s="3" t="s">
        <v>417</v>
      </c>
      <c r="G291" s="4">
        <f>POWER(10,D291)</f>
        <v>5.1508824352724705E-2</v>
      </c>
    </row>
    <row r="292" spans="1:7" x14ac:dyDescent="0.2">
      <c r="A292" s="3"/>
      <c r="B292" s="3"/>
      <c r="C292" s="4"/>
      <c r="D292" s="4"/>
      <c r="E292" s="4"/>
      <c r="F292" s="3"/>
      <c r="G292" s="4"/>
    </row>
    <row r="293" spans="1:7" x14ac:dyDescent="0.2">
      <c r="A293" s="3" t="s">
        <v>493</v>
      </c>
      <c r="B293" s="3" t="s">
        <v>20</v>
      </c>
      <c r="C293" s="4">
        <v>0.687108814716339</v>
      </c>
      <c r="D293" s="4">
        <v>0.51292818784713801</v>
      </c>
      <c r="E293" s="4">
        <v>0.59525537490844704</v>
      </c>
      <c r="F293" s="3" t="s">
        <v>417</v>
      </c>
      <c r="G293" s="4">
        <f>POWER(10,D293)</f>
        <v>3.2578282718710967</v>
      </c>
    </row>
    <row r="294" spans="1:7" x14ac:dyDescent="0.2">
      <c r="A294" s="3" t="s">
        <v>493</v>
      </c>
      <c r="B294" s="3" t="s">
        <v>494</v>
      </c>
      <c r="C294" s="4">
        <v>0.68548458814621005</v>
      </c>
      <c r="D294" s="4">
        <v>1.0087635517120399</v>
      </c>
      <c r="E294" s="4">
        <v>0.19901663064956701</v>
      </c>
      <c r="F294" s="3" t="s">
        <v>417</v>
      </c>
      <c r="G294" s="4">
        <f>POWER(10,D294)</f>
        <v>10.203837923484915</v>
      </c>
    </row>
    <row r="295" spans="1:7" x14ac:dyDescent="0.2">
      <c r="A295" s="3" t="s">
        <v>493</v>
      </c>
      <c r="B295" s="3" t="s">
        <v>451</v>
      </c>
      <c r="C295" s="4">
        <v>0.74742692708969105</v>
      </c>
      <c r="D295" s="4">
        <v>0.31534442305564903</v>
      </c>
      <c r="E295" s="4">
        <v>0.31205976009368902</v>
      </c>
      <c r="F295" s="3" t="s">
        <v>417</v>
      </c>
      <c r="G295" s="4">
        <f>POWER(10,D295)</f>
        <v>2.0670187828877049</v>
      </c>
    </row>
    <row r="296" spans="1:7" x14ac:dyDescent="0.2">
      <c r="A296" s="3"/>
      <c r="B296" s="3"/>
      <c r="C296" s="4"/>
      <c r="D296" s="4"/>
      <c r="E296" s="4"/>
      <c r="F296" s="3"/>
      <c r="G296" s="4"/>
    </row>
    <row r="297" spans="1:7" x14ac:dyDescent="0.2">
      <c r="A297" s="3" t="s">
        <v>493</v>
      </c>
      <c r="B297" s="3" t="s">
        <v>449</v>
      </c>
      <c r="C297" s="4">
        <v>0.71038979291915905</v>
      </c>
      <c r="D297" s="4">
        <v>0.287569969892502</v>
      </c>
      <c r="E297" s="4">
        <v>0.48835945129394498</v>
      </c>
      <c r="F297" s="3" t="s">
        <v>417</v>
      </c>
      <c r="G297" s="4">
        <f>POWER(10,D297)</f>
        <v>1.9389650006032821</v>
      </c>
    </row>
    <row r="298" spans="1:7" x14ac:dyDescent="0.2">
      <c r="A298" s="3" t="s">
        <v>493</v>
      </c>
      <c r="B298" s="3" t="s">
        <v>495</v>
      </c>
      <c r="C298" s="4">
        <v>0.68224233388900801</v>
      </c>
      <c r="D298" s="4">
        <v>0.79963004589080799</v>
      </c>
      <c r="E298" s="4">
        <v>0.55760681629180897</v>
      </c>
      <c r="F298" s="3" t="s">
        <v>417</v>
      </c>
      <c r="G298" s="4">
        <f>POWER(10,D298)</f>
        <v>6.3042009181290775</v>
      </c>
    </row>
    <row r="299" spans="1:7" x14ac:dyDescent="0.2">
      <c r="A299" s="3" t="s">
        <v>493</v>
      </c>
      <c r="B299" s="3" t="s">
        <v>496</v>
      </c>
      <c r="C299" s="4">
        <v>0.76656883955001798</v>
      </c>
      <c r="D299" s="4">
        <v>2.5050916671752899</v>
      </c>
      <c r="E299" s="4">
        <v>0.48422178626060502</v>
      </c>
      <c r="F299" s="3" t="s">
        <v>417</v>
      </c>
      <c r="G299" s="4">
        <f>POWER(10,D299)</f>
        <v>319.95703764511308</v>
      </c>
    </row>
    <row r="300" spans="1:7" x14ac:dyDescent="0.2">
      <c r="A300" s="3" t="s">
        <v>493</v>
      </c>
      <c r="B300" s="3" t="s">
        <v>497</v>
      </c>
      <c r="C300" s="4">
        <v>0.68284720182418801</v>
      </c>
      <c r="D300" s="4">
        <v>1.0192335844039899</v>
      </c>
      <c r="E300" s="4">
        <v>0.37742432951927202</v>
      </c>
      <c r="F300" s="3" t="s">
        <v>417</v>
      </c>
      <c r="G300" s="4">
        <f>POWER(10,D300)</f>
        <v>10.452822710020111</v>
      </c>
    </row>
    <row r="301" spans="1:7" x14ac:dyDescent="0.2">
      <c r="A301" s="3"/>
      <c r="B301" s="3"/>
      <c r="C301" s="4"/>
      <c r="D301" s="4"/>
      <c r="E301" s="4"/>
      <c r="F301" s="3"/>
      <c r="G301" s="4"/>
    </row>
    <row r="302" spans="1:7" x14ac:dyDescent="0.2">
      <c r="A302" s="3" t="s">
        <v>493</v>
      </c>
      <c r="B302" s="3" t="s">
        <v>498</v>
      </c>
      <c r="C302" s="4">
        <v>0.701651751995087</v>
      </c>
      <c r="D302" s="4">
        <v>1.2790112495422401</v>
      </c>
      <c r="E302" s="4">
        <v>0.32980221509933499</v>
      </c>
      <c r="F302" s="3" t="s">
        <v>417</v>
      </c>
      <c r="G302" s="4">
        <f>POWER(10,D302)</f>
        <v>19.011275242455053</v>
      </c>
    </row>
    <row r="303" spans="1:7" x14ac:dyDescent="0.2">
      <c r="A303" s="3" t="s">
        <v>493</v>
      </c>
      <c r="B303" s="3" t="s">
        <v>196</v>
      </c>
      <c r="C303" s="4">
        <v>0.66249793767929099</v>
      </c>
      <c r="D303" s="4">
        <v>-0.20374186336994199</v>
      </c>
      <c r="E303" s="4">
        <v>0.25911489129066501</v>
      </c>
      <c r="F303" s="3" t="s">
        <v>417</v>
      </c>
      <c r="G303" s="4">
        <f>POWER(10,D303)</f>
        <v>0.62554439434912779</v>
      </c>
    </row>
    <row r="304" spans="1:7" x14ac:dyDescent="0.2">
      <c r="A304" s="3" t="s">
        <v>493</v>
      </c>
      <c r="B304" s="3" t="s">
        <v>477</v>
      </c>
      <c r="C304" s="4">
        <v>0.679143607616425</v>
      </c>
      <c r="D304" s="4">
        <v>0.91756939888000499</v>
      </c>
      <c r="E304" s="4">
        <v>0.26115620136260997</v>
      </c>
      <c r="F304" s="3" t="s">
        <v>417</v>
      </c>
      <c r="G304" s="4">
        <f>POWER(10,D304)</f>
        <v>8.2712166942616943</v>
      </c>
    </row>
    <row r="305" spans="1:7" x14ac:dyDescent="0.2">
      <c r="A305" s="3" t="s">
        <v>493</v>
      </c>
      <c r="B305" s="3" t="s">
        <v>453</v>
      </c>
      <c r="C305" s="4">
        <v>0.694876909255981</v>
      </c>
      <c r="D305" s="4">
        <v>1.7055817842483501</v>
      </c>
      <c r="E305" s="4">
        <v>0.18948532640933999</v>
      </c>
      <c r="F305" s="3" t="s">
        <v>417</v>
      </c>
      <c r="G305" s="4">
        <f>POWER(10,D305)</f>
        <v>50.767033206340351</v>
      </c>
    </row>
    <row r="306" spans="1:7" x14ac:dyDescent="0.2">
      <c r="A306" s="3" t="s">
        <v>493</v>
      </c>
      <c r="B306" s="3" t="s">
        <v>454</v>
      </c>
      <c r="C306" s="4">
        <v>0.65132039785385099</v>
      </c>
      <c r="D306" s="4">
        <v>1.66628706455231</v>
      </c>
      <c r="E306" s="4">
        <v>0.47889816761016801</v>
      </c>
      <c r="F306" s="3" t="s">
        <v>417</v>
      </c>
      <c r="G306" s="4">
        <f>POWER(10,D306)</f>
        <v>46.375335503903806</v>
      </c>
    </row>
    <row r="307" spans="1:7" x14ac:dyDescent="0.2">
      <c r="A307" s="1"/>
      <c r="B307" s="1"/>
      <c r="C307" s="1"/>
      <c r="D307" s="1"/>
      <c r="E307" s="1"/>
      <c r="F307" s="1"/>
      <c r="G307" s="1"/>
    </row>
    <row r="308" spans="1:7" x14ac:dyDescent="0.2">
      <c r="A308" s="1"/>
      <c r="B308" s="1"/>
      <c r="C308" s="1"/>
      <c r="D308" s="1"/>
      <c r="E308" s="1"/>
      <c r="F308" s="1"/>
      <c r="G308" s="1"/>
    </row>
    <row r="309" spans="1:7" x14ac:dyDescent="0.2">
      <c r="A309" s="1"/>
      <c r="B309" s="1"/>
      <c r="C309" s="1"/>
      <c r="D309" s="1"/>
      <c r="E309" s="1"/>
      <c r="F309" s="1"/>
      <c r="G309" s="1"/>
    </row>
    <row r="310" spans="1:7" x14ac:dyDescent="0.2">
      <c r="A310" s="1"/>
      <c r="B310" s="1"/>
      <c r="C310" s="1"/>
      <c r="D310" s="1"/>
      <c r="E310" s="1"/>
      <c r="F310" s="1"/>
      <c r="G310" s="1"/>
    </row>
    <row r="311" spans="1:7" x14ac:dyDescent="0.2">
      <c r="A311" s="1"/>
      <c r="B311" s="1"/>
      <c r="C311" s="1"/>
      <c r="D311" s="1"/>
      <c r="E311" s="1"/>
      <c r="F311" s="1"/>
      <c r="G311" s="1"/>
    </row>
    <row r="312" spans="1:7" x14ac:dyDescent="0.2">
      <c r="A312" s="3" t="s">
        <v>62</v>
      </c>
      <c r="B312" s="3" t="s">
        <v>499</v>
      </c>
      <c r="C312" s="4">
        <v>0.80678957700729403</v>
      </c>
      <c r="D312" s="4">
        <v>0.46868878602981601</v>
      </c>
      <c r="E312" s="4">
        <v>0.87967497110366799</v>
      </c>
      <c r="F312" s="3" t="s">
        <v>417</v>
      </c>
      <c r="G312" s="4">
        <f>POWER(10,D312)</f>
        <v>2.9423124269398189</v>
      </c>
    </row>
    <row r="313" spans="1:7" x14ac:dyDescent="0.2">
      <c r="A313" s="3" t="s">
        <v>62</v>
      </c>
      <c r="B313" s="3" t="s">
        <v>53</v>
      </c>
      <c r="C313" s="4">
        <v>0.82023984193801902</v>
      </c>
      <c r="D313" s="4">
        <v>-0.62416064739227295</v>
      </c>
      <c r="E313" s="4">
        <v>0.45803630352020303</v>
      </c>
      <c r="F313" s="3" t="s">
        <v>417</v>
      </c>
      <c r="G313" s="4">
        <f>POWER(10,D313)</f>
        <v>0.23759612457951124</v>
      </c>
    </row>
    <row r="314" spans="1:7" x14ac:dyDescent="0.2">
      <c r="A314" s="3"/>
      <c r="B314" s="3"/>
      <c r="C314" s="4"/>
      <c r="D314" s="4"/>
      <c r="E314" s="4"/>
      <c r="F314" s="3"/>
      <c r="G314" s="4"/>
    </row>
    <row r="315" spans="1:7" x14ac:dyDescent="0.2">
      <c r="A315" s="3"/>
      <c r="B315" s="3"/>
      <c r="C315" s="4"/>
      <c r="D315" s="4"/>
      <c r="E315" s="4"/>
      <c r="F315" s="3"/>
      <c r="G315" s="4"/>
    </row>
    <row r="316" spans="1:7" x14ac:dyDescent="0.2">
      <c r="A316" s="3" t="s">
        <v>62</v>
      </c>
      <c r="B316" s="3" t="s">
        <v>500</v>
      </c>
      <c r="C316" s="4">
        <v>0.80912399291992199</v>
      </c>
      <c r="D316" s="4">
        <v>1.50373995304108</v>
      </c>
      <c r="E316" s="4">
        <v>0.164004817605019</v>
      </c>
      <c r="F316" s="3" t="s">
        <v>417</v>
      </c>
      <c r="G316" s="4">
        <f>POWER(10,D316)</f>
        <v>31.896273972918134</v>
      </c>
    </row>
    <row r="317" spans="1:7" x14ac:dyDescent="0.2">
      <c r="A317" s="3" t="s">
        <v>62</v>
      </c>
      <c r="B317" s="3" t="s">
        <v>33</v>
      </c>
      <c r="C317" s="4">
        <v>0.813421189785004</v>
      </c>
      <c r="D317" s="4">
        <v>0.98790061473846402</v>
      </c>
      <c r="E317" s="4">
        <v>0.87355673313140902</v>
      </c>
      <c r="F317" s="3" t="s">
        <v>417</v>
      </c>
      <c r="G317" s="4">
        <f>POWER(10,D317)</f>
        <v>9.7252464283196876</v>
      </c>
    </row>
    <row r="318" spans="1:7" x14ac:dyDescent="0.2">
      <c r="A318" s="3" t="s">
        <v>63</v>
      </c>
      <c r="B318" s="3" t="s">
        <v>479</v>
      </c>
      <c r="C318" s="4">
        <v>0.80280631780624401</v>
      </c>
      <c r="D318" s="4">
        <v>-0.87595450878143299</v>
      </c>
      <c r="E318" s="4">
        <v>0.89796668291091897</v>
      </c>
      <c r="F318" s="3" t="s">
        <v>417</v>
      </c>
      <c r="G318" s="4">
        <f>POWER(10,D318)</f>
        <v>0.13305937869206402</v>
      </c>
    </row>
    <row r="319" spans="1:7" x14ac:dyDescent="0.2">
      <c r="A319" s="3" t="s">
        <v>63</v>
      </c>
      <c r="B319" s="3" t="s">
        <v>19</v>
      </c>
      <c r="C319" s="4">
        <v>0.82990449666976895</v>
      </c>
      <c r="D319" s="4">
        <v>0.63075888156890902</v>
      </c>
      <c r="E319" s="4">
        <v>0.12302626669406901</v>
      </c>
      <c r="F319" s="3" t="s">
        <v>417</v>
      </c>
      <c r="G319" s="4">
        <f>POWER(10,D319)</f>
        <v>4.2732557095782902</v>
      </c>
    </row>
    <row r="320" spans="1:7" x14ac:dyDescent="0.2">
      <c r="A320" s="3" t="s">
        <v>63</v>
      </c>
      <c r="B320" s="3" t="s">
        <v>501</v>
      </c>
      <c r="C320" s="4">
        <v>0.82139313220977805</v>
      </c>
      <c r="D320" s="4">
        <v>-0.84891718626022294</v>
      </c>
      <c r="E320" s="4">
        <v>0.92646145820617698</v>
      </c>
      <c r="F320" s="3" t="s">
        <v>417</v>
      </c>
      <c r="G320" s="4">
        <f>POWER(10,D320)</f>
        <v>0.1416063777302079</v>
      </c>
    </row>
    <row r="321" spans="1:7" x14ac:dyDescent="0.2">
      <c r="A321" s="3" t="s">
        <v>63</v>
      </c>
      <c r="B321" s="3" t="s">
        <v>53</v>
      </c>
      <c r="C321" s="4">
        <v>0.83808326721191395</v>
      </c>
      <c r="D321" s="4">
        <v>-1.5090254545211801</v>
      </c>
      <c r="E321" s="4">
        <v>0.57836681604385398</v>
      </c>
      <c r="F321" s="3" t="s">
        <v>417</v>
      </c>
      <c r="G321" s="4">
        <f>POWER(10,D321)</f>
        <v>3.0972377610715311E-2</v>
      </c>
    </row>
    <row r="322" spans="1:7" x14ac:dyDescent="0.2">
      <c r="A322" s="3" t="s">
        <v>63</v>
      </c>
      <c r="B322" s="3" t="s">
        <v>480</v>
      </c>
      <c r="C322" s="4">
        <v>0.81067401170730602</v>
      </c>
      <c r="D322" s="4">
        <v>-1.11863470077515</v>
      </c>
      <c r="E322" s="4">
        <v>0.92513543367385898</v>
      </c>
      <c r="F322" s="3" t="s">
        <v>417</v>
      </c>
      <c r="G322" s="4">
        <f>POWER(10,D322)</f>
        <v>7.6096608116240513E-2</v>
      </c>
    </row>
    <row r="323" spans="1:7" x14ac:dyDescent="0.2">
      <c r="A323" s="3"/>
      <c r="B323" s="3"/>
      <c r="C323" s="4"/>
      <c r="D323" s="4"/>
      <c r="E323" s="4"/>
      <c r="F323" s="3"/>
      <c r="G323" s="4"/>
    </row>
    <row r="324" spans="1:7" x14ac:dyDescent="0.2">
      <c r="A324" s="3" t="s">
        <v>63</v>
      </c>
      <c r="B324" s="3" t="s">
        <v>502</v>
      </c>
      <c r="C324" s="4">
        <v>0.79380893707275402</v>
      </c>
      <c r="D324" s="4">
        <v>-1.7011129856109599</v>
      </c>
      <c r="E324" s="4">
        <v>0.73958629369735696</v>
      </c>
      <c r="F324" s="3" t="s">
        <v>417</v>
      </c>
      <c r="G324" s="4">
        <f>POWER(10,D324)</f>
        <v>1.9901555147960243E-2</v>
      </c>
    </row>
    <row r="325" spans="1:7" x14ac:dyDescent="0.2">
      <c r="A325" s="3" t="s">
        <v>66</v>
      </c>
      <c r="B325" s="3" t="s">
        <v>21</v>
      </c>
      <c r="C325" s="4">
        <v>0.80864399671554599</v>
      </c>
      <c r="D325" s="4">
        <v>0.19217862188816101</v>
      </c>
      <c r="E325" s="4">
        <v>0.27029168605804399</v>
      </c>
      <c r="F325" s="3" t="s">
        <v>417</v>
      </c>
      <c r="G325" s="4">
        <f>POWER(10,D325)</f>
        <v>1.5566057195950407</v>
      </c>
    </row>
    <row r="326" spans="1:7" x14ac:dyDescent="0.2">
      <c r="A326" s="1"/>
      <c r="B326" s="1"/>
      <c r="C326" s="1"/>
      <c r="D326" s="1"/>
      <c r="E326" s="1"/>
      <c r="F326" s="1"/>
      <c r="G326" s="1"/>
    </row>
    <row r="327" spans="1:7" x14ac:dyDescent="0.2">
      <c r="A327" s="1"/>
      <c r="B327" s="1"/>
      <c r="C327" s="1"/>
      <c r="D327" s="1"/>
      <c r="E327" s="1"/>
      <c r="F327" s="1"/>
      <c r="G327" s="1"/>
    </row>
    <row r="328" spans="1:7" x14ac:dyDescent="0.2">
      <c r="A328" s="1"/>
      <c r="B328" s="1"/>
      <c r="C328" s="1"/>
      <c r="D328" s="1"/>
      <c r="E328" s="1"/>
      <c r="F328" s="1"/>
      <c r="G328" s="1"/>
    </row>
    <row r="329" spans="1:7" x14ac:dyDescent="0.2">
      <c r="A329" s="1"/>
      <c r="B329" s="1"/>
      <c r="C329" s="1"/>
      <c r="D329" s="1"/>
      <c r="E329" s="1"/>
      <c r="F329" s="1"/>
      <c r="G329" s="1"/>
    </row>
    <row r="330" spans="1:7" x14ac:dyDescent="0.2">
      <c r="A330" s="3" t="s">
        <v>66</v>
      </c>
      <c r="B330" s="3" t="s">
        <v>475</v>
      </c>
      <c r="C330" s="4">
        <v>0.83505171537399303</v>
      </c>
      <c r="D330" s="4">
        <v>-1.1318955421447801</v>
      </c>
      <c r="E330" s="4">
        <v>0.82922279834747303</v>
      </c>
      <c r="F330" s="3" t="s">
        <v>503</v>
      </c>
      <c r="G330" s="4">
        <f>POWER(10,D330)</f>
        <v>7.3808173448833156E-2</v>
      </c>
    </row>
    <row r="331" spans="1:7" x14ac:dyDescent="0.2">
      <c r="A331" s="3"/>
      <c r="B331" s="3"/>
      <c r="C331" s="4"/>
      <c r="D331" s="4"/>
      <c r="E331" s="4"/>
      <c r="F331" s="3"/>
      <c r="G331" s="4"/>
    </row>
    <row r="332" spans="1:7" x14ac:dyDescent="0.2">
      <c r="A332" s="3"/>
      <c r="B332" s="3"/>
      <c r="C332" s="4"/>
      <c r="D332" s="4"/>
      <c r="E332" s="4"/>
      <c r="F332" s="3"/>
      <c r="G332" s="4"/>
    </row>
    <row r="333" spans="1:7" x14ac:dyDescent="0.2">
      <c r="A333" s="3" t="s">
        <v>67</v>
      </c>
      <c r="B333" s="3" t="s">
        <v>478</v>
      </c>
      <c r="C333" s="4">
        <v>0.94675821065902699</v>
      </c>
      <c r="D333" s="4">
        <v>-2.0629715919494598</v>
      </c>
      <c r="E333" s="4">
        <v>0.92216455936431896</v>
      </c>
      <c r="F333" s="3" t="s">
        <v>417</v>
      </c>
      <c r="G333" s="4">
        <f>POWER(10,D333)</f>
        <v>8.6502449986766289E-3</v>
      </c>
    </row>
    <row r="334" spans="1:7" x14ac:dyDescent="0.2">
      <c r="A334" s="3" t="s">
        <v>67</v>
      </c>
      <c r="B334" s="3" t="s">
        <v>504</v>
      </c>
      <c r="C334" s="4">
        <v>0.93821185827255305</v>
      </c>
      <c r="D334" s="4">
        <v>-1.6249634027481099</v>
      </c>
      <c r="E334" s="4">
        <v>0.94825261831283603</v>
      </c>
      <c r="F334" s="3" t="s">
        <v>417</v>
      </c>
      <c r="G334" s="4">
        <f>POWER(10,D334)</f>
        <v>2.3715735456807996E-2</v>
      </c>
    </row>
    <row r="335" spans="1:7" x14ac:dyDescent="0.2">
      <c r="A335" s="3"/>
      <c r="B335" s="3"/>
      <c r="C335" s="4"/>
      <c r="D335" s="4"/>
      <c r="E335" s="4"/>
      <c r="F335" s="3"/>
      <c r="G335" s="4"/>
    </row>
    <row r="336" spans="1:7" x14ac:dyDescent="0.2">
      <c r="A336" s="3" t="s">
        <v>67</v>
      </c>
      <c r="B336" s="3" t="s">
        <v>73</v>
      </c>
      <c r="C336" s="4">
        <v>0.96700042486190796</v>
      </c>
      <c r="D336" s="4">
        <v>1.8751312494278001</v>
      </c>
      <c r="E336" s="4">
        <v>0.46316912770271301</v>
      </c>
      <c r="F336" s="3" t="s">
        <v>417</v>
      </c>
      <c r="G336" s="4">
        <f>POWER(10,D336)</f>
        <v>75.012087134145631</v>
      </c>
    </row>
    <row r="337" spans="1:7" x14ac:dyDescent="0.2">
      <c r="A337" s="3"/>
      <c r="B337" s="3"/>
      <c r="C337" s="4"/>
      <c r="D337" s="4"/>
      <c r="E337" s="4"/>
      <c r="F337" s="3"/>
      <c r="G337" s="4"/>
    </row>
    <row r="338" spans="1:7" x14ac:dyDescent="0.2">
      <c r="A338" s="3"/>
      <c r="B338" s="3"/>
      <c r="C338" s="4"/>
      <c r="D338" s="4"/>
      <c r="E338" s="4"/>
      <c r="F338" s="3"/>
      <c r="G338" s="4"/>
    </row>
    <row r="339" spans="1:7" x14ac:dyDescent="0.2">
      <c r="A339" s="3" t="s">
        <v>67</v>
      </c>
      <c r="B339" s="3" t="s">
        <v>48</v>
      </c>
      <c r="C339" s="4">
        <v>0.96434515714645397</v>
      </c>
      <c r="D339" s="4">
        <v>2.4826726913452202</v>
      </c>
      <c r="E339" s="4">
        <v>0.43795260787010198</v>
      </c>
      <c r="F339" s="3" t="s">
        <v>417</v>
      </c>
      <c r="G339" s="4">
        <f>POWER(10,D339)</f>
        <v>303.85941077327561</v>
      </c>
    </row>
    <row r="340" spans="1:7" x14ac:dyDescent="0.2">
      <c r="A340" s="3"/>
      <c r="B340" s="3"/>
      <c r="C340" s="4"/>
      <c r="D340" s="4"/>
      <c r="E340" s="4"/>
      <c r="F340" s="3"/>
      <c r="G340" s="4"/>
    </row>
    <row r="341" spans="1:7" x14ac:dyDescent="0.2">
      <c r="A341" s="1"/>
      <c r="B341" s="1"/>
      <c r="C341" s="1"/>
      <c r="D341" s="1"/>
      <c r="E341" s="1"/>
      <c r="F341" s="1"/>
      <c r="G341" s="1"/>
    </row>
    <row r="342" spans="1:7" x14ac:dyDescent="0.2">
      <c r="A342" s="1"/>
      <c r="B342" s="1"/>
      <c r="C342" s="1"/>
      <c r="D342" s="1"/>
      <c r="E342" s="1"/>
      <c r="F342" s="1"/>
      <c r="G342" s="1"/>
    </row>
    <row r="343" spans="1:7" x14ac:dyDescent="0.2">
      <c r="A343" s="3" t="s">
        <v>67</v>
      </c>
      <c r="B343" s="3" t="s">
        <v>505</v>
      </c>
      <c r="C343" s="4">
        <v>0.96387016773223899</v>
      </c>
      <c r="D343" s="4">
        <v>-0.39818248152732899</v>
      </c>
      <c r="E343" s="4">
        <v>0.94662207365036</v>
      </c>
      <c r="F343" s="3" t="s">
        <v>417</v>
      </c>
      <c r="G343" s="4">
        <f>POWER(10,D343)</f>
        <v>0.39977673657856927</v>
      </c>
    </row>
    <row r="344" spans="1:7" x14ac:dyDescent="0.2">
      <c r="A344" s="1"/>
      <c r="B344" s="1"/>
      <c r="C344" s="1"/>
      <c r="D344" s="1"/>
      <c r="E344" s="1"/>
      <c r="F344" s="1"/>
      <c r="G344" s="1"/>
    </row>
    <row r="345" spans="1:7" x14ac:dyDescent="0.2">
      <c r="A345" s="3" t="s">
        <v>70</v>
      </c>
      <c r="B345" s="3" t="s">
        <v>111</v>
      </c>
      <c r="C345" s="4">
        <v>0.91852760314941395</v>
      </c>
      <c r="D345" s="4">
        <v>1.27481424808502</v>
      </c>
      <c r="E345" s="4">
        <v>0.87304997444152799</v>
      </c>
      <c r="F345" s="3" t="s">
        <v>417</v>
      </c>
      <c r="G345" s="4">
        <f>POWER(10,D345)</f>
        <v>18.828436069778022</v>
      </c>
    </row>
    <row r="346" spans="1:7" x14ac:dyDescent="0.2">
      <c r="A346" s="1"/>
      <c r="B346" s="1"/>
      <c r="C346" s="1"/>
      <c r="D346" s="1"/>
      <c r="E346" s="1"/>
      <c r="F346" s="1"/>
      <c r="G346" s="1"/>
    </row>
    <row r="347" spans="1:7" x14ac:dyDescent="0.2">
      <c r="A347" s="1"/>
      <c r="B347" s="1"/>
      <c r="C347" s="1"/>
      <c r="D347" s="1"/>
      <c r="E347" s="1"/>
      <c r="F347" s="1"/>
      <c r="G347" s="1"/>
    </row>
    <row r="348" spans="1:7" x14ac:dyDescent="0.2">
      <c r="A348" s="1"/>
      <c r="B348" s="1"/>
      <c r="C348" s="1"/>
      <c r="D348" s="1"/>
      <c r="E348" s="1"/>
      <c r="F348" s="1"/>
      <c r="G348" s="1"/>
    </row>
    <row r="349" spans="1:7" x14ac:dyDescent="0.2">
      <c r="A349" s="1"/>
      <c r="B349" s="1"/>
      <c r="C349" s="1"/>
      <c r="D349" s="1"/>
      <c r="E349" s="1"/>
      <c r="F349" s="1"/>
      <c r="G349" s="1"/>
    </row>
    <row r="350" spans="1:7" x14ac:dyDescent="0.2">
      <c r="A350" s="3" t="s">
        <v>70</v>
      </c>
      <c r="B350" s="3" t="s">
        <v>504</v>
      </c>
      <c r="C350" s="4">
        <v>0.90771579742431596</v>
      </c>
      <c r="D350" s="4">
        <v>-0.56267595291137695</v>
      </c>
      <c r="E350" s="4">
        <v>0.86978071928024303</v>
      </c>
      <c r="F350" s="3" t="s">
        <v>417</v>
      </c>
      <c r="G350" s="4">
        <f>POWER(10,D350)</f>
        <v>0.27373103977117352</v>
      </c>
    </row>
    <row r="351" spans="1:7" x14ac:dyDescent="0.2">
      <c r="A351" s="1"/>
      <c r="B351" s="1"/>
      <c r="C351" s="1"/>
      <c r="D351" s="1"/>
      <c r="E351" s="1"/>
      <c r="F351" s="1"/>
      <c r="G351" s="1"/>
    </row>
    <row r="352" spans="1:7" x14ac:dyDescent="0.2">
      <c r="A352" s="1"/>
      <c r="B352" s="1"/>
      <c r="C352" s="1"/>
      <c r="D352" s="1"/>
      <c r="E352" s="1"/>
      <c r="F352" s="1"/>
      <c r="G352" s="1"/>
    </row>
    <row r="353" spans="1:7" x14ac:dyDescent="0.2">
      <c r="A353" s="1"/>
      <c r="B353" s="1"/>
      <c r="C353" s="1"/>
      <c r="D353" s="1"/>
      <c r="E353" s="1"/>
      <c r="F353" s="1"/>
      <c r="G353" s="1"/>
    </row>
    <row r="354" spans="1:7" x14ac:dyDescent="0.2">
      <c r="A354" s="1"/>
      <c r="B354" s="1"/>
      <c r="C354" s="1"/>
      <c r="D354" s="1"/>
      <c r="E354" s="1"/>
      <c r="F354" s="1"/>
      <c r="G354" s="1"/>
    </row>
    <row r="355" spans="1:7" x14ac:dyDescent="0.2">
      <c r="A355" s="3" t="s">
        <v>70</v>
      </c>
      <c r="B355" s="3" t="s">
        <v>437</v>
      </c>
      <c r="C355" s="4">
        <v>0.92558538913726796</v>
      </c>
      <c r="D355" s="4">
        <v>0.59586268663406405</v>
      </c>
      <c r="E355" s="4">
        <v>0.82911980152130105</v>
      </c>
      <c r="F355" s="3" t="s">
        <v>417</v>
      </c>
      <c r="G355" s="4">
        <f>POWER(10,D355)</f>
        <v>3.9433260397223244</v>
      </c>
    </row>
    <row r="356" spans="1:7" x14ac:dyDescent="0.2">
      <c r="A356" s="1"/>
      <c r="B356" s="1"/>
      <c r="C356" s="1"/>
      <c r="D356" s="1"/>
      <c r="E356" s="1"/>
      <c r="F356" s="1"/>
      <c r="G356" s="1"/>
    </row>
    <row r="357" spans="1:7" x14ac:dyDescent="0.2">
      <c r="A357" s="1"/>
      <c r="B357" s="1"/>
      <c r="C357" s="1"/>
      <c r="D357" s="1"/>
      <c r="E357" s="1"/>
      <c r="F357" s="1"/>
      <c r="G357" s="1"/>
    </row>
    <row r="358" spans="1:7" x14ac:dyDescent="0.2">
      <c r="A358" s="1"/>
      <c r="B358" s="1"/>
      <c r="C358" s="1"/>
      <c r="D358" s="1"/>
      <c r="E358" s="1"/>
      <c r="F358" s="1"/>
      <c r="G358" s="1"/>
    </row>
    <row r="359" spans="1:7" x14ac:dyDescent="0.2">
      <c r="A359" s="1"/>
      <c r="B359" s="1"/>
      <c r="C359" s="1"/>
      <c r="D359" s="1"/>
      <c r="E359" s="1"/>
      <c r="F359" s="1"/>
      <c r="G359" s="1"/>
    </row>
    <row r="360" spans="1:7" x14ac:dyDescent="0.2">
      <c r="A360" s="1"/>
      <c r="B360" s="1"/>
      <c r="C360" s="1"/>
      <c r="D360" s="1"/>
      <c r="E360" s="1"/>
      <c r="F360" s="1"/>
      <c r="G360" s="1"/>
    </row>
    <row r="361" spans="1:7" x14ac:dyDescent="0.2">
      <c r="A361" s="1"/>
      <c r="B361" s="1"/>
      <c r="C361" s="1"/>
      <c r="D361" s="1"/>
      <c r="E361" s="1"/>
      <c r="F361" s="1"/>
      <c r="G361" s="1"/>
    </row>
    <row r="362" spans="1:7" x14ac:dyDescent="0.2">
      <c r="A362" s="3" t="s">
        <v>75</v>
      </c>
      <c r="B362" s="3" t="s">
        <v>111</v>
      </c>
      <c r="C362" s="4">
        <v>0.83770716190338101</v>
      </c>
      <c r="D362" s="4">
        <v>0.77600455284118697</v>
      </c>
      <c r="E362" s="4">
        <v>0.62240946292877197</v>
      </c>
      <c r="F362" s="3" t="s">
        <v>417</v>
      </c>
      <c r="G362" s="4">
        <f>POWER(10,D362)</f>
        <v>5.9704154551920006</v>
      </c>
    </row>
    <row r="363" spans="1:7" x14ac:dyDescent="0.2">
      <c r="A363" s="1"/>
      <c r="B363" s="1"/>
      <c r="C363" s="1"/>
      <c r="D363" s="1"/>
      <c r="E363" s="1"/>
      <c r="F363" s="1"/>
      <c r="G363" s="1"/>
    </row>
    <row r="364" spans="1:7" x14ac:dyDescent="0.2">
      <c r="A364" s="1"/>
      <c r="B364" s="1"/>
      <c r="C364" s="1"/>
      <c r="D364" s="1"/>
      <c r="E364" s="1"/>
      <c r="F364" s="1"/>
      <c r="G364" s="1"/>
    </row>
    <row r="365" spans="1:7" x14ac:dyDescent="0.2">
      <c r="A365" s="1"/>
      <c r="B365" s="1"/>
      <c r="C365" s="1"/>
      <c r="D365" s="1"/>
      <c r="E365" s="1"/>
      <c r="F365" s="1"/>
      <c r="G365" s="1"/>
    </row>
    <row r="366" spans="1:7" x14ac:dyDescent="0.2">
      <c r="A366" s="1"/>
      <c r="B366" s="1"/>
      <c r="C366" s="1"/>
      <c r="D366" s="1"/>
      <c r="E366" s="1"/>
      <c r="F366" s="1"/>
      <c r="G366" s="1"/>
    </row>
    <row r="367" spans="1:7" x14ac:dyDescent="0.2">
      <c r="A367" s="1"/>
      <c r="B367" s="1"/>
      <c r="C367" s="1"/>
      <c r="D367" s="1"/>
      <c r="E367" s="1"/>
      <c r="F367" s="1"/>
      <c r="G367" s="1"/>
    </row>
    <row r="368" spans="1:7" x14ac:dyDescent="0.2">
      <c r="A368" s="1"/>
      <c r="B368" s="1"/>
      <c r="C368" s="1"/>
      <c r="D368" s="1"/>
      <c r="E368" s="1"/>
      <c r="F368" s="1"/>
      <c r="G368" s="1"/>
    </row>
    <row r="369" spans="1:7" x14ac:dyDescent="0.2">
      <c r="A369" s="3" t="s">
        <v>75</v>
      </c>
      <c r="B369" s="3" t="s">
        <v>504</v>
      </c>
      <c r="C369" s="4">
        <v>0.828097283840179</v>
      </c>
      <c r="D369" s="4">
        <v>-0.52626156806945801</v>
      </c>
      <c r="E369" s="4">
        <v>0.85743087530136097</v>
      </c>
      <c r="F369" s="3" t="s">
        <v>417</v>
      </c>
      <c r="G369" s="4">
        <f>POWER(10,D369)</f>
        <v>0.29767230605120548</v>
      </c>
    </row>
    <row r="370" spans="1:7" x14ac:dyDescent="0.2">
      <c r="A370" s="1"/>
      <c r="B370" s="1"/>
      <c r="C370" s="1"/>
      <c r="D370" s="1"/>
      <c r="E370" s="1"/>
      <c r="F370" s="1"/>
      <c r="G370" s="1"/>
    </row>
    <row r="371" spans="1:7" x14ac:dyDescent="0.2">
      <c r="A371" s="1"/>
      <c r="B371" s="1"/>
      <c r="C371" s="1"/>
      <c r="D371" s="1"/>
      <c r="E371" s="1"/>
      <c r="F371" s="1"/>
      <c r="G371" s="1"/>
    </row>
    <row r="372" spans="1:7" x14ac:dyDescent="0.2">
      <c r="A372" s="1"/>
      <c r="B372" s="1"/>
      <c r="C372" s="1"/>
      <c r="D372" s="1"/>
      <c r="E372" s="1"/>
      <c r="F372" s="1"/>
      <c r="G372" s="1"/>
    </row>
    <row r="373" spans="1:7" x14ac:dyDescent="0.2">
      <c r="A373" s="1"/>
      <c r="B373" s="1"/>
      <c r="C373" s="1"/>
      <c r="D373" s="1"/>
      <c r="E373" s="1"/>
      <c r="F373" s="1"/>
      <c r="G373" s="1"/>
    </row>
    <row r="374" spans="1:7" x14ac:dyDescent="0.2">
      <c r="A374" s="1"/>
      <c r="B374" s="1"/>
      <c r="C374" s="1"/>
      <c r="D374" s="1"/>
      <c r="E374" s="1"/>
      <c r="F374" s="1"/>
      <c r="G374" s="1"/>
    </row>
    <row r="375" spans="1:7" x14ac:dyDescent="0.2">
      <c r="A375" s="1"/>
      <c r="B375" s="1"/>
      <c r="C375" s="1"/>
      <c r="D375" s="1"/>
      <c r="E375" s="1"/>
      <c r="F375" s="1"/>
      <c r="G375" s="1"/>
    </row>
    <row r="376" spans="1:7" x14ac:dyDescent="0.2">
      <c r="A376" s="1"/>
      <c r="B376" s="1"/>
      <c r="C376" s="1"/>
      <c r="D376" s="1"/>
      <c r="E376" s="1"/>
      <c r="F376" s="1"/>
      <c r="G376" s="1"/>
    </row>
    <row r="377" spans="1:7" x14ac:dyDescent="0.2">
      <c r="A377" s="1"/>
      <c r="B377" s="1"/>
      <c r="C377" s="1"/>
      <c r="D377" s="1"/>
      <c r="E377" s="1"/>
      <c r="F377" s="1"/>
      <c r="G377" s="1"/>
    </row>
    <row r="378" spans="1:7" x14ac:dyDescent="0.2">
      <c r="A378" s="1"/>
      <c r="B378" s="1"/>
      <c r="C378" s="1"/>
      <c r="D378" s="1"/>
      <c r="E378" s="1"/>
      <c r="F378" s="1"/>
      <c r="G378" s="1"/>
    </row>
    <row r="379" spans="1:7" x14ac:dyDescent="0.2">
      <c r="A379" s="1"/>
      <c r="B379" s="1"/>
      <c r="C379" s="1"/>
      <c r="D379" s="1"/>
      <c r="E379" s="1"/>
      <c r="F379" s="1"/>
      <c r="G379" s="1"/>
    </row>
    <row r="380" spans="1:7" x14ac:dyDescent="0.2">
      <c r="A380" s="1"/>
      <c r="B380" s="1"/>
      <c r="C380" s="1"/>
      <c r="D380" s="1"/>
      <c r="E380" s="1"/>
      <c r="F380" s="1"/>
      <c r="G380" s="1"/>
    </row>
    <row r="381" spans="1:7" x14ac:dyDescent="0.2">
      <c r="A381" s="1"/>
      <c r="B381" s="1"/>
      <c r="C381" s="1"/>
      <c r="D381" s="1"/>
      <c r="E381" s="1"/>
      <c r="F381" s="1"/>
      <c r="G381" s="1"/>
    </row>
    <row r="382" spans="1:7" x14ac:dyDescent="0.2">
      <c r="A382" s="3" t="s">
        <v>75</v>
      </c>
      <c r="B382" s="3" t="s">
        <v>505</v>
      </c>
      <c r="C382" s="4">
        <v>0.85503262281417902</v>
      </c>
      <c r="D382" s="4">
        <v>-0.48533380031585699</v>
      </c>
      <c r="E382" s="4">
        <v>0.93848943710327204</v>
      </c>
      <c r="F382" s="3" t="s">
        <v>417</v>
      </c>
      <c r="G382" s="4">
        <f>POWER(10,D382)</f>
        <v>0.32708919629581573</v>
      </c>
    </row>
    <row r="383" spans="1:7" x14ac:dyDescent="0.2">
      <c r="A383" s="1"/>
      <c r="B383" s="1"/>
      <c r="C383" s="1"/>
      <c r="D383" s="1"/>
      <c r="E383" s="1"/>
      <c r="F383" s="1"/>
      <c r="G383" s="1"/>
    </row>
    <row r="384" spans="1:7" x14ac:dyDescent="0.2">
      <c r="A384" s="3" t="s">
        <v>76</v>
      </c>
      <c r="B384" s="3" t="s">
        <v>506</v>
      </c>
      <c r="C384" s="4">
        <v>0.71077162027358998</v>
      </c>
      <c r="D384" s="4">
        <v>0.72331792116165206</v>
      </c>
      <c r="E384" s="4">
        <v>0.20145455002784701</v>
      </c>
      <c r="F384" s="3" t="s">
        <v>417</v>
      </c>
      <c r="G384" s="4">
        <f>POWER(10,D384)</f>
        <v>5.2883223674313902</v>
      </c>
    </row>
    <row r="385" spans="1:7" x14ac:dyDescent="0.2">
      <c r="A385" s="3"/>
      <c r="B385" s="3"/>
      <c r="C385" s="4"/>
      <c r="D385" s="4"/>
      <c r="E385" s="4"/>
      <c r="F385" s="3"/>
      <c r="G385" s="4"/>
    </row>
    <row r="386" spans="1:7" x14ac:dyDescent="0.2">
      <c r="A386" s="3"/>
      <c r="B386" s="3"/>
      <c r="C386" s="4"/>
      <c r="D386" s="4"/>
      <c r="E386" s="4"/>
      <c r="F386" s="3"/>
      <c r="G386" s="4"/>
    </row>
    <row r="387" spans="1:7" x14ac:dyDescent="0.2">
      <c r="A387" s="3" t="s">
        <v>76</v>
      </c>
      <c r="B387" s="3" t="s">
        <v>507</v>
      </c>
      <c r="C387" s="4">
        <v>0.71963995695114102</v>
      </c>
      <c r="D387" s="4">
        <v>0.56262511014938399</v>
      </c>
      <c r="E387" s="4">
        <v>0.25219902396202099</v>
      </c>
      <c r="F387" s="3" t="s">
        <v>417</v>
      </c>
      <c r="G387" s="4">
        <f>POWER(10,D387)</f>
        <v>3.6527934059009319</v>
      </c>
    </row>
    <row r="388" spans="1:7" x14ac:dyDescent="0.2">
      <c r="A388" s="3" t="s">
        <v>76</v>
      </c>
      <c r="B388" s="3" t="s">
        <v>491</v>
      </c>
      <c r="C388" s="4">
        <v>0.744140625</v>
      </c>
      <c r="D388" s="4">
        <v>-0.39750078320503202</v>
      </c>
      <c r="E388" s="4">
        <v>0.60314714908599898</v>
      </c>
      <c r="F388" s="3" t="s">
        <v>417</v>
      </c>
      <c r="G388" s="4">
        <f>POWER(10,D388)</f>
        <v>0.40040474624148475</v>
      </c>
    </row>
    <row r="389" spans="1:7" x14ac:dyDescent="0.2">
      <c r="A389" s="3" t="s">
        <v>76</v>
      </c>
      <c r="B389" s="3" t="s">
        <v>508</v>
      </c>
      <c r="C389" s="4">
        <v>0.71153467893600497</v>
      </c>
      <c r="D389" s="4">
        <v>-0.37564051151275601</v>
      </c>
      <c r="E389" s="4">
        <v>0.59984618425369296</v>
      </c>
      <c r="F389" s="3" t="s">
        <v>417</v>
      </c>
      <c r="G389" s="4">
        <f>POWER(10,D389)</f>
        <v>0.42107503021792514</v>
      </c>
    </row>
    <row r="390" spans="1:7" x14ac:dyDescent="0.2">
      <c r="A390" s="3"/>
      <c r="B390" s="3"/>
      <c r="C390" s="4"/>
      <c r="D390" s="4"/>
      <c r="E390" s="4"/>
      <c r="F390" s="3"/>
      <c r="G390" s="4"/>
    </row>
    <row r="391" spans="1:7" x14ac:dyDescent="0.2">
      <c r="A391" s="3" t="s">
        <v>509</v>
      </c>
      <c r="B391" s="3" t="s">
        <v>456</v>
      </c>
      <c r="C391" s="4">
        <v>0.80681794881820701</v>
      </c>
      <c r="D391" s="4">
        <v>1.3740479946136499</v>
      </c>
      <c r="E391" s="4">
        <v>0.107939645648003</v>
      </c>
      <c r="F391" s="3" t="s">
        <v>417</v>
      </c>
      <c r="G391" s="4">
        <f>POWER(10,D391)</f>
        <v>23.66181173698671</v>
      </c>
    </row>
    <row r="392" spans="1:7" x14ac:dyDescent="0.2">
      <c r="A392" s="3" t="s">
        <v>509</v>
      </c>
      <c r="B392" s="3" t="s">
        <v>10</v>
      </c>
      <c r="C392" s="4">
        <v>0.80044394731521595</v>
      </c>
      <c r="D392" s="4">
        <v>-0.49869167804718001</v>
      </c>
      <c r="E392" s="4">
        <v>0.77122306823730502</v>
      </c>
      <c r="F392" s="3" t="s">
        <v>417</v>
      </c>
      <c r="G392" s="4">
        <f>POWER(10,D392)</f>
        <v>0.31718184568849606</v>
      </c>
    </row>
    <row r="393" spans="1:7" x14ac:dyDescent="0.2">
      <c r="A393" s="3" t="s">
        <v>510</v>
      </c>
      <c r="B393" s="3" t="s">
        <v>505</v>
      </c>
      <c r="C393" s="4">
        <v>0.81832522153854403</v>
      </c>
      <c r="D393" s="4">
        <v>2.58389043807983</v>
      </c>
      <c r="E393" s="4">
        <v>4.0758099406957599E-2</v>
      </c>
      <c r="F393" s="3" t="s">
        <v>417</v>
      </c>
      <c r="G393" s="4">
        <f>POWER(10,D393)</f>
        <v>383.61045770887364</v>
      </c>
    </row>
    <row r="394" spans="1:7" x14ac:dyDescent="0.2">
      <c r="A394" s="3" t="s">
        <v>511</v>
      </c>
      <c r="B394" s="3" t="s">
        <v>37</v>
      </c>
      <c r="C394" s="4">
        <v>0.88363945484161399</v>
      </c>
      <c r="D394" s="4">
        <v>0.80251729488372803</v>
      </c>
      <c r="E394" s="4">
        <v>0.45056241750717202</v>
      </c>
      <c r="F394" s="3" t="s">
        <v>417</v>
      </c>
      <c r="G394" s="4">
        <f>POWER(10,D394)</f>
        <v>6.3462517311919466</v>
      </c>
    </row>
    <row r="395" spans="1:7" x14ac:dyDescent="0.2">
      <c r="A395" s="3" t="s">
        <v>511</v>
      </c>
      <c r="B395" s="3" t="s">
        <v>84</v>
      </c>
      <c r="C395" s="4">
        <v>0.89789736270904497</v>
      </c>
      <c r="D395" s="4">
        <v>0.83883011341095004</v>
      </c>
      <c r="E395" s="4">
        <v>0.54665732383728005</v>
      </c>
      <c r="F395" s="3" t="s">
        <v>417</v>
      </c>
      <c r="G395" s="4">
        <f>POWER(10,D395)</f>
        <v>6.8996984979176821</v>
      </c>
    </row>
    <row r="396" spans="1:7" x14ac:dyDescent="0.2">
      <c r="A396" s="3" t="s">
        <v>511</v>
      </c>
      <c r="B396" s="3" t="s">
        <v>102</v>
      </c>
      <c r="C396" s="4">
        <v>0.88444632291793801</v>
      </c>
      <c r="D396" s="4">
        <v>0.536146700382233</v>
      </c>
      <c r="E396" s="4">
        <v>0.39893776178360002</v>
      </c>
      <c r="F396" s="3" t="s">
        <v>417</v>
      </c>
      <c r="G396" s="4">
        <f>POWER(10,D396)</f>
        <v>3.4367401798056849</v>
      </c>
    </row>
    <row r="397" spans="1:7" x14ac:dyDescent="0.2">
      <c r="A397" s="3" t="s">
        <v>78</v>
      </c>
      <c r="B397" s="3" t="s">
        <v>512</v>
      </c>
      <c r="C397" s="4">
        <v>0.95152837038040206</v>
      </c>
      <c r="D397" s="4">
        <v>-1.40058410167694</v>
      </c>
      <c r="E397" s="4">
        <v>0.798969626426697</v>
      </c>
      <c r="F397" s="3" t="s">
        <v>417</v>
      </c>
      <c r="G397" s="4">
        <f>POWER(10,D397)</f>
        <v>3.9757209867856698E-2</v>
      </c>
    </row>
    <row r="398" spans="1:7" x14ac:dyDescent="0.2">
      <c r="A398" s="1"/>
      <c r="B398" s="1"/>
      <c r="C398" s="1"/>
      <c r="D398" s="1"/>
      <c r="E398" s="1"/>
      <c r="F398" s="1"/>
      <c r="G398" s="1"/>
    </row>
    <row r="399" spans="1:7" x14ac:dyDescent="0.2">
      <c r="A399" s="1"/>
      <c r="B399" s="1"/>
      <c r="C399" s="1"/>
      <c r="D399" s="1"/>
      <c r="E399" s="1"/>
      <c r="F399" s="1"/>
      <c r="G399" s="1"/>
    </row>
    <row r="400" spans="1:7" x14ac:dyDescent="0.2">
      <c r="A400" s="1"/>
      <c r="B400" s="1"/>
      <c r="C400" s="1"/>
      <c r="D400" s="1"/>
      <c r="E400" s="1"/>
      <c r="F400" s="1"/>
      <c r="G400" s="1"/>
    </row>
    <row r="401" spans="1:7" x14ac:dyDescent="0.2">
      <c r="A401" s="1"/>
      <c r="B401" s="1"/>
      <c r="C401" s="1"/>
      <c r="D401" s="1"/>
      <c r="E401" s="1"/>
      <c r="F401" s="1"/>
      <c r="G401" s="1"/>
    </row>
    <row r="402" spans="1:7" x14ac:dyDescent="0.2">
      <c r="A402" s="1"/>
      <c r="B402" s="1"/>
      <c r="C402" s="1"/>
      <c r="D402" s="1"/>
      <c r="E402" s="1"/>
      <c r="F402" s="1"/>
      <c r="G402" s="1"/>
    </row>
    <row r="403" spans="1:7" x14ac:dyDescent="0.2">
      <c r="A403" s="1"/>
      <c r="B403" s="1"/>
      <c r="C403" s="1"/>
      <c r="D403" s="1"/>
      <c r="E403" s="1"/>
      <c r="F403" s="1"/>
      <c r="G403" s="1"/>
    </row>
    <row r="404" spans="1:7" x14ac:dyDescent="0.2">
      <c r="A404" s="1"/>
      <c r="B404" s="1"/>
      <c r="C404" s="1"/>
      <c r="D404" s="1"/>
      <c r="E404" s="1"/>
      <c r="F404" s="1"/>
      <c r="G404" s="1"/>
    </row>
    <row r="405" spans="1:7" x14ac:dyDescent="0.2">
      <c r="A405" s="3" t="s">
        <v>86</v>
      </c>
      <c r="B405" s="3" t="s">
        <v>19</v>
      </c>
      <c r="C405" s="4">
        <v>0.93385642766952504</v>
      </c>
      <c r="D405" s="4">
        <v>1.0348482131957999</v>
      </c>
      <c r="E405" s="4">
        <v>0.39346796274185197</v>
      </c>
      <c r="F405" s="3" t="s">
        <v>417</v>
      </c>
      <c r="G405" s="4">
        <f>POWER(10,D405)</f>
        <v>10.835481455555239</v>
      </c>
    </row>
    <row r="406" spans="1:7" x14ac:dyDescent="0.2">
      <c r="A406" s="3" t="s">
        <v>86</v>
      </c>
      <c r="B406" s="3" t="s">
        <v>20</v>
      </c>
      <c r="C406" s="4">
        <v>0.93747329711914096</v>
      </c>
      <c r="D406" s="4">
        <v>0.21649205684661901</v>
      </c>
      <c r="E406" s="4">
        <v>0.77194058895111095</v>
      </c>
      <c r="F406" s="3" t="s">
        <v>417</v>
      </c>
      <c r="G406" s="4">
        <f>POWER(10,D406)</f>
        <v>1.6462358567504916</v>
      </c>
    </row>
    <row r="407" spans="1:7" x14ac:dyDescent="0.2">
      <c r="A407" s="3"/>
      <c r="B407" s="3"/>
      <c r="C407" s="4"/>
      <c r="D407" s="4"/>
      <c r="E407" s="4"/>
      <c r="F407" s="3"/>
      <c r="G407" s="4"/>
    </row>
    <row r="408" spans="1:7" x14ac:dyDescent="0.2">
      <c r="A408" s="3" t="s">
        <v>86</v>
      </c>
      <c r="B408" s="3" t="s">
        <v>513</v>
      </c>
      <c r="C408" s="4">
        <v>0.94140720367431596</v>
      </c>
      <c r="D408" s="4">
        <v>0.50590872764587402</v>
      </c>
      <c r="E408" s="4">
        <v>0.75546425580978405</v>
      </c>
      <c r="F408" s="3" t="s">
        <v>417</v>
      </c>
      <c r="G408" s="4">
        <f>POWER(10,D408)</f>
        <v>3.20559555817362</v>
      </c>
    </row>
    <row r="409" spans="1:7" x14ac:dyDescent="0.2">
      <c r="A409" s="3" t="s">
        <v>86</v>
      </c>
      <c r="B409" s="3" t="s">
        <v>514</v>
      </c>
      <c r="C409" s="4">
        <v>0.94035691022872903</v>
      </c>
      <c r="D409" s="4">
        <v>0.51711535453796398</v>
      </c>
      <c r="E409" s="4">
        <v>0.80227959156036399</v>
      </c>
      <c r="F409" s="3" t="s">
        <v>417</v>
      </c>
      <c r="G409" s="4">
        <f>POWER(10,D409)</f>
        <v>3.2893898995589179</v>
      </c>
    </row>
    <row r="410" spans="1:7" x14ac:dyDescent="0.2">
      <c r="A410" s="3" t="s">
        <v>86</v>
      </c>
      <c r="B410" s="3" t="s">
        <v>451</v>
      </c>
      <c r="C410" s="4">
        <v>0.93673229217529297</v>
      </c>
      <c r="D410" s="4">
        <v>-1.06905972957611</v>
      </c>
      <c r="E410" s="4">
        <v>0.78696942329406705</v>
      </c>
      <c r="F410" s="3" t="s">
        <v>417</v>
      </c>
      <c r="G410" s="4">
        <f>POWER(10,D410)</f>
        <v>8.5298279315243974E-2</v>
      </c>
    </row>
    <row r="411" spans="1:7" x14ac:dyDescent="0.2">
      <c r="A411" s="3" t="s">
        <v>86</v>
      </c>
      <c r="B411" s="3" t="s">
        <v>449</v>
      </c>
      <c r="C411" s="4">
        <v>0.93504458665847801</v>
      </c>
      <c r="D411" s="4">
        <v>0.71169829368591297</v>
      </c>
      <c r="E411" s="4">
        <v>0.30322790145874001</v>
      </c>
      <c r="F411" s="3" t="s">
        <v>417</v>
      </c>
      <c r="G411" s="4">
        <f>POWER(10,D411)</f>
        <v>5.1487083724335427</v>
      </c>
    </row>
    <row r="412" spans="1:7" x14ac:dyDescent="0.2">
      <c r="A412" s="3" t="s">
        <v>86</v>
      </c>
      <c r="B412" s="3" t="s">
        <v>515</v>
      </c>
      <c r="C412" s="4">
        <v>0.93549627065658603</v>
      </c>
      <c r="D412" s="4">
        <v>2.39229393005371</v>
      </c>
      <c r="E412" s="4">
        <v>0.72091412544250499</v>
      </c>
      <c r="F412" s="3" t="s">
        <v>417</v>
      </c>
      <c r="G412" s="4">
        <f>POWER(10,D412)</f>
        <v>246.77089150137604</v>
      </c>
    </row>
    <row r="413" spans="1:7" x14ac:dyDescent="0.2">
      <c r="A413" s="3"/>
      <c r="B413" s="3"/>
      <c r="C413" s="4"/>
      <c r="D413" s="4"/>
      <c r="E413" s="4"/>
      <c r="F413" s="3"/>
      <c r="G413" s="4"/>
    </row>
    <row r="414" spans="1:7" x14ac:dyDescent="0.2">
      <c r="A414" s="3"/>
      <c r="B414" s="3"/>
      <c r="C414" s="4"/>
      <c r="D414" s="4"/>
      <c r="E414" s="4"/>
      <c r="F414" s="3"/>
      <c r="G414" s="4"/>
    </row>
    <row r="415" spans="1:7" x14ac:dyDescent="0.2">
      <c r="A415" s="3" t="s">
        <v>86</v>
      </c>
      <c r="B415" s="3" t="s">
        <v>496</v>
      </c>
      <c r="C415" s="4">
        <v>0.92751663923263605</v>
      </c>
      <c r="D415" s="4">
        <v>1.6540833711624101</v>
      </c>
      <c r="E415" s="4">
        <v>0.101567707955837</v>
      </c>
      <c r="F415" s="3" t="s">
        <v>417</v>
      </c>
      <c r="G415" s="4">
        <f>POWER(10,D415)</f>
        <v>45.090325576898131</v>
      </c>
    </row>
    <row r="416" spans="1:7" x14ac:dyDescent="0.2">
      <c r="A416" s="3" t="s">
        <v>86</v>
      </c>
      <c r="B416" s="3" t="s">
        <v>516</v>
      </c>
      <c r="C416" s="4">
        <v>0.94474536180496205</v>
      </c>
      <c r="D416" s="4">
        <v>0.61777371168136597</v>
      </c>
      <c r="E416" s="4">
        <v>0.65346670150756803</v>
      </c>
      <c r="F416" s="3" t="s">
        <v>417</v>
      </c>
      <c r="G416" s="4">
        <f>POWER(10,D416)</f>
        <v>4.1473788793343065</v>
      </c>
    </row>
    <row r="417" spans="1:7" x14ac:dyDescent="0.2">
      <c r="A417" s="3"/>
      <c r="B417" s="3"/>
      <c r="C417" s="4"/>
      <c r="D417" s="4"/>
      <c r="E417" s="4"/>
      <c r="F417" s="3"/>
      <c r="G417" s="4"/>
    </row>
    <row r="418" spans="1:7" x14ac:dyDescent="0.2">
      <c r="A418" s="3"/>
      <c r="B418" s="3"/>
      <c r="C418" s="4"/>
      <c r="D418" s="4"/>
      <c r="E418" s="4"/>
      <c r="F418" s="3"/>
      <c r="G418" s="4"/>
    </row>
    <row r="419" spans="1:7" x14ac:dyDescent="0.2">
      <c r="A419" s="3" t="s">
        <v>86</v>
      </c>
      <c r="B419" s="3" t="s">
        <v>517</v>
      </c>
      <c r="C419" s="4">
        <v>0.925864398479462</v>
      </c>
      <c r="D419" s="4">
        <v>1.1115533113479601</v>
      </c>
      <c r="E419" s="4">
        <v>0.241670072078705</v>
      </c>
      <c r="F419" s="3" t="s">
        <v>417</v>
      </c>
      <c r="G419" s="4">
        <f>POWER(10,D419)</f>
        <v>12.928653953553537</v>
      </c>
    </row>
    <row r="420" spans="1:7" x14ac:dyDescent="0.2">
      <c r="A420" s="3" t="s">
        <v>86</v>
      </c>
      <c r="B420" s="3" t="s">
        <v>518</v>
      </c>
      <c r="C420" s="4">
        <v>0.93792194128036499</v>
      </c>
      <c r="D420" s="4">
        <v>0.53468990325927701</v>
      </c>
      <c r="E420" s="4">
        <v>0.88181173801422097</v>
      </c>
      <c r="F420" s="3" t="s">
        <v>417</v>
      </c>
      <c r="G420" s="4">
        <f>POWER(10,D420)</f>
        <v>3.425231294309238</v>
      </c>
    </row>
    <row r="421" spans="1:7" x14ac:dyDescent="0.2">
      <c r="A421" s="3"/>
      <c r="B421" s="3"/>
      <c r="C421" s="4"/>
      <c r="D421" s="4"/>
      <c r="E421" s="4"/>
      <c r="F421" s="3"/>
      <c r="G421" s="4"/>
    </row>
    <row r="422" spans="1:7" x14ac:dyDescent="0.2">
      <c r="A422" s="3"/>
      <c r="B422" s="3"/>
      <c r="C422" s="4"/>
      <c r="D422" s="4"/>
      <c r="E422" s="4"/>
      <c r="F422" s="3"/>
      <c r="G422" s="4"/>
    </row>
    <row r="423" spans="1:7" x14ac:dyDescent="0.2">
      <c r="A423" s="3"/>
      <c r="B423" s="3"/>
      <c r="C423" s="4"/>
      <c r="D423" s="4"/>
      <c r="E423" s="4"/>
      <c r="F423" s="3"/>
      <c r="G423" s="4"/>
    </row>
    <row r="424" spans="1:7" x14ac:dyDescent="0.2">
      <c r="A424" s="3" t="s">
        <v>86</v>
      </c>
      <c r="B424" s="3" t="s">
        <v>519</v>
      </c>
      <c r="C424" s="4">
        <v>0.93885278701782204</v>
      </c>
      <c r="D424" s="4">
        <v>1.04587638378143</v>
      </c>
      <c r="E424" s="4">
        <v>0.20411430299282099</v>
      </c>
      <c r="F424" s="3" t="s">
        <v>417</v>
      </c>
      <c r="G424" s="4">
        <f>POWER(10,D424)</f>
        <v>11.114153324821539</v>
      </c>
    </row>
    <row r="425" spans="1:7" x14ac:dyDescent="0.2">
      <c r="A425" s="3"/>
      <c r="B425" s="3"/>
      <c r="C425" s="4"/>
      <c r="D425" s="4"/>
      <c r="E425" s="4"/>
      <c r="F425" s="3"/>
      <c r="G425" s="4"/>
    </row>
    <row r="426" spans="1:7" x14ac:dyDescent="0.2">
      <c r="A426" s="3" t="s">
        <v>86</v>
      </c>
      <c r="B426" s="3" t="s">
        <v>520</v>
      </c>
      <c r="C426" s="4">
        <v>0.93197137117385898</v>
      </c>
      <c r="D426" s="4">
        <v>1.1238982677459699</v>
      </c>
      <c r="E426" s="4">
        <v>0.12638133764267001</v>
      </c>
      <c r="F426" s="3" t="s">
        <v>417</v>
      </c>
      <c r="G426" s="4">
        <f>POWER(10,D426)</f>
        <v>13.301427992930517</v>
      </c>
    </row>
    <row r="427" spans="1:7" x14ac:dyDescent="0.2">
      <c r="A427" s="3" t="s">
        <v>86</v>
      </c>
      <c r="B427" s="3" t="s">
        <v>476</v>
      </c>
      <c r="C427" s="4">
        <v>0.93101501464843806</v>
      </c>
      <c r="D427" s="4">
        <v>4.0549099445342997E-2</v>
      </c>
      <c r="E427" s="4">
        <v>0.5493523478508</v>
      </c>
      <c r="F427" s="3" t="s">
        <v>417</v>
      </c>
      <c r="G427" s="4">
        <f>POWER(10,D427)</f>
        <v>1.0978654031455271</v>
      </c>
    </row>
    <row r="428" spans="1:7" x14ac:dyDescent="0.2">
      <c r="A428" s="3" t="s">
        <v>86</v>
      </c>
      <c r="B428" s="3" t="s">
        <v>521</v>
      </c>
      <c r="C428" s="4">
        <v>0.93746340274810802</v>
      </c>
      <c r="D428" s="4">
        <v>0.597511947154999</v>
      </c>
      <c r="E428" s="4">
        <v>0.51883506774902299</v>
      </c>
      <c r="F428" s="3" t="s">
        <v>417</v>
      </c>
      <c r="G428" s="4">
        <f>POWER(10,D428)</f>
        <v>3.9583295378965446</v>
      </c>
    </row>
    <row r="429" spans="1:7" x14ac:dyDescent="0.2">
      <c r="A429" s="3"/>
      <c r="B429" s="3"/>
      <c r="C429" s="4"/>
      <c r="D429" s="4"/>
      <c r="E429" s="4"/>
      <c r="F429" s="3"/>
      <c r="G429" s="4"/>
    </row>
    <row r="430" spans="1:7" x14ac:dyDescent="0.2">
      <c r="A430" s="1"/>
      <c r="B430" s="1"/>
      <c r="C430" s="1"/>
      <c r="D430" s="1"/>
      <c r="E430" s="1"/>
      <c r="F430" s="1"/>
      <c r="G430" s="1"/>
    </row>
    <row r="431" spans="1:7" x14ac:dyDescent="0.2">
      <c r="A431" s="1"/>
      <c r="B431" s="1"/>
      <c r="C431" s="1"/>
      <c r="D431" s="1"/>
      <c r="E431" s="1"/>
      <c r="F431" s="1"/>
      <c r="G431" s="1"/>
    </row>
    <row r="432" spans="1:7" x14ac:dyDescent="0.2">
      <c r="A432" s="3" t="s">
        <v>86</v>
      </c>
      <c r="B432" s="3" t="s">
        <v>477</v>
      </c>
      <c r="C432" s="4">
        <v>0.90960264205932595</v>
      </c>
      <c r="D432" s="4">
        <v>-0.23047944903373699</v>
      </c>
      <c r="E432" s="4">
        <v>0.83727234601974498</v>
      </c>
      <c r="F432" s="3" t="s">
        <v>417</v>
      </c>
      <c r="G432" s="4">
        <f>POWER(10,D432)</f>
        <v>0.58819394702709893</v>
      </c>
    </row>
    <row r="433" spans="1:7" x14ac:dyDescent="0.2">
      <c r="A433" s="1"/>
      <c r="B433" s="1"/>
      <c r="C433" s="1"/>
      <c r="D433" s="1"/>
      <c r="E433" s="1"/>
      <c r="F433" s="1"/>
      <c r="G433" s="1"/>
    </row>
    <row r="434" spans="1:7" x14ac:dyDescent="0.2">
      <c r="A434" s="3" t="s">
        <v>88</v>
      </c>
      <c r="B434" s="3" t="s">
        <v>19</v>
      </c>
      <c r="C434" s="4">
        <v>0.90687304735183705</v>
      </c>
      <c r="D434" s="4">
        <v>-5.3318530321121202E-2</v>
      </c>
      <c r="E434" s="4">
        <v>0.72462618350982699</v>
      </c>
      <c r="F434" s="3" t="s">
        <v>417</v>
      </c>
      <c r="G434" s="4">
        <f>POWER(10,D434)</f>
        <v>0.88446666584381695</v>
      </c>
    </row>
    <row r="435" spans="1:7" x14ac:dyDescent="0.2">
      <c r="A435" s="3"/>
      <c r="B435" s="3"/>
      <c r="C435" s="4"/>
      <c r="D435" s="4"/>
      <c r="E435" s="4"/>
      <c r="F435" s="3"/>
      <c r="G435" s="4"/>
    </row>
    <row r="436" spans="1:7" x14ac:dyDescent="0.2">
      <c r="A436" s="3" t="s">
        <v>88</v>
      </c>
      <c r="B436" s="3" t="s">
        <v>449</v>
      </c>
      <c r="C436" s="4">
        <v>0.88534802198410001</v>
      </c>
      <c r="D436" s="4">
        <v>1.2851701974868801</v>
      </c>
      <c r="E436" s="4">
        <v>0.53731369972229004</v>
      </c>
      <c r="F436" s="3" t="s">
        <v>417</v>
      </c>
      <c r="G436" s="4">
        <f>POWER(10,D436)</f>
        <v>19.282804470523587</v>
      </c>
    </row>
    <row r="437" spans="1:7" x14ac:dyDescent="0.2">
      <c r="A437" s="3"/>
      <c r="B437" s="3"/>
      <c r="C437" s="4"/>
      <c r="D437" s="4"/>
      <c r="E437" s="4"/>
      <c r="F437" s="3"/>
      <c r="G437" s="4"/>
    </row>
    <row r="438" spans="1:7" x14ac:dyDescent="0.2">
      <c r="A438" s="3" t="s">
        <v>88</v>
      </c>
      <c r="B438" s="3" t="s">
        <v>476</v>
      </c>
      <c r="C438" s="4">
        <v>0.89913845062255904</v>
      </c>
      <c r="D438" s="4">
        <v>-0.37976142764091497</v>
      </c>
      <c r="E438" s="4">
        <v>0.62511068582534801</v>
      </c>
      <c r="F438" s="3" t="s">
        <v>417</v>
      </c>
      <c r="G438" s="4">
        <f>POWER(10,D438)</f>
        <v>0.41709844655528983</v>
      </c>
    </row>
    <row r="439" spans="1:7" x14ac:dyDescent="0.2">
      <c r="A439" s="1"/>
      <c r="B439" s="1"/>
      <c r="C439" s="1"/>
      <c r="D439" s="1"/>
      <c r="E439" s="1"/>
      <c r="F439" s="1"/>
      <c r="G439" s="1"/>
    </row>
    <row r="440" spans="1:7" x14ac:dyDescent="0.2">
      <c r="A440" s="1"/>
      <c r="B440" s="1"/>
      <c r="C440" s="1"/>
      <c r="D440" s="1"/>
      <c r="E440" s="1"/>
      <c r="F440" s="1"/>
      <c r="G440" s="1"/>
    </row>
    <row r="441" spans="1:7" x14ac:dyDescent="0.2">
      <c r="A441" s="1"/>
      <c r="B441" s="1"/>
      <c r="C441" s="1"/>
      <c r="D441" s="1"/>
      <c r="E441" s="1"/>
      <c r="F441" s="1"/>
      <c r="G441" s="1"/>
    </row>
    <row r="442" spans="1:7" x14ac:dyDescent="0.2">
      <c r="A442" s="1"/>
      <c r="B442" s="1"/>
      <c r="C442" s="1"/>
      <c r="D442" s="1"/>
      <c r="E442" s="1"/>
      <c r="F442" s="1"/>
      <c r="G442" s="1"/>
    </row>
    <row r="443" spans="1:7" x14ac:dyDescent="0.2">
      <c r="A443" s="3" t="s">
        <v>93</v>
      </c>
      <c r="B443" s="3" t="s">
        <v>449</v>
      </c>
      <c r="C443" s="4">
        <v>0.81008672714233398</v>
      </c>
      <c r="D443" s="4">
        <v>0.82988452911376998</v>
      </c>
      <c r="E443" s="4">
        <v>0.24293883144855499</v>
      </c>
      <c r="F443" s="3" t="s">
        <v>417</v>
      </c>
      <c r="G443" s="4">
        <f>POWER(10,D443)</f>
        <v>6.7590324130347961</v>
      </c>
    </row>
    <row r="444" spans="1:7" x14ac:dyDescent="0.2">
      <c r="A444" s="3"/>
      <c r="B444" s="3"/>
      <c r="C444" s="4"/>
      <c r="D444" s="4"/>
      <c r="E444" s="4"/>
      <c r="F444" s="3"/>
      <c r="G444" s="4"/>
    </row>
    <row r="445" spans="1:7" x14ac:dyDescent="0.2">
      <c r="A445" s="3"/>
      <c r="B445" s="3"/>
      <c r="C445" s="4"/>
      <c r="D445" s="4"/>
      <c r="E445" s="4"/>
      <c r="F445" s="3"/>
      <c r="G445" s="4"/>
    </row>
    <row r="446" spans="1:7" x14ac:dyDescent="0.2">
      <c r="A446" s="3"/>
      <c r="B446" s="3"/>
      <c r="C446" s="4"/>
      <c r="D446" s="4"/>
      <c r="E446" s="4"/>
      <c r="F446" s="3"/>
      <c r="G446" s="4"/>
    </row>
    <row r="447" spans="1:7" x14ac:dyDescent="0.2">
      <c r="A447" s="3"/>
      <c r="B447" s="3"/>
      <c r="C447" s="4"/>
      <c r="D447" s="4"/>
      <c r="E447" s="4"/>
      <c r="F447" s="3"/>
      <c r="G447" s="4"/>
    </row>
    <row r="448" spans="1:7" x14ac:dyDescent="0.2">
      <c r="A448" s="1"/>
      <c r="B448" s="1"/>
      <c r="C448" s="1"/>
      <c r="D448" s="1"/>
      <c r="E448" s="1"/>
      <c r="F448" s="1"/>
      <c r="G448" s="1"/>
    </row>
    <row r="449" spans="1:7" x14ac:dyDescent="0.2">
      <c r="A449" s="1"/>
      <c r="B449" s="1"/>
      <c r="C449" s="1"/>
      <c r="D449" s="1"/>
      <c r="E449" s="1"/>
      <c r="F449" s="1"/>
      <c r="G449" s="1"/>
    </row>
    <row r="450" spans="1:7" x14ac:dyDescent="0.2">
      <c r="A450" s="1"/>
      <c r="B450" s="1"/>
      <c r="C450" s="1"/>
      <c r="D450" s="1"/>
      <c r="E450" s="1"/>
      <c r="F450" s="1"/>
      <c r="G450" s="1"/>
    </row>
    <row r="451" spans="1:7" x14ac:dyDescent="0.2">
      <c r="A451" s="1"/>
      <c r="B451" s="1"/>
      <c r="C451" s="1"/>
      <c r="D451" s="1"/>
      <c r="E451" s="1"/>
      <c r="F451" s="1"/>
      <c r="G451" s="1"/>
    </row>
    <row r="452" spans="1:7" x14ac:dyDescent="0.2">
      <c r="A452" s="1"/>
      <c r="B452" s="1"/>
      <c r="C452" s="1"/>
      <c r="D452" s="1"/>
      <c r="E452" s="1"/>
      <c r="F452" s="1"/>
      <c r="G452" s="1"/>
    </row>
    <row r="453" spans="1:7" x14ac:dyDescent="0.2">
      <c r="A453" s="1"/>
      <c r="B453" s="1"/>
      <c r="C453" s="1"/>
      <c r="D453" s="1"/>
      <c r="E453" s="1"/>
      <c r="F453" s="1"/>
      <c r="G453" s="1"/>
    </row>
    <row r="454" spans="1:7" x14ac:dyDescent="0.2">
      <c r="A454" s="1"/>
      <c r="B454" s="1"/>
      <c r="C454" s="1"/>
      <c r="D454" s="1"/>
      <c r="E454" s="1"/>
      <c r="F454" s="1"/>
      <c r="G454" s="1"/>
    </row>
    <row r="455" spans="1:7" x14ac:dyDescent="0.2">
      <c r="A455" s="1"/>
      <c r="B455" s="1"/>
      <c r="C455" s="1"/>
      <c r="D455" s="1"/>
      <c r="E455" s="1"/>
      <c r="F455" s="1"/>
      <c r="G455" s="1"/>
    </row>
    <row r="456" spans="1:7" x14ac:dyDescent="0.2">
      <c r="A456" s="1"/>
      <c r="B456" s="1"/>
      <c r="C456" s="1"/>
      <c r="D456" s="1"/>
      <c r="E456" s="1"/>
      <c r="F456" s="1"/>
      <c r="G456" s="1"/>
    </row>
    <row r="457" spans="1:7" x14ac:dyDescent="0.2">
      <c r="A457" s="3" t="s">
        <v>93</v>
      </c>
      <c r="B457" s="3" t="s">
        <v>519</v>
      </c>
      <c r="C457" s="4">
        <v>0.85958224534988403</v>
      </c>
      <c r="D457" s="4">
        <v>0.74959295988082897</v>
      </c>
      <c r="E457" s="4">
        <v>0.23087704181671101</v>
      </c>
      <c r="F457" s="3" t="s">
        <v>417</v>
      </c>
      <c r="G457" s="4">
        <f>POWER(10,D457)</f>
        <v>5.6181452078103451</v>
      </c>
    </row>
    <row r="458" spans="1:7" x14ac:dyDescent="0.2">
      <c r="A458" s="3"/>
      <c r="B458" s="3"/>
      <c r="C458" s="4"/>
      <c r="D458" s="4"/>
      <c r="E458" s="4"/>
      <c r="F458" s="3"/>
      <c r="G458" s="4"/>
    </row>
    <row r="459" spans="1:7" x14ac:dyDescent="0.2">
      <c r="A459" s="3"/>
      <c r="B459" s="3"/>
      <c r="C459" s="4"/>
      <c r="D459" s="4"/>
      <c r="E459" s="4"/>
      <c r="F459" s="3"/>
      <c r="G459" s="4"/>
    </row>
    <row r="460" spans="1:7" x14ac:dyDescent="0.2">
      <c r="A460" s="3" t="s">
        <v>93</v>
      </c>
      <c r="B460" s="3" t="s">
        <v>476</v>
      </c>
      <c r="C460" s="4">
        <v>0.86159193515777599</v>
      </c>
      <c r="D460" s="4">
        <v>-1.35589015483856</v>
      </c>
      <c r="E460" s="4">
        <v>0.37226635217666598</v>
      </c>
      <c r="F460" s="3" t="s">
        <v>417</v>
      </c>
      <c r="G460" s="4">
        <f>POWER(10,D460)</f>
        <v>4.4066630618561857E-2</v>
      </c>
    </row>
    <row r="461" spans="1:7" x14ac:dyDescent="0.2">
      <c r="A461" s="3"/>
      <c r="B461" s="3"/>
      <c r="C461" s="4"/>
      <c r="D461" s="4"/>
      <c r="E461" s="4"/>
      <c r="F461" s="3"/>
      <c r="G461" s="4"/>
    </row>
    <row r="462" spans="1:7" x14ac:dyDescent="0.2">
      <c r="A462" s="3"/>
      <c r="B462" s="3"/>
      <c r="C462" s="4"/>
      <c r="D462" s="4"/>
      <c r="E462" s="4"/>
      <c r="F462" s="3"/>
      <c r="G462" s="4"/>
    </row>
    <row r="463" spans="1:7" x14ac:dyDescent="0.2">
      <c r="A463" s="1"/>
      <c r="B463" s="1"/>
      <c r="C463" s="1"/>
      <c r="D463" s="1"/>
      <c r="E463" s="1"/>
      <c r="F463" s="1"/>
      <c r="G463" s="1"/>
    </row>
    <row r="464" spans="1:7" x14ac:dyDescent="0.2">
      <c r="A464" s="3" t="s">
        <v>93</v>
      </c>
      <c r="B464" s="3" t="s">
        <v>477</v>
      </c>
      <c r="C464" s="4">
        <v>0.83966124057769798</v>
      </c>
      <c r="D464" s="4">
        <v>-0.63276100158691395</v>
      </c>
      <c r="E464" s="4">
        <v>0.70845085382461603</v>
      </c>
      <c r="F464" s="3" t="s">
        <v>417</v>
      </c>
      <c r="G464" s="4">
        <f>POWER(10,D464)</f>
        <v>0.23293727918948229</v>
      </c>
    </row>
    <row r="465" spans="1:7" x14ac:dyDescent="0.2">
      <c r="A465" s="3"/>
      <c r="B465" s="3"/>
      <c r="C465" s="4"/>
      <c r="D465" s="4"/>
      <c r="E465" s="4"/>
      <c r="F465" s="3"/>
      <c r="G465" s="4"/>
    </row>
    <row r="466" spans="1:7" x14ac:dyDescent="0.2">
      <c r="A466" s="3" t="s">
        <v>93</v>
      </c>
      <c r="B466" s="3" t="s">
        <v>454</v>
      </c>
      <c r="C466" s="4">
        <v>0.85895252227783203</v>
      </c>
      <c r="D466" s="4">
        <v>0.61590921878814697</v>
      </c>
      <c r="E466" s="4">
        <v>0.86339443922042902</v>
      </c>
      <c r="F466" s="3" t="s">
        <v>417</v>
      </c>
      <c r="G466" s="4">
        <f>POWER(10,D466)</f>
        <v>4.1296117108890105</v>
      </c>
    </row>
    <row r="467" spans="1:7" x14ac:dyDescent="0.2">
      <c r="A467" s="1"/>
      <c r="B467" s="1"/>
      <c r="C467" s="1"/>
      <c r="D467" s="1"/>
      <c r="E467" s="1"/>
      <c r="F467" s="1"/>
      <c r="G467" s="1"/>
    </row>
    <row r="468" spans="1:7" x14ac:dyDescent="0.2">
      <c r="A468" s="3" t="s">
        <v>522</v>
      </c>
      <c r="B468" s="3" t="s">
        <v>523</v>
      </c>
      <c r="C468" s="4">
        <v>0.88475239276885997</v>
      </c>
      <c r="D468" s="4">
        <v>9.8660454154014601E-2</v>
      </c>
      <c r="E468" s="4">
        <v>0.238621145486832</v>
      </c>
      <c r="F468" s="3" t="s">
        <v>417</v>
      </c>
      <c r="G468" s="4">
        <f>POWER(10,D468)</f>
        <v>1.2550483415472473</v>
      </c>
    </row>
    <row r="469" spans="1:7" x14ac:dyDescent="0.2">
      <c r="A469" s="3" t="s">
        <v>522</v>
      </c>
      <c r="B469" s="3" t="s">
        <v>524</v>
      </c>
      <c r="C469" s="4">
        <v>0.88503277301788297</v>
      </c>
      <c r="D469" s="4">
        <v>-1.24938523769379</v>
      </c>
      <c r="E469" s="4">
        <v>0.48354905843734702</v>
      </c>
      <c r="F469" s="3" t="s">
        <v>417</v>
      </c>
      <c r="G469" s="4">
        <f>POWER(10,D469)</f>
        <v>5.6313790691267844E-2</v>
      </c>
    </row>
    <row r="470" spans="1:7" x14ac:dyDescent="0.2">
      <c r="A470" s="3" t="s">
        <v>522</v>
      </c>
      <c r="B470" s="3" t="s">
        <v>449</v>
      </c>
      <c r="C470" s="4">
        <v>0.872375428676605</v>
      </c>
      <c r="D470" s="4">
        <v>1.1316381692886399</v>
      </c>
      <c r="E470" s="4">
        <v>0.23137755692005199</v>
      </c>
      <c r="F470" s="3" t="s">
        <v>417</v>
      </c>
      <c r="G470" s="4">
        <f>POWER(10,D470)</f>
        <v>13.540608119197117</v>
      </c>
    </row>
    <row r="471" spans="1:7" x14ac:dyDescent="0.2">
      <c r="A471" s="3" t="s">
        <v>94</v>
      </c>
      <c r="B471" s="3" t="s">
        <v>72</v>
      </c>
      <c r="C471" s="4">
        <v>0.94359749555587802</v>
      </c>
      <c r="D471" s="4">
        <v>1.07798731327057</v>
      </c>
      <c r="E471" s="4">
        <v>0.46189579367637601</v>
      </c>
      <c r="F471" s="3" t="s">
        <v>417</v>
      </c>
      <c r="G471" s="4">
        <f>POWER(10,D471)</f>
        <v>11.967055723054775</v>
      </c>
    </row>
    <row r="472" spans="1:7" x14ac:dyDescent="0.2">
      <c r="A472" s="3" t="s">
        <v>94</v>
      </c>
      <c r="B472" s="3" t="s">
        <v>525</v>
      </c>
      <c r="C472" s="4">
        <v>0.94180613756179798</v>
      </c>
      <c r="D472" s="4">
        <v>1.0275132656097401</v>
      </c>
      <c r="E472" s="4">
        <v>0.42451396584510798</v>
      </c>
      <c r="F472" s="3" t="s">
        <v>417</v>
      </c>
      <c r="G472" s="4">
        <f>POWER(10,D472)</f>
        <v>10.65401406064508</v>
      </c>
    </row>
    <row r="473" spans="1:7" x14ac:dyDescent="0.2">
      <c r="A473" s="3"/>
      <c r="B473" s="3"/>
      <c r="C473" s="4"/>
      <c r="D473" s="4"/>
      <c r="E473" s="4"/>
      <c r="F473" s="3"/>
      <c r="G473" s="4"/>
    </row>
    <row r="474" spans="1:7" x14ac:dyDescent="0.2">
      <c r="A474" s="3"/>
      <c r="B474" s="3"/>
      <c r="C474" s="4"/>
      <c r="D474" s="4"/>
      <c r="E474" s="4"/>
      <c r="F474" s="3"/>
      <c r="G474" s="4"/>
    </row>
    <row r="475" spans="1:7" x14ac:dyDescent="0.2">
      <c r="A475" s="1"/>
      <c r="B475" s="1"/>
      <c r="C475" s="1"/>
      <c r="D475" s="1"/>
      <c r="E475" s="1"/>
      <c r="F475" s="1"/>
      <c r="G475" s="1"/>
    </row>
    <row r="476" spans="1:7" x14ac:dyDescent="0.2">
      <c r="A476" s="3" t="s">
        <v>94</v>
      </c>
      <c r="B476" s="3" t="s">
        <v>526</v>
      </c>
      <c r="C476" s="4">
        <v>0.94299954175949097</v>
      </c>
      <c r="D476" s="4">
        <v>2.0374159812927202</v>
      </c>
      <c r="E476" s="4">
        <v>0.37010708451271102</v>
      </c>
      <c r="F476" s="3" t="s">
        <v>417</v>
      </c>
      <c r="G476" s="4">
        <f>POWER(10,D476)</f>
        <v>108.99736054499867</v>
      </c>
    </row>
    <row r="477" spans="1:7" x14ac:dyDescent="0.2">
      <c r="A477" s="3" t="s">
        <v>94</v>
      </c>
      <c r="B477" s="3" t="s">
        <v>500</v>
      </c>
      <c r="C477" s="4">
        <v>0.94461411237716697</v>
      </c>
      <c r="D477" s="4">
        <v>2.03949975967407</v>
      </c>
      <c r="E477" s="4">
        <v>0.23372346162796001</v>
      </c>
      <c r="F477" s="3" t="s">
        <v>417</v>
      </c>
      <c r="G477" s="4">
        <f>POWER(10,D477)</f>
        <v>109.52159493059294</v>
      </c>
    </row>
    <row r="478" spans="1:7" x14ac:dyDescent="0.2">
      <c r="A478" s="3"/>
      <c r="B478" s="3"/>
      <c r="C478" s="4"/>
      <c r="D478" s="4"/>
      <c r="E478" s="4"/>
      <c r="F478" s="3"/>
      <c r="G478" s="4"/>
    </row>
    <row r="479" spans="1:7" x14ac:dyDescent="0.2">
      <c r="A479" s="1"/>
      <c r="B479" s="1"/>
      <c r="C479" s="1"/>
      <c r="D479" s="1"/>
      <c r="E479" s="1"/>
      <c r="F479" s="1"/>
      <c r="G479" s="1"/>
    </row>
    <row r="480" spans="1:7" x14ac:dyDescent="0.2">
      <c r="A480" s="3" t="s">
        <v>96</v>
      </c>
      <c r="B480" s="3" t="s">
        <v>445</v>
      </c>
      <c r="C480" s="4">
        <v>0.96917802095413197</v>
      </c>
      <c r="D480" s="4">
        <v>-1.37150549888611</v>
      </c>
      <c r="E480" s="4">
        <v>0.86034893989562999</v>
      </c>
      <c r="F480" s="3" t="s">
        <v>417</v>
      </c>
      <c r="G480" s="4">
        <f>POWER(10,D480)</f>
        <v>4.2510332425968023E-2</v>
      </c>
    </row>
    <row r="481" spans="1:7" x14ac:dyDescent="0.2">
      <c r="A481" s="3" t="s">
        <v>96</v>
      </c>
      <c r="B481" s="3" t="s">
        <v>527</v>
      </c>
      <c r="C481" s="4">
        <v>0.95149469375610396</v>
      </c>
      <c r="D481" s="4">
        <v>-0.70357650518417403</v>
      </c>
      <c r="E481" s="4">
        <v>0.61956822872161899</v>
      </c>
      <c r="F481" s="3" t="s">
        <v>417</v>
      </c>
      <c r="G481" s="4">
        <f>POWER(10,D481)</f>
        <v>0.19788983883912195</v>
      </c>
    </row>
    <row r="482" spans="1:7" x14ac:dyDescent="0.2">
      <c r="A482" s="3" t="s">
        <v>96</v>
      </c>
      <c r="B482" s="3" t="s">
        <v>485</v>
      </c>
      <c r="C482" s="4">
        <v>0.971746265888214</v>
      </c>
      <c r="D482" s="4">
        <v>-1.20540034770966</v>
      </c>
      <c r="E482" s="4">
        <v>0.91200548410415705</v>
      </c>
      <c r="F482" s="3" t="s">
        <v>417</v>
      </c>
      <c r="G482" s="4">
        <f>POWER(10,D482)</f>
        <v>6.2316012002427451E-2</v>
      </c>
    </row>
    <row r="483" spans="1:7" x14ac:dyDescent="0.2">
      <c r="A483" s="1"/>
      <c r="B483" s="1"/>
      <c r="C483" s="1"/>
      <c r="D483" s="1"/>
      <c r="E483" s="1"/>
      <c r="F483" s="1"/>
      <c r="G483" s="1"/>
    </row>
    <row r="484" spans="1:7" x14ac:dyDescent="0.2">
      <c r="A484" s="3" t="s">
        <v>103</v>
      </c>
      <c r="B484" s="3" t="s">
        <v>528</v>
      </c>
      <c r="C484" s="4">
        <v>0.84500849246978804</v>
      </c>
      <c r="D484" s="4">
        <v>1.60822665691376</v>
      </c>
      <c r="E484" s="4">
        <v>0.30328547954559298</v>
      </c>
      <c r="F484" s="3" t="s">
        <v>417</v>
      </c>
      <c r="G484" s="4">
        <f>POWER(10,D484)</f>
        <v>40.572022430298254</v>
      </c>
    </row>
    <row r="485" spans="1:7" x14ac:dyDescent="0.2">
      <c r="A485" s="1"/>
      <c r="B485" s="1"/>
      <c r="C485" s="1"/>
      <c r="D485" s="1"/>
      <c r="E485" s="1"/>
      <c r="F485" s="1"/>
      <c r="G485" s="1"/>
    </row>
    <row r="486" spans="1:7" x14ac:dyDescent="0.2">
      <c r="A486" s="1"/>
      <c r="B486" s="1"/>
      <c r="C486" s="1"/>
      <c r="D486" s="1"/>
      <c r="E486" s="1"/>
      <c r="F486" s="1"/>
      <c r="G486" s="1"/>
    </row>
    <row r="487" spans="1:7" x14ac:dyDescent="0.2">
      <c r="A487" s="1"/>
      <c r="B487" s="1"/>
      <c r="C487" s="1"/>
      <c r="D487" s="1"/>
      <c r="E487" s="1"/>
      <c r="F487" s="1"/>
      <c r="G487" s="1"/>
    </row>
    <row r="488" spans="1:7" x14ac:dyDescent="0.2">
      <c r="A488" s="1"/>
      <c r="B488" s="1"/>
      <c r="C488" s="1"/>
      <c r="D488" s="1"/>
      <c r="E488" s="1"/>
      <c r="F488" s="1"/>
      <c r="G488" s="1"/>
    </row>
    <row r="489" spans="1:7" x14ac:dyDescent="0.2">
      <c r="A489" s="1"/>
      <c r="B489" s="1"/>
      <c r="C489" s="1"/>
      <c r="D489" s="1"/>
      <c r="E489" s="1"/>
      <c r="F489" s="1"/>
      <c r="G489" s="1"/>
    </row>
    <row r="490" spans="1:7" x14ac:dyDescent="0.2">
      <c r="A490" s="3" t="s">
        <v>103</v>
      </c>
      <c r="B490" s="3" t="s">
        <v>529</v>
      </c>
      <c r="C490" s="4">
        <v>0.80516874790191695</v>
      </c>
      <c r="D490" s="4">
        <v>1.11250925064087</v>
      </c>
      <c r="E490" s="4">
        <v>0.40072464942932101</v>
      </c>
      <c r="F490" s="3" t="s">
        <v>417</v>
      </c>
      <c r="G490" s="4">
        <f>POWER(10,D490)</f>
        <v>12.957142964400356</v>
      </c>
    </row>
    <row r="491" spans="1:7" x14ac:dyDescent="0.2">
      <c r="A491" s="1"/>
      <c r="B491" s="1"/>
      <c r="C491" s="1"/>
      <c r="D491" s="1"/>
      <c r="E491" s="1"/>
      <c r="F491" s="1"/>
      <c r="G491" s="1"/>
    </row>
    <row r="492" spans="1:7" x14ac:dyDescent="0.2">
      <c r="A492" s="3" t="s">
        <v>530</v>
      </c>
      <c r="B492" s="3" t="s">
        <v>528</v>
      </c>
      <c r="C492" s="4">
        <v>0.910913586616516</v>
      </c>
      <c r="D492" s="4">
        <v>1.5292774438857999</v>
      </c>
      <c r="E492" s="4">
        <v>0.27887907624244701</v>
      </c>
      <c r="F492" s="3" t="s">
        <v>417</v>
      </c>
      <c r="G492" s="4">
        <f>POWER(10,D492)</f>
        <v>33.828087392163233</v>
      </c>
    </row>
    <row r="493" spans="1:7" x14ac:dyDescent="0.2">
      <c r="A493" s="3"/>
      <c r="B493" s="3"/>
      <c r="C493" s="4"/>
      <c r="D493" s="4"/>
      <c r="E493" s="4"/>
      <c r="F493" s="3"/>
      <c r="G493" s="4"/>
    </row>
    <row r="494" spans="1:7" x14ac:dyDescent="0.2">
      <c r="A494" s="3" t="s">
        <v>530</v>
      </c>
      <c r="B494" s="3" t="s">
        <v>439</v>
      </c>
      <c r="C494" s="4">
        <v>0.94247478246688798</v>
      </c>
      <c r="D494" s="4">
        <v>1.5426430702209499</v>
      </c>
      <c r="E494" s="4">
        <v>0.36685436964035001</v>
      </c>
      <c r="F494" s="3" t="s">
        <v>417</v>
      </c>
      <c r="G494" s="4">
        <f>POWER(10,D494)</f>
        <v>34.885348848608984</v>
      </c>
    </row>
    <row r="495" spans="1:7" x14ac:dyDescent="0.2">
      <c r="A495" s="3" t="s">
        <v>530</v>
      </c>
      <c r="B495" s="3" t="s">
        <v>531</v>
      </c>
      <c r="C495" s="4">
        <v>0.95480221509933505</v>
      </c>
      <c r="D495" s="4">
        <v>2.5886778831481898</v>
      </c>
      <c r="E495" s="4">
        <v>0.41339352726936301</v>
      </c>
      <c r="F495" s="3" t="s">
        <v>417</v>
      </c>
      <c r="G495" s="4">
        <f>POWER(10,D495)</f>
        <v>387.86258103548937</v>
      </c>
    </row>
    <row r="496" spans="1:7" x14ac:dyDescent="0.2">
      <c r="A496" s="1"/>
      <c r="B496" s="1"/>
      <c r="C496" s="1"/>
      <c r="D496" s="1"/>
      <c r="E496" s="1"/>
      <c r="F496" s="1"/>
      <c r="G496" s="1"/>
    </row>
    <row r="497" spans="1:7" x14ac:dyDescent="0.2">
      <c r="A497" s="3" t="s">
        <v>532</v>
      </c>
      <c r="B497" s="3" t="s">
        <v>419</v>
      </c>
      <c r="C497" s="4">
        <v>0.90567606687545799</v>
      </c>
      <c r="D497" s="4">
        <v>1.9784861803054801</v>
      </c>
      <c r="E497" s="4">
        <v>0.34952309727668801</v>
      </c>
      <c r="F497" s="3" t="s">
        <v>417</v>
      </c>
      <c r="G497" s="4">
        <f>POWER(10,D497)</f>
        <v>95.166956453240715</v>
      </c>
    </row>
    <row r="498" spans="1:7" x14ac:dyDescent="0.2">
      <c r="A498" s="3" t="s">
        <v>532</v>
      </c>
      <c r="B498" s="3" t="s">
        <v>423</v>
      </c>
      <c r="C498" s="4">
        <v>0.89478033781051602</v>
      </c>
      <c r="D498" s="4">
        <v>1.59506058692932</v>
      </c>
      <c r="E498" s="4">
        <v>0.46138206124305697</v>
      </c>
      <c r="F498" s="3" t="s">
        <v>417</v>
      </c>
      <c r="G498" s="4">
        <f>POWER(10,D498)</f>
        <v>39.360498210293301</v>
      </c>
    </row>
    <row r="499" spans="1:7" x14ac:dyDescent="0.2">
      <c r="A499" s="3" t="s">
        <v>106</v>
      </c>
      <c r="B499" s="3" t="s">
        <v>533</v>
      </c>
      <c r="C499" s="4">
        <v>0.89859169721603405</v>
      </c>
      <c r="D499" s="4">
        <v>-0.45877876877784701</v>
      </c>
      <c r="E499" s="4">
        <v>0.91632521152496305</v>
      </c>
      <c r="F499" s="3" t="s">
        <v>417</v>
      </c>
      <c r="G499" s="4">
        <f>POWER(10,D499)</f>
        <v>0.34771324275378507</v>
      </c>
    </row>
    <row r="500" spans="1:7" x14ac:dyDescent="0.2">
      <c r="A500" s="3"/>
      <c r="B500" s="3"/>
      <c r="C500" s="4"/>
      <c r="D500" s="4"/>
      <c r="E500" s="4"/>
      <c r="F500" s="3"/>
      <c r="G500" s="4"/>
    </row>
    <row r="501" spans="1:7" x14ac:dyDescent="0.2">
      <c r="A501" s="3" t="s">
        <v>106</v>
      </c>
      <c r="B501" s="3" t="s">
        <v>501</v>
      </c>
      <c r="C501" s="4">
        <v>0.88935184478759799</v>
      </c>
      <c r="D501" s="4">
        <v>0.32138261198997498</v>
      </c>
      <c r="E501" s="4">
        <v>0.85853850841522195</v>
      </c>
      <c r="F501" s="3" t="s">
        <v>417</v>
      </c>
      <c r="G501" s="4">
        <f>POWER(10,D501)</f>
        <v>2.0959581748563845</v>
      </c>
    </row>
    <row r="502" spans="1:7" x14ac:dyDescent="0.2">
      <c r="A502" s="3" t="s">
        <v>106</v>
      </c>
      <c r="B502" s="3" t="s">
        <v>534</v>
      </c>
      <c r="C502" s="4">
        <v>0.90181189775466897</v>
      </c>
      <c r="D502" s="4">
        <v>0.30998057126998901</v>
      </c>
      <c r="E502" s="4">
        <v>0.87099838256835904</v>
      </c>
      <c r="F502" s="3" t="s">
        <v>417</v>
      </c>
      <c r="G502" s="4">
        <f>POWER(10,D502)</f>
        <v>2.0416466069030181</v>
      </c>
    </row>
    <row r="503" spans="1:7" x14ac:dyDescent="0.2">
      <c r="A503" s="3" t="s">
        <v>106</v>
      </c>
      <c r="B503" s="3" t="s">
        <v>40</v>
      </c>
      <c r="C503" s="4">
        <v>0.905203998088837</v>
      </c>
      <c r="D503" s="4">
        <v>-0.12017434835434</v>
      </c>
      <c r="E503" s="4">
        <v>0.89457577466964699</v>
      </c>
      <c r="F503" s="3" t="s">
        <v>417</v>
      </c>
      <c r="G503" s="4">
        <f>POWER(10,D503)</f>
        <v>0.75827310372332091</v>
      </c>
    </row>
    <row r="504" spans="1:7" x14ac:dyDescent="0.2">
      <c r="A504" s="3" t="s">
        <v>106</v>
      </c>
      <c r="B504" s="3" t="s">
        <v>111</v>
      </c>
      <c r="C504" s="4">
        <v>0.90707457065582298</v>
      </c>
      <c r="D504" s="4">
        <v>0.389788508415222</v>
      </c>
      <c r="E504" s="4">
        <v>0.96378374099731501</v>
      </c>
      <c r="F504" s="3" t="s">
        <v>417</v>
      </c>
      <c r="G504" s="4">
        <f>POWER(10,D504)</f>
        <v>2.4535138190083003</v>
      </c>
    </row>
    <row r="505" spans="1:7" x14ac:dyDescent="0.2">
      <c r="A505" s="3" t="s">
        <v>106</v>
      </c>
      <c r="B505" s="3" t="s">
        <v>535</v>
      </c>
      <c r="C505" s="4">
        <v>0.90513420104980502</v>
      </c>
      <c r="D505" s="4">
        <v>0.58733958005905196</v>
      </c>
      <c r="E505" s="4">
        <v>0.83188742399215698</v>
      </c>
      <c r="F505" s="3" t="s">
        <v>417</v>
      </c>
      <c r="G505" s="4">
        <f>POWER(10,D505)</f>
        <v>3.8666920016335657</v>
      </c>
    </row>
    <row r="506" spans="1:7" x14ac:dyDescent="0.2">
      <c r="A506" s="3" t="s">
        <v>106</v>
      </c>
      <c r="B506" s="3" t="s">
        <v>13</v>
      </c>
      <c r="C506" s="4">
        <v>0.90804195404052701</v>
      </c>
      <c r="D506" s="4">
        <v>-0.48938328027725198</v>
      </c>
      <c r="E506" s="4">
        <v>0.96472078561782804</v>
      </c>
      <c r="F506" s="3" t="s">
        <v>417</v>
      </c>
      <c r="G506" s="4">
        <f>POWER(10,D506)</f>
        <v>0.32405350241013736</v>
      </c>
    </row>
    <row r="507" spans="1:7" x14ac:dyDescent="0.2">
      <c r="A507" s="3" t="s">
        <v>106</v>
      </c>
      <c r="B507" s="3" t="s">
        <v>73</v>
      </c>
      <c r="C507" s="4">
        <v>0.911684811115265</v>
      </c>
      <c r="D507" s="4">
        <v>1.7395156621932999</v>
      </c>
      <c r="E507" s="4">
        <v>0.69962495565414395</v>
      </c>
      <c r="F507" s="3" t="s">
        <v>417</v>
      </c>
      <c r="G507" s="4">
        <f>POWER(10,D507)</f>
        <v>54.892835154570641</v>
      </c>
    </row>
    <row r="508" spans="1:7" x14ac:dyDescent="0.2">
      <c r="A508" s="3" t="s">
        <v>106</v>
      </c>
      <c r="B508" s="3" t="s">
        <v>476</v>
      </c>
      <c r="C508" s="4">
        <v>0.90089797973632801</v>
      </c>
      <c r="D508" s="4">
        <v>0.47314155101776101</v>
      </c>
      <c r="E508" s="4">
        <v>0.81997895240783703</v>
      </c>
      <c r="F508" s="3" t="s">
        <v>417</v>
      </c>
      <c r="G508" s="4">
        <f>POWER(10,D508)</f>
        <v>2.9726347544063643</v>
      </c>
    </row>
    <row r="509" spans="1:7" x14ac:dyDescent="0.2">
      <c r="A509" s="1"/>
      <c r="B509" s="1"/>
      <c r="C509" s="1"/>
      <c r="D509" s="1"/>
      <c r="E509" s="1"/>
      <c r="F509" s="1"/>
      <c r="G509" s="1"/>
    </row>
    <row r="510" spans="1:7" x14ac:dyDescent="0.2">
      <c r="A510" s="3" t="s">
        <v>107</v>
      </c>
      <c r="B510" s="3" t="s">
        <v>533</v>
      </c>
      <c r="C510" s="4">
        <v>0.92482990026473999</v>
      </c>
      <c r="D510" s="4">
        <v>-8.9920759201049805E-3</v>
      </c>
      <c r="E510" s="4">
        <v>0.88090264797210704</v>
      </c>
      <c r="F510" s="3" t="s">
        <v>417</v>
      </c>
      <c r="G510" s="4">
        <f>POWER(10,D510)</f>
        <v>0.97950785721695977</v>
      </c>
    </row>
    <row r="511" spans="1:7" x14ac:dyDescent="0.2">
      <c r="A511" s="3" t="s">
        <v>107</v>
      </c>
      <c r="B511" s="3" t="s">
        <v>534</v>
      </c>
      <c r="C511" s="4">
        <v>0.92860120534896895</v>
      </c>
      <c r="D511" s="4">
        <v>1.04564893245697</v>
      </c>
      <c r="E511" s="4">
        <v>0.82188928127288796</v>
      </c>
      <c r="F511" s="3" t="s">
        <v>417</v>
      </c>
      <c r="G511" s="4">
        <f>POWER(10,D511)</f>
        <v>11.108334077412787</v>
      </c>
    </row>
    <row r="512" spans="1:7" x14ac:dyDescent="0.2">
      <c r="A512" s="3" t="s">
        <v>107</v>
      </c>
      <c r="B512" s="3" t="s">
        <v>40</v>
      </c>
      <c r="C512" s="4">
        <v>0.92189234495162997</v>
      </c>
      <c r="D512" s="4">
        <v>0.73755866289138805</v>
      </c>
      <c r="E512" s="4">
        <v>0.83410418033599898</v>
      </c>
      <c r="F512" s="3" t="s">
        <v>417</v>
      </c>
      <c r="G512" s="4">
        <f>POWER(10,D512)</f>
        <v>5.4646035873975842</v>
      </c>
    </row>
    <row r="513" spans="1:7" x14ac:dyDescent="0.2">
      <c r="A513" s="3" t="s">
        <v>107</v>
      </c>
      <c r="B513" s="3" t="s">
        <v>111</v>
      </c>
      <c r="C513" s="4">
        <v>0.92927992343902599</v>
      </c>
      <c r="D513" s="4">
        <v>0.24598675966262801</v>
      </c>
      <c r="E513" s="4">
        <v>0.97902631759643599</v>
      </c>
      <c r="F513" s="3" t="s">
        <v>417</v>
      </c>
      <c r="G513" s="4">
        <f>POWER(10,D513)</f>
        <v>1.7619223298606401</v>
      </c>
    </row>
    <row r="514" spans="1:7" x14ac:dyDescent="0.2">
      <c r="A514" s="3" t="s">
        <v>107</v>
      </c>
      <c r="B514" s="3" t="s">
        <v>116</v>
      </c>
      <c r="C514" s="4">
        <v>0.91583061218261697</v>
      </c>
      <c r="D514" s="4">
        <v>4.9113202840089798E-2</v>
      </c>
      <c r="E514" s="4">
        <v>0.183122918009758</v>
      </c>
      <c r="F514" s="3" t="s">
        <v>417</v>
      </c>
      <c r="G514" s="4">
        <f>POWER(10,D514)</f>
        <v>1.1197297132514485</v>
      </c>
    </row>
    <row r="515" spans="1:7" x14ac:dyDescent="0.2">
      <c r="A515" s="3" t="s">
        <v>107</v>
      </c>
      <c r="B515" s="3" t="s">
        <v>516</v>
      </c>
      <c r="C515" s="4">
        <v>0.91192674636840798</v>
      </c>
      <c r="D515" s="4">
        <v>0.23051060736179399</v>
      </c>
      <c r="E515" s="4">
        <v>0.64994174242019698</v>
      </c>
      <c r="F515" s="3" t="s">
        <v>417</v>
      </c>
      <c r="G515" s="4">
        <f>POWER(10,D515)</f>
        <v>1.7002414804335695</v>
      </c>
    </row>
    <row r="516" spans="1:7" x14ac:dyDescent="0.2">
      <c r="A516" s="3"/>
      <c r="B516" s="3"/>
      <c r="C516" s="4"/>
      <c r="D516" s="4"/>
      <c r="E516" s="4"/>
      <c r="F516" s="3"/>
      <c r="G516" s="4"/>
    </row>
    <row r="517" spans="1:7" x14ac:dyDescent="0.2">
      <c r="A517" s="3" t="s">
        <v>107</v>
      </c>
      <c r="B517" s="3" t="s">
        <v>476</v>
      </c>
      <c r="C517" s="4">
        <v>0.92512339353561401</v>
      </c>
      <c r="D517" s="4">
        <v>0.76331347227096602</v>
      </c>
      <c r="E517" s="4">
        <v>0.775495946407318</v>
      </c>
      <c r="F517" s="3" t="s">
        <v>417</v>
      </c>
      <c r="G517" s="4">
        <f>POWER(10,D517)</f>
        <v>5.7984707705195655</v>
      </c>
    </row>
    <row r="518" spans="1:7" x14ac:dyDescent="0.2">
      <c r="A518" s="1"/>
      <c r="B518" s="1"/>
      <c r="C518" s="1"/>
      <c r="D518" s="1"/>
      <c r="E518" s="1"/>
      <c r="F518" s="1"/>
      <c r="G518" s="1"/>
    </row>
    <row r="519" spans="1:7" x14ac:dyDescent="0.2">
      <c r="A519" s="1"/>
      <c r="B519" s="1"/>
      <c r="C519" s="1"/>
      <c r="D519" s="1"/>
      <c r="E519" s="1"/>
      <c r="F519" s="1"/>
      <c r="G519" s="1"/>
    </row>
    <row r="520" spans="1:7" x14ac:dyDescent="0.2">
      <c r="A520" s="3" t="s">
        <v>110</v>
      </c>
      <c r="B520" s="3" t="s">
        <v>479</v>
      </c>
      <c r="C520" s="4">
        <v>0.95748418569564797</v>
      </c>
      <c r="D520" s="4">
        <v>2.67846584320068</v>
      </c>
      <c r="E520" s="4">
        <v>0.61015945672988903</v>
      </c>
      <c r="F520" s="3" t="s">
        <v>417</v>
      </c>
      <c r="G520" s="4">
        <f>POWER(10,D520)</f>
        <v>476.9423016390777</v>
      </c>
    </row>
    <row r="521" spans="1:7" x14ac:dyDescent="0.2">
      <c r="A521" s="3" t="s">
        <v>110</v>
      </c>
      <c r="B521" s="3" t="s">
        <v>533</v>
      </c>
      <c r="C521" s="4">
        <v>0.97431391477584794</v>
      </c>
      <c r="D521" s="4">
        <v>-1.1282252073287999</v>
      </c>
      <c r="E521" s="4">
        <v>0.87236601114273105</v>
      </c>
      <c r="F521" s="3" t="s">
        <v>417</v>
      </c>
      <c r="G521" s="4">
        <f>POWER(10,D521)</f>
        <v>7.4434588652313977E-2</v>
      </c>
    </row>
    <row r="522" spans="1:7" x14ac:dyDescent="0.2">
      <c r="A522" s="3" t="s">
        <v>110</v>
      </c>
      <c r="B522" s="3" t="s">
        <v>19</v>
      </c>
      <c r="C522" s="4">
        <v>0.97241801023483299</v>
      </c>
      <c r="D522" s="4">
        <v>0.800242960453033</v>
      </c>
      <c r="E522" s="4">
        <v>0.11063988506793999</v>
      </c>
      <c r="F522" s="3" t="s">
        <v>417</v>
      </c>
      <c r="G522" s="4">
        <f>POWER(10,D522)</f>
        <v>6.3131042419189392</v>
      </c>
    </row>
    <row r="523" spans="1:7" x14ac:dyDescent="0.2">
      <c r="A523" s="3" t="s">
        <v>110</v>
      </c>
      <c r="B523" s="3" t="s">
        <v>501</v>
      </c>
      <c r="C523" s="4">
        <v>0.963986396789551</v>
      </c>
      <c r="D523" s="4">
        <v>0.32264393568038902</v>
      </c>
      <c r="E523" s="4">
        <v>0.775351762771606</v>
      </c>
      <c r="F523" s="3" t="s">
        <v>417</v>
      </c>
      <c r="G523" s="4">
        <f>POWER(10,D523)</f>
        <v>2.1020543251848194</v>
      </c>
    </row>
    <row r="524" spans="1:7" x14ac:dyDescent="0.2">
      <c r="A524" s="3" t="s">
        <v>110</v>
      </c>
      <c r="B524" s="3" t="s">
        <v>20</v>
      </c>
      <c r="C524" s="4">
        <v>0.963453888893127</v>
      </c>
      <c r="D524" s="4">
        <v>-0.42655411362647999</v>
      </c>
      <c r="E524" s="4">
        <v>0.88335001468658503</v>
      </c>
      <c r="F524" s="3" t="s">
        <v>417</v>
      </c>
      <c r="G524" s="4">
        <f>POWER(10,D524)</f>
        <v>0.3744948816061266</v>
      </c>
    </row>
    <row r="525" spans="1:7" x14ac:dyDescent="0.2">
      <c r="A525" s="3" t="s">
        <v>110</v>
      </c>
      <c r="B525" s="3" t="s">
        <v>108</v>
      </c>
      <c r="C525" s="4">
        <v>0.97625428438186701</v>
      </c>
      <c r="D525" s="4">
        <v>-9.5572724938392598E-2</v>
      </c>
      <c r="E525" s="4">
        <v>0.98231607675552401</v>
      </c>
      <c r="F525" s="3" t="s">
        <v>417</v>
      </c>
      <c r="G525" s="4">
        <f>POWER(10,D525)</f>
        <v>0.80246717219245811</v>
      </c>
    </row>
    <row r="526" spans="1:7" x14ac:dyDescent="0.2">
      <c r="A526" s="3" t="s">
        <v>110</v>
      </c>
      <c r="B526" s="3" t="s">
        <v>449</v>
      </c>
      <c r="C526" s="4">
        <v>0.97351562976837203</v>
      </c>
      <c r="D526" s="4">
        <v>0.69632476568222101</v>
      </c>
      <c r="E526" s="4">
        <v>0.67856013774871804</v>
      </c>
      <c r="F526" s="3" t="s">
        <v>417</v>
      </c>
      <c r="G526" s="4">
        <f>POWER(10,D526)</f>
        <v>4.969638123787691</v>
      </c>
    </row>
    <row r="527" spans="1:7" x14ac:dyDescent="0.2">
      <c r="A527" s="3" t="s">
        <v>110</v>
      </c>
      <c r="B527" s="3" t="s">
        <v>73</v>
      </c>
      <c r="C527" s="4">
        <v>0.97149670124053999</v>
      </c>
      <c r="D527" s="4">
        <v>1.6878181695938099</v>
      </c>
      <c r="E527" s="4">
        <v>0.685127913951874</v>
      </c>
      <c r="F527" s="3" t="s">
        <v>417</v>
      </c>
      <c r="G527" s="4">
        <f>POWER(10,D527)</f>
        <v>48.7324414407747</v>
      </c>
    </row>
    <row r="528" spans="1:7" x14ac:dyDescent="0.2">
      <c r="A528" s="3" t="s">
        <v>110</v>
      </c>
      <c r="B528" s="3" t="s">
        <v>480</v>
      </c>
      <c r="C528" s="4">
        <v>0.97076636552810702</v>
      </c>
      <c r="D528" s="4">
        <v>0.98276489973068204</v>
      </c>
      <c r="E528" s="4">
        <v>0.67046374082565297</v>
      </c>
      <c r="F528" s="3" t="s">
        <v>417</v>
      </c>
      <c r="G528" s="4">
        <f>POWER(10,D528)</f>
        <v>9.6109186162852236</v>
      </c>
    </row>
    <row r="529" spans="1:7" x14ac:dyDescent="0.2">
      <c r="A529" s="3" t="s">
        <v>110</v>
      </c>
      <c r="B529" s="3" t="s">
        <v>476</v>
      </c>
      <c r="C529" s="4">
        <v>0.97257483005523704</v>
      </c>
      <c r="D529" s="4">
        <v>-0.72302293777465798</v>
      </c>
      <c r="E529" s="4">
        <v>0.91203016042709395</v>
      </c>
      <c r="F529" s="3" t="s">
        <v>417</v>
      </c>
      <c r="G529" s="4">
        <f>POWER(10,D529)</f>
        <v>0.18922436749269328</v>
      </c>
    </row>
    <row r="530" spans="1:7" x14ac:dyDescent="0.2">
      <c r="A530" s="3" t="s">
        <v>110</v>
      </c>
      <c r="B530" s="3" t="s">
        <v>536</v>
      </c>
      <c r="C530" s="4">
        <v>0.96352064609527599</v>
      </c>
      <c r="D530" s="4">
        <v>1.1187227964401201</v>
      </c>
      <c r="E530" s="4">
        <v>0.26825594902038602</v>
      </c>
      <c r="F530" s="3" t="s">
        <v>417</v>
      </c>
      <c r="G530" s="4">
        <f>POWER(10,D530)</f>
        <v>13.143856120526003</v>
      </c>
    </row>
    <row r="531" spans="1:7" x14ac:dyDescent="0.2">
      <c r="A531" s="3" t="s">
        <v>110</v>
      </c>
      <c r="B531" s="3" t="s">
        <v>508</v>
      </c>
      <c r="C531" s="4">
        <v>0.96496486663818404</v>
      </c>
      <c r="D531" s="4">
        <v>5.83453513681889E-2</v>
      </c>
      <c r="E531" s="4">
        <v>0.87235456705093395</v>
      </c>
      <c r="F531" s="3" t="s">
        <v>417</v>
      </c>
      <c r="G531" s="4">
        <f>POWER(10,D531)</f>
        <v>1.1437875141263816</v>
      </c>
    </row>
    <row r="532" spans="1:7" x14ac:dyDescent="0.2">
      <c r="A532" s="3" t="s">
        <v>110</v>
      </c>
      <c r="B532" s="3" t="s">
        <v>477</v>
      </c>
      <c r="C532" s="4">
        <v>0.96241819858551003</v>
      </c>
      <c r="D532" s="4">
        <v>-0.27064400911331199</v>
      </c>
      <c r="E532" s="4">
        <v>0.71678507328033503</v>
      </c>
      <c r="F532" s="3" t="s">
        <v>417</v>
      </c>
      <c r="G532" s="4">
        <f>POWER(10,D532)</f>
        <v>0.5362360297151757</v>
      </c>
    </row>
    <row r="533" spans="1:7" x14ac:dyDescent="0.2">
      <c r="A533" s="3" t="s">
        <v>112</v>
      </c>
      <c r="B533" s="3" t="s">
        <v>439</v>
      </c>
      <c r="C533" s="4">
        <v>0.91560190916061401</v>
      </c>
      <c r="D533" s="4">
        <v>-1.3503214120864899</v>
      </c>
      <c r="E533" s="4">
        <v>0.204776495695114</v>
      </c>
      <c r="F533" s="3" t="s">
        <v>417</v>
      </c>
      <c r="G533" s="4">
        <f>POWER(10,D533)</f>
        <v>4.4635313344593031E-2</v>
      </c>
    </row>
    <row r="534" spans="1:7" x14ac:dyDescent="0.2">
      <c r="A534" s="3" t="s">
        <v>537</v>
      </c>
      <c r="B534" s="3" t="s">
        <v>538</v>
      </c>
      <c r="C534" s="4">
        <v>0.90516012907028198</v>
      </c>
      <c r="D534" s="4">
        <v>2.20199418067932</v>
      </c>
      <c r="E534" s="4">
        <v>0.15369358658790599</v>
      </c>
      <c r="F534" s="3" t="s">
        <v>417</v>
      </c>
      <c r="G534" s="4">
        <f>POWER(10,D534)</f>
        <v>159.21873924234438</v>
      </c>
    </row>
    <row r="535" spans="1:7" x14ac:dyDescent="0.2">
      <c r="A535" s="3" t="s">
        <v>537</v>
      </c>
      <c r="B535" s="3" t="s">
        <v>539</v>
      </c>
      <c r="C535" s="4">
        <v>0.92080146074295</v>
      </c>
      <c r="D535" s="4">
        <v>-0.96105575561523404</v>
      </c>
      <c r="E535" s="4">
        <v>0.96615380048751798</v>
      </c>
      <c r="F535" s="3" t="s">
        <v>417</v>
      </c>
      <c r="G535" s="4">
        <f>POWER(10,D535)</f>
        <v>0.10938159309277158</v>
      </c>
    </row>
    <row r="536" spans="1:7" x14ac:dyDescent="0.2">
      <c r="A536" s="3" t="s">
        <v>537</v>
      </c>
      <c r="B536" s="3" t="s">
        <v>528</v>
      </c>
      <c r="C536" s="4">
        <v>0.92797338962554898</v>
      </c>
      <c r="D536" s="4">
        <v>1.09343934059143</v>
      </c>
      <c r="E536" s="4">
        <v>0.49904611706733698</v>
      </c>
      <c r="F536" s="3" t="s">
        <v>417</v>
      </c>
      <c r="G536" s="4">
        <f>POWER(10,D536)</f>
        <v>12.400504109034864</v>
      </c>
    </row>
    <row r="537" spans="1:7" x14ac:dyDescent="0.2">
      <c r="A537" s="3" t="s">
        <v>537</v>
      </c>
      <c r="B537" s="3" t="s">
        <v>540</v>
      </c>
      <c r="C537" s="4">
        <v>0.89558166265487704</v>
      </c>
      <c r="D537" s="4">
        <v>1.8090616464614899</v>
      </c>
      <c r="E537" s="4">
        <v>0.11956286430358901</v>
      </c>
      <c r="F537" s="3" t="s">
        <v>417</v>
      </c>
      <c r="G537" s="4">
        <f>POWER(10,D537)</f>
        <v>64.426070939946285</v>
      </c>
    </row>
    <row r="538" spans="1:7" x14ac:dyDescent="0.2">
      <c r="A538" s="3" t="s">
        <v>537</v>
      </c>
      <c r="B538" s="3" t="s">
        <v>541</v>
      </c>
      <c r="C538" s="4">
        <v>0.91013604402542103</v>
      </c>
      <c r="D538" s="4">
        <v>2.81808662414551</v>
      </c>
      <c r="E538" s="4">
        <v>0.33404150605201699</v>
      </c>
      <c r="F538" s="3" t="s">
        <v>417</v>
      </c>
      <c r="G538" s="4">
        <f>POWER(10,D538)</f>
        <v>657.78902651959118</v>
      </c>
    </row>
    <row r="539" spans="1:7" x14ac:dyDescent="0.2">
      <c r="A539" s="3" t="s">
        <v>537</v>
      </c>
      <c r="B539" s="3" t="s">
        <v>542</v>
      </c>
      <c r="C539" s="4">
        <v>0.91747456789016701</v>
      </c>
      <c r="D539" s="4">
        <v>2.2404489517211901</v>
      </c>
      <c r="E539" s="4">
        <v>0.55181884765625</v>
      </c>
      <c r="F539" s="3" t="s">
        <v>417</v>
      </c>
      <c r="G539" s="4">
        <f>POWER(10,D539)</f>
        <v>173.95982084180415</v>
      </c>
    </row>
    <row r="540" spans="1:7" x14ac:dyDescent="0.2">
      <c r="A540" s="3" t="s">
        <v>537</v>
      </c>
      <c r="B540" s="3" t="s">
        <v>543</v>
      </c>
      <c r="C540" s="4">
        <v>0.92213821411132801</v>
      </c>
      <c r="D540" s="4">
        <v>1.97561383247375</v>
      </c>
      <c r="E540" s="4">
        <v>0.132138282060623</v>
      </c>
      <c r="F540" s="3" t="s">
        <v>417</v>
      </c>
      <c r="G540" s="4">
        <f>POWER(10,D540)</f>
        <v>94.539615676943598</v>
      </c>
    </row>
    <row r="542" spans="1:7" x14ac:dyDescent="0.2">
      <c r="A542" s="3" t="s">
        <v>774</v>
      </c>
      <c r="C542" s="20">
        <f>AVERAGE(C2:C540)</f>
        <v>0.87294547372776676</v>
      </c>
    </row>
    <row r="543" spans="1:7" x14ac:dyDescent="0.2">
      <c r="C543">
        <f>STDEV(C2:C540)</f>
        <v>8.2499969301761678E-2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7B76-3FCF-B241-BC0D-38CF7FC771D5}">
  <dimension ref="A1:F543"/>
  <sheetViews>
    <sheetView workbookViewId="0">
      <selection activeCell="C544" sqref="C544"/>
    </sheetView>
  </sheetViews>
  <sheetFormatPr baseColWidth="10" defaultRowHeight="16" x14ac:dyDescent="0.2"/>
  <sheetData>
    <row r="1" spans="1:6" x14ac:dyDescent="0.2">
      <c r="A1" s="7" t="s">
        <v>0</v>
      </c>
      <c r="B1" s="7" t="s">
        <v>1</v>
      </c>
      <c r="C1" s="9" t="s">
        <v>2</v>
      </c>
      <c r="D1" s="9" t="s">
        <v>544</v>
      </c>
      <c r="E1" s="9" t="s">
        <v>4</v>
      </c>
      <c r="F1" s="9" t="s">
        <v>114</v>
      </c>
    </row>
    <row r="2" spans="1:6" x14ac:dyDescent="0.2">
      <c r="A2" s="5" t="s">
        <v>415</v>
      </c>
      <c r="B2" s="5" t="s">
        <v>416</v>
      </c>
      <c r="C2" s="6">
        <v>0.93567669391632102</v>
      </c>
      <c r="D2" s="6">
        <v>1.06979036331177</v>
      </c>
      <c r="E2" s="6">
        <v>6.0584925115108497E-2</v>
      </c>
      <c r="F2" s="6">
        <f>EXP(D2)</f>
        <v>2.9147683935310917</v>
      </c>
    </row>
    <row r="3" spans="1:6" x14ac:dyDescent="0.2">
      <c r="A3" s="5" t="s">
        <v>415</v>
      </c>
      <c r="B3" s="5" t="s">
        <v>418</v>
      </c>
      <c r="C3" s="6">
        <v>0.95273160934448198</v>
      </c>
      <c r="D3" s="6">
        <v>2.44331932067871</v>
      </c>
      <c r="E3" s="6">
        <v>0.55031436681747403</v>
      </c>
      <c r="F3" s="6">
        <f>EXP(D3)</f>
        <v>11.511186718519085</v>
      </c>
    </row>
    <row r="4" spans="1:6" x14ac:dyDescent="0.2">
      <c r="A4" s="5" t="s">
        <v>415</v>
      </c>
      <c r="B4" s="5" t="s">
        <v>419</v>
      </c>
      <c r="C4" s="6">
        <v>0.95161056518554699</v>
      </c>
      <c r="D4" s="6">
        <v>2.1965470314025901</v>
      </c>
      <c r="E4" s="6">
        <v>0.57486355304717995</v>
      </c>
      <c r="F4" s="6">
        <f>EXP(D4)</f>
        <v>8.9939041519390699</v>
      </c>
    </row>
    <row r="5" spans="1:6" x14ac:dyDescent="0.2">
      <c r="A5" s="5" t="s">
        <v>415</v>
      </c>
      <c r="B5" s="5" t="s">
        <v>545</v>
      </c>
      <c r="C5" s="6">
        <v>0.94985467195510898</v>
      </c>
      <c r="D5" s="6">
        <v>0.36573594808578502</v>
      </c>
      <c r="E5" s="6">
        <v>0.34898129105567899</v>
      </c>
      <c r="F5" s="6">
        <f>EXP(D5)</f>
        <v>1.4415745418770773</v>
      </c>
    </row>
    <row r="6" spans="1:6" x14ac:dyDescent="0.2">
      <c r="A6" s="5" t="s">
        <v>415</v>
      </c>
      <c r="B6" s="5" t="s">
        <v>420</v>
      </c>
      <c r="C6" s="6">
        <v>0.93766164779663097</v>
      </c>
      <c r="D6" s="6">
        <v>0.898001849651337</v>
      </c>
      <c r="E6" s="6">
        <v>0.17877656221389801</v>
      </c>
      <c r="F6" s="6">
        <f>EXP(D6)</f>
        <v>2.4546933611856847</v>
      </c>
    </row>
    <row r="7" spans="1:6" x14ac:dyDescent="0.2">
      <c r="A7" s="5" t="s">
        <v>415</v>
      </c>
      <c r="B7" s="5" t="s">
        <v>421</v>
      </c>
      <c r="C7" s="6">
        <v>0.952298164367676</v>
      </c>
      <c r="D7" s="6">
        <v>1.67201364040375</v>
      </c>
      <c r="E7" s="6">
        <v>0.80556255578994795</v>
      </c>
      <c r="F7" s="6">
        <f>EXP(D7)</f>
        <v>5.3228753698715261</v>
      </c>
    </row>
    <row r="8" spans="1:6" x14ac:dyDescent="0.2">
      <c r="A8" s="5" t="s">
        <v>415</v>
      </c>
      <c r="B8" s="5" t="s">
        <v>422</v>
      </c>
      <c r="C8" s="6">
        <v>0.945398509502411</v>
      </c>
      <c r="D8" s="6">
        <v>1.9626227617263801</v>
      </c>
      <c r="E8" s="6">
        <v>0.87790232896804798</v>
      </c>
      <c r="F8" s="6">
        <f>EXP(D8)</f>
        <v>7.1179713475336506</v>
      </c>
    </row>
    <row r="9" spans="1:6" x14ac:dyDescent="0.2">
      <c r="A9" s="5" t="s">
        <v>415</v>
      </c>
      <c r="B9" s="5" t="s">
        <v>423</v>
      </c>
      <c r="C9" s="6">
        <v>0.94942820072174094</v>
      </c>
      <c r="D9" s="6">
        <v>1.70809066295624</v>
      </c>
      <c r="E9" s="6">
        <v>0.62844151258468595</v>
      </c>
      <c r="F9" s="6">
        <f>EXP(D9)</f>
        <v>5.5184148983525212</v>
      </c>
    </row>
    <row r="10" spans="1:6" x14ac:dyDescent="0.2">
      <c r="A10" s="5" t="s">
        <v>415</v>
      </c>
      <c r="B10" s="5" t="s">
        <v>424</v>
      </c>
      <c r="C10" s="6">
        <v>0.94925367832183805</v>
      </c>
      <c r="D10" s="6">
        <v>1.42526042461395</v>
      </c>
      <c r="E10" s="6">
        <v>0.54183822870254505</v>
      </c>
      <c r="F10" s="6">
        <f>EXP(D10)</f>
        <v>4.1589407922868018</v>
      </c>
    </row>
    <row r="11" spans="1:6" x14ac:dyDescent="0.2">
      <c r="A11" s="5" t="s">
        <v>425</v>
      </c>
      <c r="B11" s="5" t="s">
        <v>546</v>
      </c>
      <c r="C11" s="6">
        <v>0.80032777786254905</v>
      </c>
      <c r="D11" s="6">
        <v>1.9888170957565301</v>
      </c>
      <c r="E11" s="6">
        <v>0.55087888240814198</v>
      </c>
      <c r="F11" s="6">
        <f>EXP(D11)</f>
        <v>7.3068853025372205</v>
      </c>
    </row>
    <row r="12" spans="1:6" x14ac:dyDescent="0.2">
      <c r="A12" s="5" t="s">
        <v>425</v>
      </c>
      <c r="B12" s="5" t="s">
        <v>416</v>
      </c>
      <c r="C12" s="6">
        <v>0.86359655857086204</v>
      </c>
      <c r="D12" s="6">
        <v>0.107914626598358</v>
      </c>
      <c r="E12" s="6">
        <v>0.10809500515461</v>
      </c>
      <c r="F12" s="6">
        <f>EXP(D12)</f>
        <v>1.1139526394006709</v>
      </c>
    </row>
    <row r="13" spans="1:6" x14ac:dyDescent="0.2">
      <c r="A13" s="5" t="s">
        <v>425</v>
      </c>
      <c r="B13" s="5" t="s">
        <v>418</v>
      </c>
      <c r="C13" s="6">
        <v>0.86797732114791903</v>
      </c>
      <c r="D13" s="6">
        <v>1.84626340866089</v>
      </c>
      <c r="E13" s="6">
        <v>0.49833455681800798</v>
      </c>
      <c r="F13" s="6">
        <f>EXP(D13)</f>
        <v>6.3360998190728566</v>
      </c>
    </row>
    <row r="14" spans="1:6" x14ac:dyDescent="0.2">
      <c r="A14" s="5" t="s">
        <v>425</v>
      </c>
      <c r="B14" s="5" t="s">
        <v>419</v>
      </c>
      <c r="C14" s="6">
        <v>0.86908215284347501</v>
      </c>
      <c r="D14" s="6">
        <v>1.9236541986465501</v>
      </c>
      <c r="E14" s="6">
        <v>0.22915138304233601</v>
      </c>
      <c r="F14" s="6">
        <f>EXP(D14)</f>
        <v>6.8459292027210319</v>
      </c>
    </row>
    <row r="15" spans="1:6" x14ac:dyDescent="0.2">
      <c r="A15" s="5" t="s">
        <v>425</v>
      </c>
      <c r="B15" s="5" t="s">
        <v>420</v>
      </c>
      <c r="C15" s="6">
        <v>0.86962813138961803</v>
      </c>
      <c r="D15" s="6">
        <v>0.97726637125015303</v>
      </c>
      <c r="E15" s="6">
        <v>0.14876994490623499</v>
      </c>
      <c r="F15" s="6">
        <f>EXP(D15)</f>
        <v>2.6571825540544385</v>
      </c>
    </row>
    <row r="16" spans="1:6" x14ac:dyDescent="0.2">
      <c r="A16" s="5" t="s">
        <v>425</v>
      </c>
      <c r="B16" s="5" t="s">
        <v>421</v>
      </c>
      <c r="C16" s="6">
        <v>0.88353055715560902</v>
      </c>
      <c r="D16" s="6">
        <v>1.11830711364746</v>
      </c>
      <c r="E16" s="6">
        <v>0.67733818292617798</v>
      </c>
      <c r="F16" s="6">
        <f>EXP(D16)</f>
        <v>3.0596701426905129</v>
      </c>
    </row>
    <row r="17" spans="1:6" x14ac:dyDescent="0.2">
      <c r="A17" s="5" t="s">
        <v>425</v>
      </c>
      <c r="B17" s="5" t="s">
        <v>422</v>
      </c>
      <c r="C17" s="6">
        <v>0.86818325519561801</v>
      </c>
      <c r="D17" s="6">
        <v>1.99801480770111</v>
      </c>
      <c r="E17" s="6">
        <v>0.986952424049377</v>
      </c>
      <c r="F17" s="6">
        <f>EXP(D17)</f>
        <v>7.3744019521293263</v>
      </c>
    </row>
    <row r="18" spans="1:6" x14ac:dyDescent="0.2">
      <c r="A18" s="5" t="s">
        <v>425</v>
      </c>
      <c r="B18" s="5" t="s">
        <v>423</v>
      </c>
      <c r="C18" s="6">
        <v>0.88480806350707997</v>
      </c>
      <c r="D18" s="6">
        <v>1.59108662605286</v>
      </c>
      <c r="E18" s="6">
        <v>0.57543158531188998</v>
      </c>
      <c r="F18" s="6">
        <f>EXP(D18)</f>
        <v>4.9090803657836526</v>
      </c>
    </row>
    <row r="19" spans="1:6" x14ac:dyDescent="0.2">
      <c r="A19" s="5" t="s">
        <v>425</v>
      </c>
      <c r="B19" s="5" t="s">
        <v>424</v>
      </c>
      <c r="C19" s="6">
        <v>0.87010318040847801</v>
      </c>
      <c r="D19" s="6">
        <v>1.19698262214661</v>
      </c>
      <c r="E19" s="6">
        <v>0.68296599388122603</v>
      </c>
      <c r="F19" s="6">
        <f>EXP(D19)</f>
        <v>3.3101139743899983</v>
      </c>
    </row>
    <row r="20" spans="1:6" x14ac:dyDescent="0.2">
      <c r="A20" s="5" t="s">
        <v>7</v>
      </c>
      <c r="B20" s="5" t="s">
        <v>116</v>
      </c>
      <c r="C20" s="6">
        <v>0.75145035982132002</v>
      </c>
      <c r="D20" s="6">
        <v>-0.84659457206726096</v>
      </c>
      <c r="E20" s="6">
        <v>0.94613295793533303</v>
      </c>
      <c r="F20" s="6">
        <f>EXP(D20)</f>
        <v>0.4288729438650683</v>
      </c>
    </row>
    <row r="21" spans="1:6" x14ac:dyDescent="0.2">
      <c r="A21" s="5" t="s">
        <v>7</v>
      </c>
      <c r="B21" s="5" t="s">
        <v>65</v>
      </c>
      <c r="C21" s="6">
        <v>0.74320393800735496</v>
      </c>
      <c r="D21" s="6">
        <v>-1.88578546047211</v>
      </c>
      <c r="E21" s="6">
        <v>0.79366987943649303</v>
      </c>
      <c r="F21" s="6">
        <f>EXP(D21)</f>
        <v>0.15170985052780003</v>
      </c>
    </row>
    <row r="22" spans="1:6" x14ac:dyDescent="0.2">
      <c r="A22" s="5" t="s">
        <v>7</v>
      </c>
      <c r="B22" s="5" t="s">
        <v>474</v>
      </c>
      <c r="C22" s="6">
        <v>0.74055975675582897</v>
      </c>
      <c r="D22" s="6">
        <v>1.85440230369568</v>
      </c>
      <c r="E22" s="6">
        <v>0.25873896479606601</v>
      </c>
      <c r="F22" s="6">
        <f>EXP(D22)</f>
        <v>6.3878790976586775</v>
      </c>
    </row>
    <row r="23" spans="1:6" x14ac:dyDescent="0.2">
      <c r="A23" s="5" t="s">
        <v>7</v>
      </c>
      <c r="B23" s="5" t="s">
        <v>505</v>
      </c>
      <c r="C23" s="6">
        <v>0.75191611051559504</v>
      </c>
      <c r="D23" s="6">
        <v>-1.0958106517791699</v>
      </c>
      <c r="E23" s="6">
        <v>0.96932286024093595</v>
      </c>
      <c r="F23" s="6">
        <f>EXP(D23)</f>
        <v>0.33426852171374133</v>
      </c>
    </row>
    <row r="24" spans="1:6" x14ac:dyDescent="0.2">
      <c r="A24" s="5" t="s">
        <v>18</v>
      </c>
      <c r="B24" s="5" t="s">
        <v>8</v>
      </c>
      <c r="C24" s="6">
        <v>0.72099113464355502</v>
      </c>
      <c r="D24" s="6">
        <v>0.183884486556053</v>
      </c>
      <c r="E24" s="6">
        <v>0.96216595172882102</v>
      </c>
      <c r="F24" s="6">
        <f>EXP(D24)</f>
        <v>1.2018769821280504</v>
      </c>
    </row>
    <row r="25" spans="1:6" x14ac:dyDescent="0.2">
      <c r="A25" s="5" t="s">
        <v>18</v>
      </c>
      <c r="B25" s="5" t="s">
        <v>72</v>
      </c>
      <c r="C25" s="6">
        <v>0.69210225343704201</v>
      </c>
      <c r="D25" s="6">
        <v>3.9425898343324703E-2</v>
      </c>
      <c r="E25" s="6">
        <v>0.69008654356002797</v>
      </c>
      <c r="F25" s="6">
        <f>EXP(D25)</f>
        <v>1.0402134144916428</v>
      </c>
    </row>
    <row r="26" spans="1:6" x14ac:dyDescent="0.2">
      <c r="A26" s="5" t="s">
        <v>18</v>
      </c>
      <c r="B26" s="5" t="s">
        <v>116</v>
      </c>
      <c r="C26" s="6">
        <v>0.733437359333038</v>
      </c>
      <c r="D26" s="6">
        <v>-0.29791885614395103</v>
      </c>
      <c r="E26" s="6">
        <v>0.931748926639557</v>
      </c>
      <c r="F26" s="6">
        <f>EXP(D26)</f>
        <v>0.74236157538467473</v>
      </c>
    </row>
    <row r="27" spans="1:6" x14ac:dyDescent="0.2">
      <c r="A27" s="5" t="s">
        <v>18</v>
      </c>
      <c r="B27" s="5" t="s">
        <v>426</v>
      </c>
      <c r="C27" s="6">
        <v>0.733514964580536</v>
      </c>
      <c r="D27" s="6">
        <v>-5.96192888915539E-2</v>
      </c>
      <c r="E27" s="6">
        <v>0.77412068843841597</v>
      </c>
      <c r="F27" s="6">
        <f>EXP(D27)</f>
        <v>0.94212314206250902</v>
      </c>
    </row>
    <row r="28" spans="1:6" x14ac:dyDescent="0.2">
      <c r="A28" s="5" t="s">
        <v>18</v>
      </c>
      <c r="B28" s="5" t="s">
        <v>12</v>
      </c>
      <c r="C28" s="6">
        <v>0.72998756170272805</v>
      </c>
      <c r="D28" s="6">
        <v>-2.58373928070068</v>
      </c>
      <c r="E28" s="6">
        <v>0.93774372339248702</v>
      </c>
      <c r="F28" s="6">
        <f>EXP(D28)</f>
        <v>7.5491192836721982E-2</v>
      </c>
    </row>
    <row r="29" spans="1:6" x14ac:dyDescent="0.2">
      <c r="A29" s="5" t="s">
        <v>18</v>
      </c>
      <c r="B29" s="5" t="s">
        <v>73</v>
      </c>
      <c r="C29" s="6">
        <v>0.717967510223389</v>
      </c>
      <c r="D29" s="6">
        <v>0.13624350726604501</v>
      </c>
      <c r="E29" s="6">
        <v>0.93391942977905296</v>
      </c>
      <c r="F29" s="6">
        <f>EXP(D29)</f>
        <v>1.1459609094303413</v>
      </c>
    </row>
    <row r="30" spans="1:6" x14ac:dyDescent="0.2">
      <c r="A30" s="5" t="s">
        <v>18</v>
      </c>
      <c r="B30" s="5" t="s">
        <v>475</v>
      </c>
      <c r="C30" s="6">
        <v>0.72992581129074097</v>
      </c>
      <c r="D30" s="6">
        <v>0.56432574987411499</v>
      </c>
      <c r="E30" s="6">
        <v>0.63809108734130904</v>
      </c>
      <c r="F30" s="6">
        <f>EXP(D30)</f>
        <v>1.7582618746770784</v>
      </c>
    </row>
    <row r="31" spans="1:6" x14ac:dyDescent="0.2">
      <c r="A31" s="5" t="s">
        <v>18</v>
      </c>
      <c r="B31" s="5" t="s">
        <v>15</v>
      </c>
      <c r="C31" s="6">
        <v>0.70279693603515603</v>
      </c>
      <c r="D31" s="6">
        <v>0.66323620080947898</v>
      </c>
      <c r="E31" s="6">
        <v>0.79717582464218095</v>
      </c>
      <c r="F31" s="6">
        <f>EXP(D31)</f>
        <v>1.9410638533947526</v>
      </c>
    </row>
    <row r="32" spans="1:6" x14ac:dyDescent="0.2">
      <c r="A32" s="5" t="s">
        <v>18</v>
      </c>
      <c r="B32" s="5" t="s">
        <v>16</v>
      </c>
      <c r="C32" s="6">
        <v>0.71748131513595603</v>
      </c>
      <c r="D32" s="6">
        <v>-0.53949511051178001</v>
      </c>
      <c r="E32" s="6">
        <v>0.87380194664001498</v>
      </c>
      <c r="F32" s="6">
        <f>EXP(D32)</f>
        <v>0.58304255012856154</v>
      </c>
    </row>
    <row r="33" spans="1:6" x14ac:dyDescent="0.2">
      <c r="A33" s="5" t="s">
        <v>18</v>
      </c>
      <c r="B33" s="5" t="s">
        <v>427</v>
      </c>
      <c r="C33" s="6">
        <v>0.70703154802322399</v>
      </c>
      <c r="D33" s="6">
        <v>0.20207005739212</v>
      </c>
      <c r="E33" s="6">
        <v>0.79477345943450906</v>
      </c>
      <c r="F33" s="6">
        <f>EXP(D33)</f>
        <v>1.2239337507145742</v>
      </c>
    </row>
    <row r="34" spans="1:6" x14ac:dyDescent="0.2">
      <c r="A34" s="5" t="s">
        <v>18</v>
      </c>
      <c r="B34" s="5" t="s">
        <v>428</v>
      </c>
      <c r="C34" s="6">
        <v>0.71994322538375899</v>
      </c>
      <c r="D34" s="6">
        <v>1.5540475845336901</v>
      </c>
      <c r="E34" s="6">
        <v>0.851728916168213</v>
      </c>
      <c r="F34" s="6">
        <f>EXP(D34)</f>
        <v>4.7305789024240879</v>
      </c>
    </row>
    <row r="35" spans="1:6" x14ac:dyDescent="0.2">
      <c r="A35" s="5" t="s">
        <v>18</v>
      </c>
      <c r="B35" s="5" t="s">
        <v>196</v>
      </c>
      <c r="C35" s="6">
        <v>0.71323806047439597</v>
      </c>
      <c r="D35" s="6">
        <v>-0.33748948574066201</v>
      </c>
      <c r="E35" s="6">
        <v>0.86516356468200695</v>
      </c>
      <c r="F35" s="6">
        <f>EXP(D35)</f>
        <v>0.71355947721645729</v>
      </c>
    </row>
    <row r="36" spans="1:6" x14ac:dyDescent="0.2">
      <c r="A36" s="5" t="s">
        <v>18</v>
      </c>
      <c r="B36" s="5" t="s">
        <v>17</v>
      </c>
      <c r="C36" s="6">
        <v>0.72700107097625699</v>
      </c>
      <c r="D36" s="6">
        <v>-0.69018149375915505</v>
      </c>
      <c r="E36" s="6">
        <v>0.88963794708251998</v>
      </c>
      <c r="F36" s="6">
        <f>EXP(D36)</f>
        <v>0.50148504440023278</v>
      </c>
    </row>
    <row r="37" spans="1:6" x14ac:dyDescent="0.2">
      <c r="A37" s="5" t="s">
        <v>25</v>
      </c>
      <c r="B37" s="5" t="s">
        <v>8</v>
      </c>
      <c r="C37" s="6">
        <v>0.6415656208992</v>
      </c>
      <c r="D37" s="6">
        <v>1.99018120765686E-2</v>
      </c>
      <c r="E37" s="6">
        <v>0.83894419670105003</v>
      </c>
      <c r="F37" s="6">
        <f>EXP(D37)</f>
        <v>1.0201011734933492</v>
      </c>
    </row>
    <row r="38" spans="1:6" x14ac:dyDescent="0.2">
      <c r="A38" s="5" t="s">
        <v>25</v>
      </c>
      <c r="B38" s="5" t="s">
        <v>72</v>
      </c>
      <c r="C38" s="6">
        <v>0.73900222778320301</v>
      </c>
      <c r="D38" s="6">
        <v>-0.27085480093955999</v>
      </c>
      <c r="E38" s="6">
        <v>0.78764325380325295</v>
      </c>
      <c r="F38" s="6">
        <f>EXP(D38)</f>
        <v>0.76272723564324152</v>
      </c>
    </row>
    <row r="39" spans="1:6" x14ac:dyDescent="0.2">
      <c r="A39" s="5" t="s">
        <v>25</v>
      </c>
      <c r="B39" s="5" t="s">
        <v>116</v>
      </c>
      <c r="C39" s="6">
        <v>0.73856729269027699</v>
      </c>
      <c r="D39" s="6">
        <v>-0.35118120908737199</v>
      </c>
      <c r="E39" s="6">
        <v>0.92504471540451105</v>
      </c>
      <c r="F39" s="6">
        <f>EXP(D39)</f>
        <v>0.70385619715962533</v>
      </c>
    </row>
    <row r="40" spans="1:6" x14ac:dyDescent="0.2">
      <c r="A40" s="5" t="s">
        <v>25</v>
      </c>
      <c r="B40" s="5" t="s">
        <v>547</v>
      </c>
      <c r="C40" s="6">
        <v>0.74616479873657204</v>
      </c>
      <c r="D40" s="6">
        <v>-0.14941596984863301</v>
      </c>
      <c r="E40" s="6">
        <v>0.98210066556930498</v>
      </c>
      <c r="F40" s="6">
        <f>EXP(D40)</f>
        <v>0.86121080265335881</v>
      </c>
    </row>
    <row r="41" spans="1:6" x14ac:dyDescent="0.2">
      <c r="A41" s="5" t="s">
        <v>25</v>
      </c>
      <c r="B41" s="5" t="s">
        <v>21</v>
      </c>
      <c r="C41" s="6">
        <v>0.72870397567749001</v>
      </c>
      <c r="D41" s="6">
        <v>-0.71425986289978005</v>
      </c>
      <c r="E41" s="6">
        <v>0.57777303457260099</v>
      </c>
      <c r="F41" s="6">
        <f>EXP(D41)</f>
        <v>0.48955431505090552</v>
      </c>
    </row>
    <row r="42" spans="1:6" x14ac:dyDescent="0.2">
      <c r="A42" s="5" t="s">
        <v>25</v>
      </c>
      <c r="B42" s="5" t="s">
        <v>426</v>
      </c>
      <c r="C42" s="6">
        <v>0.72189098596572898</v>
      </c>
      <c r="D42" s="6">
        <v>-2.4435959756374401E-2</v>
      </c>
      <c r="E42" s="6">
        <v>0.77680122852325395</v>
      </c>
      <c r="F42" s="6">
        <f>EXP(D42)</f>
        <v>0.97586018124112539</v>
      </c>
    </row>
    <row r="43" spans="1:6" x14ac:dyDescent="0.2">
      <c r="A43" s="5" t="s">
        <v>25</v>
      </c>
      <c r="B43" s="5" t="s">
        <v>24</v>
      </c>
      <c r="C43" s="6">
        <v>0.72191113233566295</v>
      </c>
      <c r="D43" s="6">
        <v>-1.40500771999359</v>
      </c>
      <c r="E43" s="6">
        <v>0.750072240829468</v>
      </c>
      <c r="F43" s="6">
        <f>EXP(D43)</f>
        <v>0.24536516222813504</v>
      </c>
    </row>
    <row r="44" spans="1:6" x14ac:dyDescent="0.2">
      <c r="A44" s="5" t="s">
        <v>25</v>
      </c>
      <c r="B44" s="5" t="s">
        <v>73</v>
      </c>
      <c r="C44" s="6">
        <v>0.74857056140899703</v>
      </c>
      <c r="D44" s="6">
        <v>0.42538762092590299</v>
      </c>
      <c r="E44" s="6">
        <v>0.91998094320297197</v>
      </c>
      <c r="F44" s="6">
        <f>EXP(D44)</f>
        <v>1.5301834358434163</v>
      </c>
    </row>
    <row r="45" spans="1:6" x14ac:dyDescent="0.2">
      <c r="A45" s="5" t="s">
        <v>25</v>
      </c>
      <c r="B45" s="5" t="s">
        <v>475</v>
      </c>
      <c r="C45" s="6">
        <v>0.72598659992217995</v>
      </c>
      <c r="D45" s="6">
        <v>1.0982969999313399</v>
      </c>
      <c r="E45" s="6">
        <v>0.41566801071166998</v>
      </c>
      <c r="F45" s="6">
        <f>EXP(D45)</f>
        <v>2.9990542828845022</v>
      </c>
    </row>
    <row r="46" spans="1:6" x14ac:dyDescent="0.2">
      <c r="A46" s="5" t="s">
        <v>25</v>
      </c>
      <c r="B46" s="5" t="s">
        <v>15</v>
      </c>
      <c r="C46" s="6">
        <v>0.69905686378479004</v>
      </c>
      <c r="D46" s="6">
        <v>0.26052516698837302</v>
      </c>
      <c r="E46" s="6">
        <v>0.78292608261108398</v>
      </c>
      <c r="F46" s="6">
        <f>EXP(D46)</f>
        <v>1.2976113704117247</v>
      </c>
    </row>
    <row r="47" spans="1:6" x14ac:dyDescent="0.2">
      <c r="A47" s="5" t="s">
        <v>25</v>
      </c>
      <c r="B47" s="5" t="s">
        <v>16</v>
      </c>
      <c r="C47" s="6">
        <v>0.73555642366409302</v>
      </c>
      <c r="D47" s="6">
        <v>-0.766401827335358</v>
      </c>
      <c r="E47" s="6">
        <v>0.85597813129425104</v>
      </c>
      <c r="F47" s="6">
        <f>EXP(D47)</f>
        <v>0.46468207015471064</v>
      </c>
    </row>
    <row r="48" spans="1:6" x14ac:dyDescent="0.2">
      <c r="A48" s="5" t="s">
        <v>25</v>
      </c>
      <c r="B48" s="5" t="s">
        <v>427</v>
      </c>
      <c r="C48" s="6">
        <v>0.72810739278793302</v>
      </c>
      <c r="D48" s="6">
        <v>0.16341993212699901</v>
      </c>
      <c r="E48" s="6">
        <v>0.76558554172515902</v>
      </c>
      <c r="F48" s="6">
        <f>EXP(D48)</f>
        <v>1.1775310690047376</v>
      </c>
    </row>
    <row r="49" spans="1:6" x14ac:dyDescent="0.2">
      <c r="A49" s="5" t="s">
        <v>25</v>
      </c>
      <c r="B49" s="5" t="s">
        <v>428</v>
      </c>
      <c r="C49" s="6">
        <v>0.74137318134307895</v>
      </c>
      <c r="D49" s="6">
        <v>1.85813641548157</v>
      </c>
      <c r="E49" s="6">
        <v>0.97478353977203402</v>
      </c>
      <c r="F49" s="6">
        <f>EXP(D49)</f>
        <v>6.411776742754947</v>
      </c>
    </row>
    <row r="50" spans="1:6" x14ac:dyDescent="0.2">
      <c r="A50" s="5" t="s">
        <v>115</v>
      </c>
      <c r="B50" s="5" t="s">
        <v>548</v>
      </c>
      <c r="C50" s="6">
        <v>0.75519192218780495</v>
      </c>
      <c r="D50" s="6">
        <v>0.769559025764465</v>
      </c>
      <c r="E50" s="6">
        <v>4.0756624191999401E-2</v>
      </c>
      <c r="F50" s="6">
        <f>EXP(D50)</f>
        <v>2.1588140624735659</v>
      </c>
    </row>
    <row r="51" spans="1:6" x14ac:dyDescent="0.2">
      <c r="A51" s="5" t="s">
        <v>115</v>
      </c>
      <c r="B51" s="5" t="s">
        <v>547</v>
      </c>
      <c r="C51" s="6">
        <v>0.75697582960128795</v>
      </c>
      <c r="D51" s="6">
        <v>-0.34106650948524497</v>
      </c>
      <c r="E51" s="6">
        <v>0.96731245517730702</v>
      </c>
      <c r="F51" s="6">
        <f>EXP(D51)</f>
        <v>0.71101161761709986</v>
      </c>
    </row>
    <row r="52" spans="1:6" x14ac:dyDescent="0.2">
      <c r="A52" s="5" t="s">
        <v>115</v>
      </c>
      <c r="B52" s="5" t="s">
        <v>426</v>
      </c>
      <c r="C52" s="6">
        <v>0.75179368257522605</v>
      </c>
      <c r="D52" s="6">
        <v>-0.25372353196144098</v>
      </c>
      <c r="E52" s="6">
        <v>0.82793569564819303</v>
      </c>
      <c r="F52" s="6">
        <f>EXP(D52)</f>
        <v>0.77590628568508335</v>
      </c>
    </row>
    <row r="53" spans="1:6" x14ac:dyDescent="0.2">
      <c r="A53" s="5" t="s">
        <v>115</v>
      </c>
      <c r="B53" s="5" t="s">
        <v>24</v>
      </c>
      <c r="C53" s="6">
        <v>0.73880624771118197</v>
      </c>
      <c r="D53" s="6">
        <v>-1.3331147432327299</v>
      </c>
      <c r="E53" s="6">
        <v>0.74210500717163097</v>
      </c>
      <c r="F53" s="6">
        <f>EXP(D53)</f>
        <v>0.26365476413867589</v>
      </c>
    </row>
    <row r="54" spans="1:6" x14ac:dyDescent="0.2">
      <c r="A54" s="5" t="s">
        <v>115</v>
      </c>
      <c r="B54" s="5" t="s">
        <v>73</v>
      </c>
      <c r="C54" s="6">
        <v>0.77482217550277699</v>
      </c>
      <c r="D54" s="6">
        <v>-1.0532869100570701</v>
      </c>
      <c r="E54" s="6">
        <v>0.95269554853439298</v>
      </c>
      <c r="F54" s="6">
        <f>EXP(D54)</f>
        <v>0.34878942345967417</v>
      </c>
    </row>
    <row r="55" spans="1:6" x14ac:dyDescent="0.2">
      <c r="A55" s="5" t="s">
        <v>115</v>
      </c>
      <c r="B55" s="5" t="s">
        <v>475</v>
      </c>
      <c r="C55" s="6">
        <v>0.73512440919876099</v>
      </c>
      <c r="D55" s="6">
        <v>-0.54817503690719604</v>
      </c>
      <c r="E55" s="6">
        <v>0.58904671669006403</v>
      </c>
      <c r="F55" s="6">
        <f>EXP(D55)</f>
        <v>0.57800368383842105</v>
      </c>
    </row>
    <row r="56" spans="1:6" x14ac:dyDescent="0.2">
      <c r="A56" s="5" t="s">
        <v>115</v>
      </c>
      <c r="B56" s="5" t="s">
        <v>549</v>
      </c>
      <c r="C56" s="6">
        <v>0.76182609796524103</v>
      </c>
      <c r="D56" s="6">
        <v>0.706731617450714</v>
      </c>
      <c r="E56" s="6">
        <v>5.1813565194606802E-2</v>
      </c>
      <c r="F56" s="6">
        <f>EXP(D56)</f>
        <v>2.0273542491628009</v>
      </c>
    </row>
    <row r="57" spans="1:6" x14ac:dyDescent="0.2">
      <c r="A57" s="5" t="s">
        <v>115</v>
      </c>
      <c r="B57" s="5" t="s">
        <v>15</v>
      </c>
      <c r="C57" s="6">
        <v>0.749508917331696</v>
      </c>
      <c r="D57" s="6">
        <v>0.98268222808837902</v>
      </c>
      <c r="E57" s="6">
        <v>0.83761245012283303</v>
      </c>
      <c r="F57" s="6">
        <f>EXP(D57)</f>
        <v>2.6716125143888845</v>
      </c>
    </row>
    <row r="58" spans="1:6" x14ac:dyDescent="0.2">
      <c r="A58" s="5" t="s">
        <v>115</v>
      </c>
      <c r="B58" s="5" t="s">
        <v>16</v>
      </c>
      <c r="C58" s="6">
        <v>0.76871198415756203</v>
      </c>
      <c r="D58" s="6">
        <v>-0.77913355827331499</v>
      </c>
      <c r="E58" s="6">
        <v>0.86231881380081199</v>
      </c>
      <c r="F58" s="6">
        <f>EXP(D58)</f>
        <v>0.45880336551845841</v>
      </c>
    </row>
    <row r="59" spans="1:6" x14ac:dyDescent="0.2">
      <c r="A59" s="5" t="s">
        <v>115</v>
      </c>
      <c r="B59" s="5" t="s">
        <v>427</v>
      </c>
      <c r="C59" s="6">
        <v>0.74879193305969205</v>
      </c>
      <c r="D59" s="6">
        <v>-0.45735329389572099</v>
      </c>
      <c r="E59" s="6">
        <v>0.87176388502121005</v>
      </c>
      <c r="F59" s="6">
        <f>EXP(D59)</f>
        <v>0.63295668082477319</v>
      </c>
    </row>
    <row r="60" spans="1:6" x14ac:dyDescent="0.2">
      <c r="A60" s="5" t="s">
        <v>115</v>
      </c>
      <c r="B60" s="5" t="s">
        <v>428</v>
      </c>
      <c r="C60" s="6">
        <v>0.74479925632476796</v>
      </c>
      <c r="D60" s="6">
        <v>1.7592135667800901</v>
      </c>
      <c r="E60" s="6">
        <v>0.94465541839599598</v>
      </c>
      <c r="F60" s="6">
        <f>EXP(D60)</f>
        <v>5.8078680975059198</v>
      </c>
    </row>
    <row r="61" spans="1:6" x14ac:dyDescent="0.2">
      <c r="A61" s="5" t="s">
        <v>115</v>
      </c>
      <c r="B61" s="5" t="s">
        <v>196</v>
      </c>
      <c r="C61" s="6">
        <v>0.73001557588577304</v>
      </c>
      <c r="D61" s="6">
        <v>-0.124806188046932</v>
      </c>
      <c r="E61" s="6">
        <v>0.90537828207016002</v>
      </c>
      <c r="F61" s="6">
        <f>EXP(D61)</f>
        <v>0.88266795760858052</v>
      </c>
    </row>
    <row r="62" spans="1:6" x14ac:dyDescent="0.2">
      <c r="A62" s="5" t="s">
        <v>28</v>
      </c>
      <c r="B62" s="5" t="s">
        <v>429</v>
      </c>
      <c r="C62" s="6">
        <v>0.77255958318710305</v>
      </c>
      <c r="D62" s="6">
        <v>0.174770057201386</v>
      </c>
      <c r="E62" s="6">
        <v>0.93530213832855202</v>
      </c>
      <c r="F62" s="6">
        <f>EXP(D62)</f>
        <v>1.1909723296138501</v>
      </c>
    </row>
    <row r="63" spans="1:6" x14ac:dyDescent="0.2">
      <c r="A63" s="5" t="s">
        <v>28</v>
      </c>
      <c r="B63" s="5" t="s">
        <v>430</v>
      </c>
      <c r="C63" s="6">
        <v>0.77401149272918701</v>
      </c>
      <c r="D63" s="6">
        <v>2.6843309402465798</v>
      </c>
      <c r="E63" s="6">
        <v>0.54096454381942805</v>
      </c>
      <c r="F63" s="6">
        <f>EXP(D63)</f>
        <v>14.6483974477357</v>
      </c>
    </row>
    <row r="64" spans="1:6" x14ac:dyDescent="0.2">
      <c r="A64" s="5" t="s">
        <v>28</v>
      </c>
      <c r="B64" s="5" t="s">
        <v>431</v>
      </c>
      <c r="C64" s="6">
        <v>0.771181881427765</v>
      </c>
      <c r="D64" s="6">
        <v>1.1653369665145901</v>
      </c>
      <c r="E64" s="6">
        <v>0.111491829156876</v>
      </c>
      <c r="F64" s="6">
        <f>EXP(D64)</f>
        <v>3.2070033538938096</v>
      </c>
    </row>
    <row r="65" spans="1:6" x14ac:dyDescent="0.2">
      <c r="A65" s="5" t="s">
        <v>28</v>
      </c>
      <c r="B65" s="5" t="s">
        <v>547</v>
      </c>
      <c r="C65" s="6">
        <v>0.77653789520263705</v>
      </c>
      <c r="D65" s="6">
        <v>1.83578692376614E-2</v>
      </c>
      <c r="E65" s="6">
        <v>0.84633523225784302</v>
      </c>
      <c r="F65" s="6">
        <f>EXP(D65)</f>
        <v>1.018527410804013</v>
      </c>
    </row>
    <row r="66" spans="1:6" x14ac:dyDescent="0.2">
      <c r="A66" s="5" t="s">
        <v>28</v>
      </c>
      <c r="B66" s="5" t="s">
        <v>432</v>
      </c>
      <c r="C66" s="6">
        <v>0.78212451934814498</v>
      </c>
      <c r="D66" s="6">
        <v>1.0942283868789699</v>
      </c>
      <c r="E66" s="6">
        <v>0.79104495048523005</v>
      </c>
      <c r="F66" s="6">
        <f>EXP(D66)</f>
        <v>2.9868770804448386</v>
      </c>
    </row>
    <row r="67" spans="1:6" x14ac:dyDescent="0.2">
      <c r="A67" s="5" t="s">
        <v>28</v>
      </c>
      <c r="B67" s="5" t="s">
        <v>433</v>
      </c>
      <c r="C67" s="6">
        <v>0.72272962331771895</v>
      </c>
      <c r="D67" s="6">
        <v>-0.49606192111969</v>
      </c>
      <c r="E67" s="6">
        <v>0.74964940547943104</v>
      </c>
      <c r="F67" s="6">
        <f>EXP(D67)</f>
        <v>0.60892393465365724</v>
      </c>
    </row>
    <row r="68" spans="1:6" x14ac:dyDescent="0.2">
      <c r="A68" s="5" t="s">
        <v>28</v>
      </c>
      <c r="B68" s="5" t="s">
        <v>434</v>
      </c>
      <c r="C68" s="6">
        <v>0.7660773396492</v>
      </c>
      <c r="D68" s="6">
        <v>1.10063588619232</v>
      </c>
      <c r="E68" s="6">
        <v>0.48109659552574202</v>
      </c>
      <c r="F68" s="6">
        <f>EXP(D68)</f>
        <v>3.0060769391384001</v>
      </c>
    </row>
    <row r="69" spans="1:6" x14ac:dyDescent="0.2">
      <c r="A69" s="5" t="s">
        <v>28</v>
      </c>
      <c r="B69" s="5" t="s">
        <v>435</v>
      </c>
      <c r="C69" s="6">
        <v>0.75970321893692005</v>
      </c>
      <c r="D69" s="6">
        <v>1.7088475227355999</v>
      </c>
      <c r="E69" s="6">
        <v>0.47489446401596103</v>
      </c>
      <c r="F69" s="6">
        <f>EXP(D69)</f>
        <v>5.5225931456090986</v>
      </c>
    </row>
    <row r="70" spans="1:6" x14ac:dyDescent="0.2">
      <c r="A70" s="5" t="s">
        <v>28</v>
      </c>
      <c r="B70" s="5" t="s">
        <v>436</v>
      </c>
      <c r="C70" s="6">
        <v>0.77434885501861594</v>
      </c>
      <c r="D70" s="6">
        <v>2.23202276229858</v>
      </c>
      <c r="E70" s="6">
        <v>0.51397275924682595</v>
      </c>
      <c r="F70" s="6">
        <f>EXP(D70)</f>
        <v>9.3186965363195782</v>
      </c>
    </row>
    <row r="71" spans="1:6" x14ac:dyDescent="0.2">
      <c r="A71" s="5" t="s">
        <v>28</v>
      </c>
      <c r="B71" s="5" t="s">
        <v>437</v>
      </c>
      <c r="C71" s="6">
        <v>0.77729344367981001</v>
      </c>
      <c r="D71" s="6">
        <v>0.74234950542449996</v>
      </c>
      <c r="E71" s="6">
        <v>0.506652891635895</v>
      </c>
      <c r="F71" s="6">
        <f>EXP(D71)</f>
        <v>2.1008657158545265</v>
      </c>
    </row>
    <row r="72" spans="1:6" x14ac:dyDescent="0.2">
      <c r="A72" s="5" t="s">
        <v>28</v>
      </c>
      <c r="B72" s="5" t="s">
        <v>550</v>
      </c>
      <c r="C72" s="6">
        <v>0.78162378072738703</v>
      </c>
      <c r="D72" s="6">
        <v>0.93986594676971402</v>
      </c>
      <c r="E72" s="6">
        <v>0.79389679431915305</v>
      </c>
      <c r="F72" s="6">
        <f>EXP(D72)</f>
        <v>2.5596382675514215</v>
      </c>
    </row>
    <row r="73" spans="1:6" x14ac:dyDescent="0.2">
      <c r="A73" s="5" t="s">
        <v>28</v>
      </c>
      <c r="B73" s="5" t="s">
        <v>427</v>
      </c>
      <c r="C73" s="6">
        <v>0.75917714834213301</v>
      </c>
      <c r="D73" s="6">
        <v>-0.41484168171882602</v>
      </c>
      <c r="E73" s="6">
        <v>0.92626523971557595</v>
      </c>
      <c r="F73" s="6">
        <f>EXP(D73)</f>
        <v>0.66044483291925904</v>
      </c>
    </row>
    <row r="74" spans="1:6" x14ac:dyDescent="0.2">
      <c r="A74" s="5" t="s">
        <v>30</v>
      </c>
      <c r="B74" s="5" t="s">
        <v>8</v>
      </c>
      <c r="C74" s="6">
        <v>0.80014896392822299</v>
      </c>
      <c r="D74" s="6">
        <v>-0.50747650861740101</v>
      </c>
      <c r="E74" s="6">
        <v>0.91760045289993297</v>
      </c>
      <c r="F74" s="6">
        <f>EXP(D74)</f>
        <v>0.60201283782054393</v>
      </c>
    </row>
    <row r="75" spans="1:6" x14ac:dyDescent="0.2">
      <c r="A75" s="5" t="s">
        <v>30</v>
      </c>
      <c r="B75" s="5" t="s">
        <v>429</v>
      </c>
      <c r="C75" s="6">
        <v>0.81583118438720703</v>
      </c>
      <c r="D75" s="6">
        <v>6.5847933292388899E-3</v>
      </c>
      <c r="E75" s="6">
        <v>0.94856423139572099</v>
      </c>
      <c r="F75" s="6">
        <f>EXP(D75)</f>
        <v>1.0066065207448331</v>
      </c>
    </row>
    <row r="76" spans="1:6" x14ac:dyDescent="0.2">
      <c r="A76" s="5" t="s">
        <v>30</v>
      </c>
      <c r="B76" s="5" t="s">
        <v>430</v>
      </c>
      <c r="C76" s="6">
        <v>0.829786717891693</v>
      </c>
      <c r="D76" s="6">
        <v>1.4162298440933201</v>
      </c>
      <c r="E76" s="6">
        <v>0.80002558231353804</v>
      </c>
      <c r="F76" s="6">
        <f>EXP(D76)</f>
        <v>4.1215522169421197</v>
      </c>
    </row>
    <row r="77" spans="1:6" x14ac:dyDescent="0.2">
      <c r="A77" s="5" t="s">
        <v>30</v>
      </c>
      <c r="B77" s="5" t="s">
        <v>534</v>
      </c>
      <c r="C77" s="6">
        <v>0.79144269227981601</v>
      </c>
      <c r="D77" s="6">
        <v>-0.48088091611862199</v>
      </c>
      <c r="E77" s="6">
        <v>0.57198703289032005</v>
      </c>
      <c r="F77" s="6">
        <f>EXP(D77)</f>
        <v>0.61823853556392094</v>
      </c>
    </row>
    <row r="78" spans="1:6" x14ac:dyDescent="0.2">
      <c r="A78" s="5" t="s">
        <v>30</v>
      </c>
      <c r="B78" s="5" t="s">
        <v>431</v>
      </c>
      <c r="C78" s="6">
        <v>0.82820796966552701</v>
      </c>
      <c r="D78" s="6">
        <v>1.32254862785339</v>
      </c>
      <c r="E78" s="6">
        <v>7.2178453207016005E-2</v>
      </c>
      <c r="F78" s="6">
        <f>EXP(D78)</f>
        <v>3.7529741332891406</v>
      </c>
    </row>
    <row r="79" spans="1:6" x14ac:dyDescent="0.2">
      <c r="A79" s="5" t="s">
        <v>30</v>
      </c>
      <c r="B79" s="5" t="s">
        <v>551</v>
      </c>
      <c r="C79" s="6">
        <v>0.77820438146591198</v>
      </c>
      <c r="D79" s="6">
        <v>-0.49699062108993503</v>
      </c>
      <c r="E79" s="6">
        <v>0.66540271043777499</v>
      </c>
      <c r="F79" s="6">
        <f>EXP(D79)</f>
        <v>0.60835868952585581</v>
      </c>
    </row>
    <row r="80" spans="1:6" x14ac:dyDescent="0.2">
      <c r="A80" s="5" t="s">
        <v>30</v>
      </c>
      <c r="B80" s="5" t="s">
        <v>111</v>
      </c>
      <c r="C80" s="6">
        <v>0.80720645189285301</v>
      </c>
      <c r="D80" s="6">
        <v>0.244296669960022</v>
      </c>
      <c r="E80" s="6">
        <v>0.63088673353195202</v>
      </c>
      <c r="F80" s="6">
        <f>EXP(D80)</f>
        <v>1.2767230396839984</v>
      </c>
    </row>
    <row r="81" spans="1:6" x14ac:dyDescent="0.2">
      <c r="A81" s="5" t="s">
        <v>30</v>
      </c>
      <c r="B81" s="5" t="s">
        <v>552</v>
      </c>
      <c r="C81" s="6">
        <v>0.78114122152328502</v>
      </c>
      <c r="D81" s="6">
        <v>-1.45235371589661</v>
      </c>
      <c r="E81" s="6">
        <v>0.937108755111694</v>
      </c>
      <c r="F81" s="6">
        <f>EXP(D81)</f>
        <v>0.23401882552553643</v>
      </c>
    </row>
    <row r="82" spans="1:6" x14ac:dyDescent="0.2">
      <c r="A82" s="5" t="s">
        <v>30</v>
      </c>
      <c r="B82" s="5" t="s">
        <v>547</v>
      </c>
      <c r="C82" s="6">
        <v>0.79594957828521695</v>
      </c>
      <c r="D82" s="6">
        <v>8.4683671593666104E-2</v>
      </c>
      <c r="E82" s="6">
        <v>0.88951379060745195</v>
      </c>
      <c r="F82" s="6">
        <f>EXP(D82)</f>
        <v>1.0883727290285059</v>
      </c>
    </row>
    <row r="83" spans="1:6" x14ac:dyDescent="0.2">
      <c r="A83" s="5" t="s">
        <v>30</v>
      </c>
      <c r="B83" s="5" t="s">
        <v>432</v>
      </c>
      <c r="C83" s="6">
        <v>0.81355470418930098</v>
      </c>
      <c r="D83" s="6">
        <v>0.92585527896881104</v>
      </c>
      <c r="E83" s="6">
        <v>0.61854082345962502</v>
      </c>
      <c r="F83" s="6">
        <f>EXP(D83)</f>
        <v>2.5240260838823461</v>
      </c>
    </row>
    <row r="84" spans="1:6" x14ac:dyDescent="0.2">
      <c r="A84" s="5" t="s">
        <v>30</v>
      </c>
      <c r="B84" s="5" t="s">
        <v>514</v>
      </c>
      <c r="C84" s="6">
        <v>0.79688394069671598</v>
      </c>
      <c r="D84" s="6">
        <v>-1.3133298158645601</v>
      </c>
      <c r="E84" s="6">
        <v>0.85046994686126698</v>
      </c>
      <c r="F84" s="6">
        <f>EXP(D84)</f>
        <v>0.2689230994598234</v>
      </c>
    </row>
    <row r="85" spans="1:6" x14ac:dyDescent="0.2">
      <c r="A85" s="5" t="s">
        <v>30</v>
      </c>
      <c r="B85" s="5" t="s">
        <v>433</v>
      </c>
      <c r="C85" s="6">
        <v>0.80488806962966897</v>
      </c>
      <c r="D85" s="6">
        <v>0.57718575000762895</v>
      </c>
      <c r="E85" s="6">
        <v>0.78946602344512895</v>
      </c>
      <c r="F85" s="6">
        <f>EXP(D85)</f>
        <v>1.7810191381947122</v>
      </c>
    </row>
    <row r="86" spans="1:6" x14ac:dyDescent="0.2">
      <c r="A86" s="5" t="s">
        <v>30</v>
      </c>
      <c r="B86" s="5" t="s">
        <v>553</v>
      </c>
      <c r="C86" s="6">
        <v>0.81172686815261796</v>
      </c>
      <c r="D86" s="6">
        <v>-1.36002504825592</v>
      </c>
      <c r="E86" s="6">
        <v>0.92069947719573997</v>
      </c>
      <c r="F86" s="6">
        <f>EXP(D86)</f>
        <v>0.25665434812924587</v>
      </c>
    </row>
    <row r="87" spans="1:6" x14ac:dyDescent="0.2">
      <c r="A87" s="5" t="s">
        <v>30</v>
      </c>
      <c r="B87" s="5" t="s">
        <v>438</v>
      </c>
      <c r="C87" s="6">
        <v>0.83074599504470803</v>
      </c>
      <c r="D87" s="6">
        <v>-0.12127361446619001</v>
      </c>
      <c r="E87" s="6">
        <v>0.75287878513336204</v>
      </c>
      <c r="F87" s="6">
        <f>EXP(D87)</f>
        <v>0.88579156104738199</v>
      </c>
    </row>
    <row r="88" spans="1:6" x14ac:dyDescent="0.2">
      <c r="A88" s="5" t="s">
        <v>30</v>
      </c>
      <c r="B88" s="5" t="s">
        <v>434</v>
      </c>
      <c r="C88" s="6">
        <v>0.821499824523926</v>
      </c>
      <c r="D88" s="6">
        <v>1.20332527160645</v>
      </c>
      <c r="E88" s="6">
        <v>0.54305112361908003</v>
      </c>
      <c r="F88" s="6">
        <f>EXP(D88)</f>
        <v>3.3311755896152704</v>
      </c>
    </row>
    <row r="89" spans="1:6" x14ac:dyDescent="0.2">
      <c r="A89" s="5" t="s">
        <v>30</v>
      </c>
      <c r="B89" s="5" t="s">
        <v>554</v>
      </c>
      <c r="C89" s="6">
        <v>0.80360805988311801</v>
      </c>
      <c r="D89" s="6">
        <v>0.93845969438552901</v>
      </c>
      <c r="E89" s="6">
        <v>0.15701319277286499</v>
      </c>
      <c r="F89" s="6">
        <f>EXP(D89)</f>
        <v>2.5560412998499928</v>
      </c>
    </row>
    <row r="90" spans="1:6" x14ac:dyDescent="0.2">
      <c r="A90" s="5" t="s">
        <v>30</v>
      </c>
      <c r="B90" s="5" t="s">
        <v>555</v>
      </c>
      <c r="C90" s="6">
        <v>0.80297034978866599</v>
      </c>
      <c r="D90" s="6">
        <v>-0.87300777435302701</v>
      </c>
      <c r="E90" s="6">
        <v>0.903153777122498</v>
      </c>
      <c r="F90" s="6">
        <f>EXP(D90)</f>
        <v>0.41769333068996617</v>
      </c>
    </row>
    <row r="91" spans="1:6" x14ac:dyDescent="0.2">
      <c r="A91" s="5" t="s">
        <v>30</v>
      </c>
      <c r="B91" s="5" t="s">
        <v>556</v>
      </c>
      <c r="C91" s="6">
        <v>0.80952352285385099</v>
      </c>
      <c r="D91" s="6">
        <v>-0.63207215070724498</v>
      </c>
      <c r="E91" s="6">
        <v>0.94762021303176902</v>
      </c>
      <c r="F91" s="6">
        <f>EXP(D91)</f>
        <v>0.53148933316401015</v>
      </c>
    </row>
    <row r="92" spans="1:6" x14ac:dyDescent="0.2">
      <c r="A92" s="5" t="s">
        <v>30</v>
      </c>
      <c r="B92" s="5" t="s">
        <v>12</v>
      </c>
      <c r="C92" s="6">
        <v>0.80963802337646495</v>
      </c>
      <c r="D92" s="6">
        <v>-1.5105767250061</v>
      </c>
      <c r="E92" s="6">
        <v>0.84813094139099099</v>
      </c>
      <c r="F92" s="6">
        <f>EXP(D92)</f>
        <v>0.22078261038255562</v>
      </c>
    </row>
    <row r="93" spans="1:6" x14ac:dyDescent="0.2">
      <c r="A93" s="5" t="s">
        <v>30</v>
      </c>
      <c r="B93" s="5" t="s">
        <v>435</v>
      </c>
      <c r="C93" s="6">
        <v>0.82999354600906405</v>
      </c>
      <c r="D93" s="6">
        <v>0.81027114391326904</v>
      </c>
      <c r="E93" s="6">
        <v>0.62702053785324097</v>
      </c>
      <c r="F93" s="6">
        <f>EXP(D93)</f>
        <v>2.2485175758841147</v>
      </c>
    </row>
    <row r="94" spans="1:6" x14ac:dyDescent="0.2">
      <c r="A94" s="5" t="s">
        <v>30</v>
      </c>
      <c r="B94" s="5" t="s">
        <v>439</v>
      </c>
      <c r="C94" s="6">
        <v>0.81993544101715099</v>
      </c>
      <c r="D94" s="6">
        <v>-1.09502029418945</v>
      </c>
      <c r="E94" s="6">
        <v>0.68985718488693204</v>
      </c>
      <c r="F94" s="6">
        <f>EXP(D94)</f>
        <v>0.33453281780733596</v>
      </c>
    </row>
    <row r="95" spans="1:6" x14ac:dyDescent="0.2">
      <c r="A95" s="5" t="s">
        <v>30</v>
      </c>
      <c r="B95" s="5" t="s">
        <v>440</v>
      </c>
      <c r="C95" s="6">
        <v>0.83064669370651301</v>
      </c>
      <c r="D95" s="6">
        <v>0.700020551681519</v>
      </c>
      <c r="E95" s="6">
        <v>0.41670709848403897</v>
      </c>
      <c r="F95" s="6">
        <f>EXP(D95)</f>
        <v>2.0137940939000574</v>
      </c>
    </row>
    <row r="96" spans="1:6" x14ac:dyDescent="0.2">
      <c r="A96" s="5" t="s">
        <v>30</v>
      </c>
      <c r="B96" s="5" t="s">
        <v>436</v>
      </c>
      <c r="C96" s="6">
        <v>0.83358269929885898</v>
      </c>
      <c r="D96" s="6">
        <v>1.1968138217926001</v>
      </c>
      <c r="E96" s="6">
        <v>0.73388910293579102</v>
      </c>
      <c r="F96" s="6">
        <f>EXP(D96)</f>
        <v>3.3095552731351194</v>
      </c>
    </row>
    <row r="97" spans="1:6" x14ac:dyDescent="0.2">
      <c r="A97" s="5" t="s">
        <v>30</v>
      </c>
      <c r="B97" s="5" t="s">
        <v>437</v>
      </c>
      <c r="C97" s="6">
        <v>0.81191092729568504</v>
      </c>
      <c r="D97" s="6">
        <v>0.77386623620986905</v>
      </c>
      <c r="E97" s="6">
        <v>0.62262648344039895</v>
      </c>
      <c r="F97" s="6">
        <f>EXP(D97)</f>
        <v>2.1681325829610505</v>
      </c>
    </row>
    <row r="98" spans="1:6" x14ac:dyDescent="0.2">
      <c r="A98" s="5" t="s">
        <v>30</v>
      </c>
      <c r="B98" s="5" t="s">
        <v>441</v>
      </c>
      <c r="C98" s="6">
        <v>0.82020825147628795</v>
      </c>
      <c r="D98" s="6">
        <v>0.94320011138916005</v>
      </c>
      <c r="E98" s="6">
        <v>0.84855556488037098</v>
      </c>
      <c r="F98" s="6">
        <f>EXP(D98)</f>
        <v>2.5681867660330417</v>
      </c>
    </row>
    <row r="99" spans="1:6" x14ac:dyDescent="0.2">
      <c r="A99" s="5" t="s">
        <v>30</v>
      </c>
      <c r="B99" s="5" t="s">
        <v>550</v>
      </c>
      <c r="C99" s="6">
        <v>0.81248581409454401</v>
      </c>
      <c r="D99" s="6">
        <v>0.255519479513168</v>
      </c>
      <c r="E99" s="6">
        <v>0.706171214580536</v>
      </c>
      <c r="F99" s="6">
        <f>EXP(D99)</f>
        <v>1.2911321633989361</v>
      </c>
    </row>
    <row r="100" spans="1:6" x14ac:dyDescent="0.2">
      <c r="A100" s="5" t="s">
        <v>30</v>
      </c>
      <c r="B100" s="5" t="s">
        <v>442</v>
      </c>
      <c r="C100" s="6">
        <v>0.81035965681076105</v>
      </c>
      <c r="D100" s="6">
        <v>1.15284430980682</v>
      </c>
      <c r="E100" s="6">
        <v>0.62598234415054299</v>
      </c>
      <c r="F100" s="6">
        <f>EXP(D100)</f>
        <v>3.1671885759208163</v>
      </c>
    </row>
    <row r="101" spans="1:6" x14ac:dyDescent="0.2">
      <c r="A101" s="5" t="s">
        <v>30</v>
      </c>
      <c r="B101" s="5" t="s">
        <v>92</v>
      </c>
      <c r="C101" s="6">
        <v>0.74078965187072798</v>
      </c>
      <c r="D101" s="6">
        <v>-0.86393481492996205</v>
      </c>
      <c r="E101" s="6">
        <v>0.48838838934898399</v>
      </c>
      <c r="F101" s="6">
        <f>EXP(D101)</f>
        <v>0.421500289406326</v>
      </c>
    </row>
    <row r="102" spans="1:6" x14ac:dyDescent="0.2">
      <c r="A102" s="5" t="s">
        <v>30</v>
      </c>
      <c r="B102" s="5" t="s">
        <v>453</v>
      </c>
      <c r="C102" s="6">
        <v>0.73172122240066495</v>
      </c>
      <c r="D102" s="6">
        <v>0.15085642039775801</v>
      </c>
      <c r="E102" s="6">
        <v>0.57998323440551802</v>
      </c>
      <c r="F102" s="6">
        <f>EXP(D102)</f>
        <v>1.1628296874713178</v>
      </c>
    </row>
    <row r="103" spans="1:6" x14ac:dyDescent="0.2">
      <c r="A103" s="5" t="s">
        <v>30</v>
      </c>
      <c r="B103" s="5" t="s">
        <v>117</v>
      </c>
      <c r="C103" s="6">
        <v>0.79123902320861805</v>
      </c>
      <c r="D103" s="6">
        <v>1.9141055643558499E-2</v>
      </c>
      <c r="E103" s="6">
        <v>0.935968458652496</v>
      </c>
      <c r="F103" s="6">
        <f>EXP(D103)</f>
        <v>1.0193254200804065</v>
      </c>
    </row>
    <row r="104" spans="1:6" x14ac:dyDescent="0.2">
      <c r="A104" s="5" t="s">
        <v>443</v>
      </c>
      <c r="B104" s="5" t="s">
        <v>557</v>
      </c>
      <c r="C104" s="6">
        <v>0.76983255147934004</v>
      </c>
      <c r="D104" s="6">
        <v>-0.91478753089904796</v>
      </c>
      <c r="E104" s="6">
        <v>0.83356112241744995</v>
      </c>
      <c r="F104" s="6">
        <f>EXP(D104)</f>
        <v>0.40060173253920578</v>
      </c>
    </row>
    <row r="105" spans="1:6" x14ac:dyDescent="0.2">
      <c r="A105" s="5" t="s">
        <v>443</v>
      </c>
      <c r="B105" s="5" t="s">
        <v>429</v>
      </c>
      <c r="C105" s="6">
        <v>0.81420278549194303</v>
      </c>
      <c r="D105" s="6">
        <v>-0.65782409906387296</v>
      </c>
      <c r="E105" s="6">
        <v>0.91601270437240601</v>
      </c>
      <c r="F105" s="6">
        <f>EXP(D105)</f>
        <v>0.5179771762100871</v>
      </c>
    </row>
    <row r="106" spans="1:6" x14ac:dyDescent="0.2">
      <c r="A106" s="5" t="s">
        <v>443</v>
      </c>
      <c r="B106" s="5" t="s">
        <v>430</v>
      </c>
      <c r="C106" s="6">
        <v>0.79897123575210605</v>
      </c>
      <c r="D106" s="6">
        <v>2.0067918300628702</v>
      </c>
      <c r="E106" s="6">
        <v>0.71758347749710105</v>
      </c>
      <c r="F106" s="6">
        <f>EXP(D106)</f>
        <v>7.4394121234878998</v>
      </c>
    </row>
    <row r="107" spans="1:6" x14ac:dyDescent="0.2">
      <c r="A107" s="5" t="s">
        <v>443</v>
      </c>
      <c r="B107" s="5" t="s">
        <v>432</v>
      </c>
      <c r="C107" s="6">
        <v>0.79361432790756203</v>
      </c>
      <c r="D107" s="6">
        <v>0.81375283002853405</v>
      </c>
      <c r="E107" s="6">
        <v>0.58415424823760997</v>
      </c>
      <c r="F107" s="6">
        <f>EXP(D107)</f>
        <v>2.2563598525588096</v>
      </c>
    </row>
    <row r="108" spans="1:6" x14ac:dyDescent="0.2">
      <c r="A108" s="5" t="s">
        <v>443</v>
      </c>
      <c r="B108" s="5" t="s">
        <v>433</v>
      </c>
      <c r="C108" s="6">
        <v>0.77761739492416404</v>
      </c>
      <c r="D108" s="6">
        <v>-0.171070426702499</v>
      </c>
      <c r="E108" s="6">
        <v>0.75952744483947798</v>
      </c>
      <c r="F108" s="6">
        <f>EXP(D108)</f>
        <v>0.84276221841752019</v>
      </c>
    </row>
    <row r="109" spans="1:6" x14ac:dyDescent="0.2">
      <c r="A109" s="5" t="s">
        <v>443</v>
      </c>
      <c r="B109" s="5" t="s">
        <v>555</v>
      </c>
      <c r="C109" s="6">
        <v>0.78195124864578303</v>
      </c>
      <c r="D109" s="6">
        <v>-1.24112296104431</v>
      </c>
      <c r="E109" s="6">
        <v>0.77260893583297696</v>
      </c>
      <c r="F109" s="6">
        <f>EXP(D109)</f>
        <v>0.28905943312994176</v>
      </c>
    </row>
    <row r="110" spans="1:6" x14ac:dyDescent="0.2">
      <c r="A110" s="5" t="s">
        <v>443</v>
      </c>
      <c r="B110" s="5" t="s">
        <v>435</v>
      </c>
      <c r="C110" s="6">
        <v>0.80437082052230802</v>
      </c>
      <c r="D110" s="6">
        <v>0.85565602779388406</v>
      </c>
      <c r="E110" s="6">
        <v>0.655362188816071</v>
      </c>
      <c r="F110" s="6">
        <f>EXP(D110)</f>
        <v>2.3529174536164463</v>
      </c>
    </row>
    <row r="111" spans="1:6" x14ac:dyDescent="0.2">
      <c r="A111" s="5" t="s">
        <v>443</v>
      </c>
      <c r="B111" s="5" t="s">
        <v>437</v>
      </c>
      <c r="C111" s="6">
        <v>0.79329937696456898</v>
      </c>
      <c r="D111" s="6">
        <v>0.62896531820297197</v>
      </c>
      <c r="E111" s="6">
        <v>0.43773901462554898</v>
      </c>
      <c r="F111" s="6">
        <f>EXP(D111)</f>
        <v>1.875668854482943</v>
      </c>
    </row>
    <row r="112" spans="1:6" x14ac:dyDescent="0.2">
      <c r="A112" s="5" t="s">
        <v>443</v>
      </c>
      <c r="B112" s="5" t="s">
        <v>444</v>
      </c>
      <c r="C112" s="6">
        <v>0.79328316450118996</v>
      </c>
      <c r="D112" s="6">
        <v>0.59123748540878296</v>
      </c>
      <c r="E112" s="6">
        <v>0.55218046903610196</v>
      </c>
      <c r="F112" s="6">
        <f>EXP(D112)</f>
        <v>1.806222206596469</v>
      </c>
    </row>
    <row r="113" spans="1:6" x14ac:dyDescent="0.2">
      <c r="A113" s="5" t="s">
        <v>558</v>
      </c>
      <c r="B113" s="5" t="s">
        <v>559</v>
      </c>
      <c r="C113" s="6">
        <v>0.88519984483718905</v>
      </c>
      <c r="D113" s="6">
        <v>-1.9773101806640601</v>
      </c>
      <c r="E113" s="6">
        <v>0.97537279129028298</v>
      </c>
      <c r="F113" s="6">
        <f>EXP(D113)</f>
        <v>0.13844111853754987</v>
      </c>
    </row>
    <row r="114" spans="1:6" x14ac:dyDescent="0.2">
      <c r="A114" s="5" t="s">
        <v>558</v>
      </c>
      <c r="B114" s="5" t="s">
        <v>560</v>
      </c>
      <c r="C114" s="6">
        <v>0.88907212018966697</v>
      </c>
      <c r="D114" s="6">
        <v>-2.5278372764587398</v>
      </c>
      <c r="E114" s="6">
        <v>0.99271917343139704</v>
      </c>
      <c r="F114" s="6">
        <f>EXP(D114)</f>
        <v>7.983148715619999E-2</v>
      </c>
    </row>
    <row r="115" spans="1:6" x14ac:dyDescent="0.2">
      <c r="A115" s="5" t="s">
        <v>558</v>
      </c>
      <c r="B115" s="5" t="s">
        <v>561</v>
      </c>
      <c r="C115" s="6">
        <v>0.88430273532867398</v>
      </c>
      <c r="D115" s="6">
        <v>-2.8163146972656299</v>
      </c>
      <c r="E115" s="6">
        <v>0.95360970497131403</v>
      </c>
      <c r="F115" s="6">
        <f>EXP(D115)</f>
        <v>5.9826013918029726E-2</v>
      </c>
    </row>
    <row r="116" spans="1:6" x14ac:dyDescent="0.2">
      <c r="A116" s="5" t="s">
        <v>558</v>
      </c>
      <c r="B116" s="5" t="s">
        <v>545</v>
      </c>
      <c r="C116" s="6">
        <v>0.86606091260910001</v>
      </c>
      <c r="D116" s="6">
        <v>0.62749308347702004</v>
      </c>
      <c r="E116" s="6">
        <v>0.195116117596626</v>
      </c>
      <c r="F116" s="6">
        <f>EXP(D116)</f>
        <v>1.8729094613965585</v>
      </c>
    </row>
    <row r="117" spans="1:6" x14ac:dyDescent="0.2">
      <c r="A117" s="5" t="s">
        <v>558</v>
      </c>
      <c r="B117" s="5" t="s">
        <v>562</v>
      </c>
      <c r="C117" s="6">
        <v>0.89354717731475797</v>
      </c>
      <c r="D117" s="6">
        <v>-2.92315626144409</v>
      </c>
      <c r="E117" s="6">
        <v>0.98186653852462802</v>
      </c>
      <c r="F117" s="6">
        <f>EXP(D117)</f>
        <v>5.3763726843506068E-2</v>
      </c>
    </row>
    <row r="118" spans="1:6" x14ac:dyDescent="0.2">
      <c r="A118" s="5" t="s">
        <v>558</v>
      </c>
      <c r="B118" s="5" t="s">
        <v>563</v>
      </c>
      <c r="C118" s="6">
        <v>0.87804239988327004</v>
      </c>
      <c r="D118" s="6">
        <v>-1.50506067276001</v>
      </c>
      <c r="E118" s="6">
        <v>0.88407075405120905</v>
      </c>
      <c r="F118" s="6">
        <f>EXP(D118)</f>
        <v>0.22200382383859765</v>
      </c>
    </row>
    <row r="119" spans="1:6" x14ac:dyDescent="0.2">
      <c r="A119" s="5" t="s">
        <v>558</v>
      </c>
      <c r="B119" s="5" t="s">
        <v>564</v>
      </c>
      <c r="C119" s="6">
        <v>0.88492357730865501</v>
      </c>
      <c r="D119" s="6">
        <v>-2.9402108192443799</v>
      </c>
      <c r="E119" s="6">
        <v>0.99141472578048695</v>
      </c>
      <c r="F119" s="6">
        <f>EXP(D119)</f>
        <v>5.2854584800083752E-2</v>
      </c>
    </row>
    <row r="120" spans="1:6" x14ac:dyDescent="0.2">
      <c r="A120" s="5" t="s">
        <v>558</v>
      </c>
      <c r="B120" s="5" t="s">
        <v>565</v>
      </c>
      <c r="C120" s="6">
        <v>0.86584419012069702</v>
      </c>
      <c r="D120" s="6">
        <v>-2.9216337203979501</v>
      </c>
      <c r="E120" s="6">
        <v>0.97657018899917603</v>
      </c>
      <c r="F120" s="6">
        <f>EXP(D120)</f>
        <v>5.3845646671744178E-2</v>
      </c>
    </row>
    <row r="121" spans="1:6" x14ac:dyDescent="0.2">
      <c r="A121" s="5" t="s">
        <v>558</v>
      </c>
      <c r="B121" s="5" t="s">
        <v>543</v>
      </c>
      <c r="C121" s="6">
        <v>0.834578156471252</v>
      </c>
      <c r="D121" s="6">
        <v>1.05763506889343</v>
      </c>
      <c r="E121" s="6">
        <v>9.04960706830025E-2</v>
      </c>
      <c r="F121" s="6">
        <f>EXP(D121)</f>
        <v>2.8795529859620888</v>
      </c>
    </row>
    <row r="122" spans="1:6" x14ac:dyDescent="0.2">
      <c r="A122" s="5" t="s">
        <v>558</v>
      </c>
      <c r="B122" s="5" t="s">
        <v>566</v>
      </c>
      <c r="C122" s="6">
        <v>0.83458846807479903</v>
      </c>
      <c r="D122" s="6">
        <v>-1.90712583065033</v>
      </c>
      <c r="E122" s="6">
        <v>0.85947161912918102</v>
      </c>
      <c r="F122" s="6">
        <f>EXP(D122)</f>
        <v>0.14850660692519457</v>
      </c>
    </row>
    <row r="123" spans="1:6" x14ac:dyDescent="0.2">
      <c r="A123" s="5" t="s">
        <v>558</v>
      </c>
      <c r="B123" s="5" t="s">
        <v>567</v>
      </c>
      <c r="C123" s="6">
        <v>0.87700682878494296</v>
      </c>
      <c r="D123" s="6">
        <v>1.06396985054016</v>
      </c>
      <c r="E123" s="6">
        <v>0.36523905396461498</v>
      </c>
      <c r="F123" s="6">
        <f>EXP(D123)</f>
        <v>2.8978522250153613</v>
      </c>
    </row>
    <row r="124" spans="1:6" x14ac:dyDescent="0.2">
      <c r="A124" s="5" t="s">
        <v>34</v>
      </c>
      <c r="B124" s="5" t="s">
        <v>445</v>
      </c>
      <c r="C124" s="6">
        <v>0.58045595884323098</v>
      </c>
      <c r="D124" s="6">
        <v>-1.0841710567474401</v>
      </c>
      <c r="E124" s="6">
        <v>0.84207552671432495</v>
      </c>
      <c r="F124" s="6">
        <f>EXP(D124)</f>
        <v>0.33818200342632854</v>
      </c>
    </row>
    <row r="125" spans="1:6" x14ac:dyDescent="0.2">
      <c r="A125" s="5" t="s">
        <v>34</v>
      </c>
      <c r="B125" s="5" t="s">
        <v>568</v>
      </c>
      <c r="C125" s="6">
        <v>0.58561062812805198</v>
      </c>
      <c r="D125" s="6">
        <v>-1.2164160013198899</v>
      </c>
      <c r="E125" s="6">
        <v>0.83864700794220004</v>
      </c>
      <c r="F125" s="6">
        <f>EXP(D125)</f>
        <v>0.29629016984248024</v>
      </c>
    </row>
    <row r="126" spans="1:6" x14ac:dyDescent="0.2">
      <c r="A126" s="5" t="s">
        <v>34</v>
      </c>
      <c r="B126" s="5" t="s">
        <v>446</v>
      </c>
      <c r="C126" s="6">
        <v>0.46821218729019198</v>
      </c>
      <c r="D126" s="6">
        <v>2.2413768768310498</v>
      </c>
      <c r="E126" s="6">
        <v>0.17432476580143</v>
      </c>
      <c r="F126" s="6">
        <f>EXP(D126)</f>
        <v>9.406273655637623</v>
      </c>
    </row>
    <row r="127" spans="1:6" x14ac:dyDescent="0.2">
      <c r="A127" s="5" t="s">
        <v>34</v>
      </c>
      <c r="B127" s="5" t="s">
        <v>569</v>
      </c>
      <c r="C127" s="6">
        <v>0.57373631000518799</v>
      </c>
      <c r="D127" s="6">
        <v>1.0046906471252399</v>
      </c>
      <c r="E127" s="6">
        <v>0.25589862465858498</v>
      </c>
      <c r="F127" s="6">
        <f>EXP(D127)</f>
        <v>2.7310622801646938</v>
      </c>
    </row>
    <row r="128" spans="1:6" x14ac:dyDescent="0.2">
      <c r="A128" s="5" t="s">
        <v>34</v>
      </c>
      <c r="B128" s="5" t="s">
        <v>99</v>
      </c>
      <c r="C128" s="6">
        <v>0.58508473634719904</v>
      </c>
      <c r="D128" s="6">
        <v>-0.89871859550476096</v>
      </c>
      <c r="E128" s="6">
        <v>0.83551949262618996</v>
      </c>
      <c r="F128" s="6">
        <f>EXP(D128)</f>
        <v>0.40709097386601734</v>
      </c>
    </row>
    <row r="129" spans="1:6" x14ac:dyDescent="0.2">
      <c r="A129" s="5" t="s">
        <v>34</v>
      </c>
      <c r="B129" s="5" t="s">
        <v>100</v>
      </c>
      <c r="C129" s="6">
        <v>0.58158516883850098</v>
      </c>
      <c r="D129" s="6">
        <v>-1.04016149044037</v>
      </c>
      <c r="E129" s="6">
        <v>0.79751044511795</v>
      </c>
      <c r="F129" s="6">
        <f>EXP(D129)</f>
        <v>0.35339760701519274</v>
      </c>
    </row>
    <row r="130" spans="1:6" x14ac:dyDescent="0.2">
      <c r="A130" s="5" t="s">
        <v>34</v>
      </c>
      <c r="B130" s="5" t="s">
        <v>101</v>
      </c>
      <c r="C130" s="6">
        <v>0.58734989166259799</v>
      </c>
      <c r="D130" s="6">
        <v>-0.85476988554000899</v>
      </c>
      <c r="E130" s="6">
        <v>0.75514781475067105</v>
      </c>
      <c r="F130" s="6">
        <f>EXP(D130)</f>
        <v>0.42538106615493615</v>
      </c>
    </row>
    <row r="131" spans="1:6" x14ac:dyDescent="0.2">
      <c r="A131" s="5" t="s">
        <v>34</v>
      </c>
      <c r="B131" s="5" t="s">
        <v>512</v>
      </c>
      <c r="C131" s="6">
        <v>0.58524727821350098</v>
      </c>
      <c r="D131" s="6">
        <v>-1.0942929983139</v>
      </c>
      <c r="E131" s="6">
        <v>0.80080580711364802</v>
      </c>
      <c r="F131" s="6">
        <f>EXP(D131)</f>
        <v>0.33477621064453794</v>
      </c>
    </row>
    <row r="132" spans="1:6" x14ac:dyDescent="0.2">
      <c r="A132" s="5" t="s">
        <v>34</v>
      </c>
      <c r="B132" s="5" t="s">
        <v>447</v>
      </c>
      <c r="C132" s="6">
        <v>0.52452141046524103</v>
      </c>
      <c r="D132" s="6">
        <v>3.50882196426392</v>
      </c>
      <c r="E132" s="6">
        <v>0.114970520138741</v>
      </c>
      <c r="F132" s="6">
        <f>EXP(D132)</f>
        <v>33.408887729295486</v>
      </c>
    </row>
    <row r="133" spans="1:6" x14ac:dyDescent="0.2">
      <c r="A133" s="5" t="s">
        <v>570</v>
      </c>
      <c r="B133" s="5" t="s">
        <v>571</v>
      </c>
      <c r="C133" s="6">
        <v>0.77778273820877097</v>
      </c>
      <c r="D133" s="6">
        <v>1.07142245769501</v>
      </c>
      <c r="E133" s="6">
        <v>0.103738158941269</v>
      </c>
      <c r="F133" s="6">
        <f>EXP(D133)</f>
        <v>2.9195294548484871</v>
      </c>
    </row>
    <row r="134" spans="1:6" x14ac:dyDescent="0.2">
      <c r="A134" s="5" t="s">
        <v>570</v>
      </c>
      <c r="B134" s="5" t="s">
        <v>449</v>
      </c>
      <c r="C134" s="6">
        <v>0.74283808469772294</v>
      </c>
      <c r="D134" s="6">
        <v>0.64056628942489602</v>
      </c>
      <c r="E134" s="6">
        <v>0.124148219823837</v>
      </c>
      <c r="F134" s="6">
        <f>EXP(D134)</f>
        <v>1.8975551405140922</v>
      </c>
    </row>
    <row r="135" spans="1:6" x14ac:dyDescent="0.2">
      <c r="A135" s="5" t="s">
        <v>570</v>
      </c>
      <c r="B135" s="5" t="s">
        <v>90</v>
      </c>
      <c r="C135" s="6">
        <v>0.75409305095672596</v>
      </c>
      <c r="D135" s="6">
        <v>1.17088234424591</v>
      </c>
      <c r="E135" s="6">
        <v>0.304892808198929</v>
      </c>
      <c r="F135" s="6">
        <f>EXP(D135)</f>
        <v>3.2248367997736018</v>
      </c>
    </row>
    <row r="136" spans="1:6" x14ac:dyDescent="0.2">
      <c r="A136" s="5" t="s">
        <v>570</v>
      </c>
      <c r="B136" s="5" t="s">
        <v>572</v>
      </c>
      <c r="C136" s="6">
        <v>0.77215641736984297</v>
      </c>
      <c r="D136" s="6">
        <v>-0.51777637004852295</v>
      </c>
      <c r="E136" s="6">
        <v>0.17818702757358601</v>
      </c>
      <c r="F136" s="6">
        <f>EXP(D136)</f>
        <v>0.5958440125698653</v>
      </c>
    </row>
    <row r="137" spans="1:6" x14ac:dyDescent="0.2">
      <c r="A137" s="5" t="s">
        <v>573</v>
      </c>
      <c r="B137" s="5" t="s">
        <v>456</v>
      </c>
      <c r="C137" s="6">
        <v>0.742534399032593</v>
      </c>
      <c r="D137" s="6">
        <v>0.88017171621322599</v>
      </c>
      <c r="E137" s="6">
        <v>0.21696996688842801</v>
      </c>
      <c r="F137" s="6">
        <f>EXP(D137)</f>
        <v>2.4113137325317444</v>
      </c>
    </row>
    <row r="138" spans="1:6" x14ac:dyDescent="0.2">
      <c r="A138" s="5" t="s">
        <v>573</v>
      </c>
      <c r="B138" s="5" t="s">
        <v>517</v>
      </c>
      <c r="C138" s="6">
        <v>0.75557947158813499</v>
      </c>
      <c r="D138" s="6">
        <v>2.0312223434448198</v>
      </c>
      <c r="E138" s="6">
        <v>0.16936121881008101</v>
      </c>
      <c r="F138" s="6">
        <f>EXP(D138)</f>
        <v>7.6233990778399399</v>
      </c>
    </row>
    <row r="139" spans="1:6" x14ac:dyDescent="0.2">
      <c r="A139" s="5" t="s">
        <v>574</v>
      </c>
      <c r="B139" s="5" t="s">
        <v>456</v>
      </c>
      <c r="C139" s="6">
        <v>0.58884853124618497</v>
      </c>
      <c r="D139" s="6">
        <v>1.05220794677734</v>
      </c>
      <c r="E139" s="6">
        <v>0.19324445724487299</v>
      </c>
      <c r="F139" s="6">
        <f>EXP(D139)</f>
        <v>2.8639676303354129</v>
      </c>
    </row>
    <row r="140" spans="1:6" x14ac:dyDescent="0.2">
      <c r="A140" s="5" t="s">
        <v>575</v>
      </c>
      <c r="B140" s="5" t="s">
        <v>572</v>
      </c>
      <c r="C140" s="6">
        <v>0.81797552108764704</v>
      </c>
      <c r="D140" s="6">
        <v>0.61340093612670898</v>
      </c>
      <c r="E140" s="6">
        <v>0.38482686877250699</v>
      </c>
      <c r="F140" s="6">
        <f>EXP(D140)</f>
        <v>1.8467012440428361</v>
      </c>
    </row>
    <row r="141" spans="1:6" x14ac:dyDescent="0.2">
      <c r="A141" s="5" t="s">
        <v>448</v>
      </c>
      <c r="B141" s="5" t="s">
        <v>20</v>
      </c>
      <c r="C141" s="6">
        <v>0.83721840381622303</v>
      </c>
      <c r="D141" s="6">
        <v>7.4322551488876301E-2</v>
      </c>
      <c r="E141" s="6">
        <v>0.35125613212585499</v>
      </c>
      <c r="F141" s="6">
        <f>EXP(D141)</f>
        <v>1.0771541871557888</v>
      </c>
    </row>
    <row r="142" spans="1:6" x14ac:dyDescent="0.2">
      <c r="A142" s="5" t="s">
        <v>448</v>
      </c>
      <c r="B142" s="5" t="s">
        <v>449</v>
      </c>
      <c r="C142" s="6">
        <v>0.82495653629303001</v>
      </c>
      <c r="D142" s="6">
        <v>1.3556836843490601</v>
      </c>
      <c r="E142" s="6">
        <v>0.57738113403320301</v>
      </c>
      <c r="F142" s="6">
        <f>EXP(D142)</f>
        <v>3.8794123436769121</v>
      </c>
    </row>
    <row r="143" spans="1:6" x14ac:dyDescent="0.2">
      <c r="A143" s="5" t="s">
        <v>450</v>
      </c>
      <c r="B143" s="5" t="s">
        <v>72</v>
      </c>
      <c r="C143" s="6">
        <v>0.57373744249343905</v>
      </c>
      <c r="D143" s="6">
        <v>0.76410716772079501</v>
      </c>
      <c r="E143" s="6">
        <v>0.26801028847694403</v>
      </c>
      <c r="F143" s="6">
        <f>EXP(D143)</f>
        <v>2.147076539389714</v>
      </c>
    </row>
    <row r="144" spans="1:6" x14ac:dyDescent="0.2">
      <c r="A144" s="5" t="s">
        <v>450</v>
      </c>
      <c r="B144" s="5" t="s">
        <v>21</v>
      </c>
      <c r="C144" s="6">
        <v>0.53352278470992998</v>
      </c>
      <c r="D144" s="6">
        <v>1.36165606975555</v>
      </c>
      <c r="E144" s="6">
        <v>0.38931810855865501</v>
      </c>
      <c r="F144" s="6">
        <f>EXP(D144)</f>
        <v>3.9026510154203136</v>
      </c>
    </row>
    <row r="145" spans="1:6" x14ac:dyDescent="0.2">
      <c r="A145" s="5" t="s">
        <v>450</v>
      </c>
      <c r="B145" s="5" t="s">
        <v>451</v>
      </c>
      <c r="C145" s="6">
        <v>0.51993864774704002</v>
      </c>
      <c r="D145" s="6">
        <v>0.62434685230255105</v>
      </c>
      <c r="E145" s="6">
        <v>0.36933392286300698</v>
      </c>
      <c r="F145" s="6">
        <f>EXP(D145)</f>
        <v>1.8670261152987633</v>
      </c>
    </row>
    <row r="146" spans="1:6" x14ac:dyDescent="0.2">
      <c r="A146" s="5" t="s">
        <v>450</v>
      </c>
      <c r="B146" s="5" t="s">
        <v>452</v>
      </c>
      <c r="C146" s="6">
        <v>0.55494052171707198</v>
      </c>
      <c r="D146" s="6">
        <v>0.80602449178695701</v>
      </c>
      <c r="E146" s="6">
        <v>0.191941037774086</v>
      </c>
      <c r="F146" s="6">
        <f>EXP(D146)</f>
        <v>2.2389891502136776</v>
      </c>
    </row>
    <row r="147" spans="1:6" x14ac:dyDescent="0.2">
      <c r="A147" s="5" t="s">
        <v>450</v>
      </c>
      <c r="B147" s="5" t="s">
        <v>453</v>
      </c>
      <c r="C147" s="6">
        <v>0.56739228963851895</v>
      </c>
      <c r="D147" s="6">
        <v>1.3264423608779901</v>
      </c>
      <c r="E147" s="6">
        <v>0.46062502264976501</v>
      </c>
      <c r="F147" s="6">
        <f>EXP(D147)</f>
        <v>3.7676156992883443</v>
      </c>
    </row>
    <row r="148" spans="1:6" x14ac:dyDescent="0.2">
      <c r="A148" s="5" t="s">
        <v>450</v>
      </c>
      <c r="B148" s="5" t="s">
        <v>454</v>
      </c>
      <c r="C148" s="6">
        <v>0.53713124990463301</v>
      </c>
      <c r="D148" s="6">
        <v>1.1245864629745499</v>
      </c>
      <c r="E148" s="6">
        <v>0.40214034914970398</v>
      </c>
      <c r="F148" s="6">
        <f>EXP(D148)</f>
        <v>3.0789433285466505</v>
      </c>
    </row>
    <row r="149" spans="1:6" x14ac:dyDescent="0.2">
      <c r="A149" s="5" t="s">
        <v>455</v>
      </c>
      <c r="B149" s="5" t="s">
        <v>456</v>
      </c>
      <c r="C149" s="6">
        <v>0.80440789461135898</v>
      </c>
      <c r="D149" s="6">
        <v>-0.207069486379623</v>
      </c>
      <c r="E149" s="6">
        <v>0.46543657779693598</v>
      </c>
      <c r="F149" s="6">
        <f>EXP(D149)</f>
        <v>0.81296315815826004</v>
      </c>
    </row>
    <row r="150" spans="1:6" x14ac:dyDescent="0.2">
      <c r="A150" s="5" t="s">
        <v>455</v>
      </c>
      <c r="B150" s="5" t="s">
        <v>457</v>
      </c>
      <c r="C150" s="6">
        <v>0.74658876657485995</v>
      </c>
      <c r="D150" s="6">
        <v>0.82008916139602706</v>
      </c>
      <c r="E150" s="6">
        <v>0.259941726922989</v>
      </c>
      <c r="F150" s="6">
        <f>EXP(D150)</f>
        <v>2.270702287492826</v>
      </c>
    </row>
    <row r="151" spans="1:6" x14ac:dyDescent="0.2">
      <c r="A151" s="5" t="s">
        <v>455</v>
      </c>
      <c r="B151" s="5" t="s">
        <v>458</v>
      </c>
      <c r="C151" s="6">
        <v>0.72385084629058805</v>
      </c>
      <c r="D151" s="6">
        <v>0.302739977836609</v>
      </c>
      <c r="E151" s="6">
        <v>0.31649717688560502</v>
      </c>
      <c r="F151" s="6">
        <f>EXP(D151)</f>
        <v>1.353562462440342</v>
      </c>
    </row>
    <row r="152" spans="1:6" x14ac:dyDescent="0.2">
      <c r="A152" s="5" t="s">
        <v>455</v>
      </c>
      <c r="B152" s="5" t="s">
        <v>576</v>
      </c>
      <c r="C152" s="6">
        <v>0.73043519258499201</v>
      </c>
      <c r="D152" s="6">
        <v>0.10079866647720299</v>
      </c>
      <c r="E152" s="6">
        <v>9.4293408095836598E-2</v>
      </c>
      <c r="F152" s="6">
        <f>EXP(D152)</f>
        <v>1.1060539336100101</v>
      </c>
    </row>
    <row r="153" spans="1:6" x14ac:dyDescent="0.2">
      <c r="A153" s="5" t="s">
        <v>455</v>
      </c>
      <c r="B153" s="5" t="s">
        <v>466</v>
      </c>
      <c r="C153" s="6">
        <v>0.76995074748992898</v>
      </c>
      <c r="D153" s="6">
        <v>-0.481162428855896</v>
      </c>
      <c r="E153" s="6">
        <v>0.61799919605255105</v>
      </c>
      <c r="F153" s="6">
        <f>EXP(D153)</f>
        <v>0.61806451803671048</v>
      </c>
    </row>
    <row r="154" spans="1:6" x14ac:dyDescent="0.2">
      <c r="A154" s="5" t="s">
        <v>455</v>
      </c>
      <c r="B154" s="5" t="s">
        <v>467</v>
      </c>
      <c r="C154" s="6">
        <v>0.73825109004974399</v>
      </c>
      <c r="D154" s="6">
        <v>0.18368715047836301</v>
      </c>
      <c r="E154" s="6">
        <v>0.36374220252037098</v>
      </c>
      <c r="F154" s="6">
        <f>EXP(D154)</f>
        <v>1.2016398318384549</v>
      </c>
    </row>
    <row r="155" spans="1:6" x14ac:dyDescent="0.2">
      <c r="A155" s="5" t="s">
        <v>455</v>
      </c>
      <c r="B155" s="5" t="s">
        <v>439</v>
      </c>
      <c r="C155" s="6">
        <v>0.79535275697708097</v>
      </c>
      <c r="D155" s="6">
        <v>0.53874731063842796</v>
      </c>
      <c r="E155" s="6">
        <v>7.3766298592090607E-2</v>
      </c>
      <c r="F155" s="6">
        <f>EXP(D155)</f>
        <v>1.7138585844874521</v>
      </c>
    </row>
    <row r="156" spans="1:6" x14ac:dyDescent="0.2">
      <c r="A156" s="5" t="s">
        <v>455</v>
      </c>
      <c r="B156" s="5" t="s">
        <v>459</v>
      </c>
      <c r="C156" s="6">
        <v>0.767142653465271</v>
      </c>
      <c r="D156" s="6">
        <v>0.4996337890625</v>
      </c>
      <c r="E156" s="6">
        <v>0.40037631988525402</v>
      </c>
      <c r="F156" s="6">
        <f>EXP(D156)</f>
        <v>1.6481176014797909</v>
      </c>
    </row>
    <row r="157" spans="1:6" x14ac:dyDescent="0.2">
      <c r="A157" s="5" t="s">
        <v>455</v>
      </c>
      <c r="B157" s="5" t="s">
        <v>460</v>
      </c>
      <c r="C157" s="6">
        <v>0.77151978015899703</v>
      </c>
      <c r="D157" s="6">
        <v>0.95698797702789296</v>
      </c>
      <c r="E157" s="6">
        <v>0.200806304812431</v>
      </c>
      <c r="F157" s="6">
        <f>EXP(D157)</f>
        <v>2.6038418187873997</v>
      </c>
    </row>
    <row r="158" spans="1:6" x14ac:dyDescent="0.2">
      <c r="A158" s="5" t="s">
        <v>455</v>
      </c>
      <c r="B158" s="5" t="s">
        <v>461</v>
      </c>
      <c r="C158" s="6">
        <v>0.77839875221252397</v>
      </c>
      <c r="D158" s="6">
        <v>0.25381511449813798</v>
      </c>
      <c r="E158" s="6">
        <v>0.25952160358428999</v>
      </c>
      <c r="F158" s="6">
        <f>EXP(D158)</f>
        <v>1.2889334771240815</v>
      </c>
    </row>
    <row r="159" spans="1:6" x14ac:dyDescent="0.2">
      <c r="A159" s="5" t="s">
        <v>455</v>
      </c>
      <c r="B159" s="5" t="s">
        <v>462</v>
      </c>
      <c r="C159" s="6">
        <v>0.79047876596450795</v>
      </c>
      <c r="D159" s="6">
        <v>0.19259610772132901</v>
      </c>
      <c r="E159" s="6">
        <v>0.33352395892143299</v>
      </c>
      <c r="F159" s="6">
        <f>EXP(D159)</f>
        <v>1.2123930184387288</v>
      </c>
    </row>
    <row r="160" spans="1:6" x14ac:dyDescent="0.2">
      <c r="A160" s="5" t="s">
        <v>455</v>
      </c>
      <c r="B160" s="5" t="s">
        <v>463</v>
      </c>
      <c r="C160" s="6">
        <v>0.77840673923492398</v>
      </c>
      <c r="D160" s="6">
        <v>1.1997528076171899</v>
      </c>
      <c r="E160" s="6">
        <v>0.23764494061470001</v>
      </c>
      <c r="F160" s="6">
        <f>EXP(D160)</f>
        <v>3.3192963165511857</v>
      </c>
    </row>
    <row r="161" spans="1:6" x14ac:dyDescent="0.2">
      <c r="A161" s="5" t="s">
        <v>455</v>
      </c>
      <c r="B161" s="5" t="s">
        <v>464</v>
      </c>
      <c r="C161" s="6">
        <v>0.78596800565719604</v>
      </c>
      <c r="D161" s="6">
        <v>0.17567813396453899</v>
      </c>
      <c r="E161" s="6">
        <v>0.38634034991264299</v>
      </c>
      <c r="F161" s="6">
        <f>EXP(D161)</f>
        <v>1.1920543151005192</v>
      </c>
    </row>
    <row r="162" spans="1:6" x14ac:dyDescent="0.2">
      <c r="A162" s="5" t="s">
        <v>465</v>
      </c>
      <c r="B162" s="5" t="s">
        <v>456</v>
      </c>
      <c r="C162" s="6">
        <v>0.784518241882324</v>
      </c>
      <c r="D162" s="6">
        <v>0.58327651023864802</v>
      </c>
      <c r="E162" s="6">
        <v>0.28132170438766502</v>
      </c>
      <c r="F162" s="6">
        <f>EXP(D162)</f>
        <v>1.7919000014593505</v>
      </c>
    </row>
    <row r="163" spans="1:6" x14ac:dyDescent="0.2">
      <c r="A163" s="5" t="s">
        <v>465</v>
      </c>
      <c r="B163" s="5" t="s">
        <v>458</v>
      </c>
      <c r="C163" s="6">
        <v>0.75847613811492898</v>
      </c>
      <c r="D163" s="6">
        <v>-0.203880220651627</v>
      </c>
      <c r="E163" s="6">
        <v>0.472787916660309</v>
      </c>
      <c r="F163" s="6">
        <f>EXP(D163)</f>
        <v>0.81556005258872666</v>
      </c>
    </row>
    <row r="164" spans="1:6" x14ac:dyDescent="0.2">
      <c r="A164" s="5" t="s">
        <v>465</v>
      </c>
      <c r="B164" s="5" t="s">
        <v>466</v>
      </c>
      <c r="C164" s="6">
        <v>0.77801620960235596</v>
      </c>
      <c r="D164" s="6">
        <v>0.80289852619171098</v>
      </c>
      <c r="E164" s="6">
        <v>0.53955221176147505</v>
      </c>
      <c r="F164" s="6">
        <f>EXP(D164)</f>
        <v>2.2320010750936059</v>
      </c>
    </row>
    <row r="165" spans="1:6" x14ac:dyDescent="0.2">
      <c r="A165" s="5" t="s">
        <v>465</v>
      </c>
      <c r="B165" s="5" t="s">
        <v>467</v>
      </c>
      <c r="C165" s="6">
        <v>0.76127904653549205</v>
      </c>
      <c r="D165" s="6">
        <v>-8.6321726441383403E-2</v>
      </c>
      <c r="E165" s="6">
        <v>0.34909036755561801</v>
      </c>
      <c r="F165" s="6">
        <f>EXP(D165)</f>
        <v>0.9172990643775415</v>
      </c>
    </row>
    <row r="166" spans="1:6" x14ac:dyDescent="0.2">
      <c r="A166" s="5" t="s">
        <v>465</v>
      </c>
      <c r="B166" s="5" t="s">
        <v>439</v>
      </c>
      <c r="C166" s="6">
        <v>0.77238506078720104</v>
      </c>
      <c r="D166" s="6">
        <v>0.83204579353332497</v>
      </c>
      <c r="E166" s="6">
        <v>0.133155077695847</v>
      </c>
      <c r="F166" s="6">
        <f>EXP(D166)</f>
        <v>2.2980151992676014</v>
      </c>
    </row>
    <row r="167" spans="1:6" x14ac:dyDescent="0.2">
      <c r="A167" s="5" t="s">
        <v>465</v>
      </c>
      <c r="B167" s="5" t="s">
        <v>460</v>
      </c>
      <c r="C167" s="6">
        <v>0.78015261888503995</v>
      </c>
      <c r="D167" s="6">
        <v>0.104888185858727</v>
      </c>
      <c r="E167" s="6">
        <v>0.26719084382057201</v>
      </c>
      <c r="F167" s="6">
        <f>EXP(D167)</f>
        <v>1.110586424145622</v>
      </c>
    </row>
    <row r="168" spans="1:6" x14ac:dyDescent="0.2">
      <c r="A168" s="5" t="s">
        <v>465</v>
      </c>
      <c r="B168" s="5" t="s">
        <v>461</v>
      </c>
      <c r="C168" s="6">
        <v>0.77871185541152999</v>
      </c>
      <c r="D168" s="6">
        <v>-0.44206139445304898</v>
      </c>
      <c r="E168" s="6">
        <v>0.32343193888664201</v>
      </c>
      <c r="F168" s="6">
        <f>EXP(D168)</f>
        <v>0.64271017540454145</v>
      </c>
    </row>
    <row r="169" spans="1:6" x14ac:dyDescent="0.2">
      <c r="A169" s="5" t="s">
        <v>465</v>
      </c>
      <c r="B169" s="5" t="s">
        <v>468</v>
      </c>
      <c r="C169" s="6">
        <v>0.78489559888839699</v>
      </c>
      <c r="D169" s="6">
        <v>0.56668353080749501</v>
      </c>
      <c r="E169" s="6">
        <v>0.35893371701240501</v>
      </c>
      <c r="F169" s="6">
        <f>EXP(D169)</f>
        <v>1.7624123620483167</v>
      </c>
    </row>
    <row r="170" spans="1:6" x14ac:dyDescent="0.2">
      <c r="A170" s="5" t="s">
        <v>465</v>
      </c>
      <c r="B170" s="5" t="s">
        <v>463</v>
      </c>
      <c r="C170" s="6">
        <v>0.76694864034652699</v>
      </c>
      <c r="D170" s="6">
        <v>0.49325168132781999</v>
      </c>
      <c r="E170" s="6">
        <v>0.27413204312324502</v>
      </c>
      <c r="F170" s="6">
        <f>EXP(D170)</f>
        <v>1.6376326310819096</v>
      </c>
    </row>
    <row r="171" spans="1:6" x14ac:dyDescent="0.2">
      <c r="A171" s="5" t="s">
        <v>465</v>
      </c>
      <c r="B171" s="5" t="s">
        <v>469</v>
      </c>
      <c r="C171" s="6">
        <v>0.75892281532287598</v>
      </c>
      <c r="D171" s="6">
        <v>1.8126093149185201</v>
      </c>
      <c r="E171" s="6">
        <v>0.122569032013416</v>
      </c>
      <c r="F171" s="6">
        <f>EXP(D171)</f>
        <v>6.1264123335438292</v>
      </c>
    </row>
    <row r="172" spans="1:6" x14ac:dyDescent="0.2">
      <c r="A172" s="5" t="s">
        <v>39</v>
      </c>
      <c r="B172" s="5" t="s">
        <v>13</v>
      </c>
      <c r="C172" s="6">
        <v>0.73378562927246105</v>
      </c>
      <c r="D172" s="6">
        <v>0.14999908208846999</v>
      </c>
      <c r="E172" s="6">
        <v>0.86111062765121504</v>
      </c>
      <c r="F172" s="6">
        <f>EXP(D172)</f>
        <v>1.1618331762677252</v>
      </c>
    </row>
    <row r="173" spans="1:6" x14ac:dyDescent="0.2">
      <c r="A173" s="5" t="s">
        <v>39</v>
      </c>
      <c r="B173" s="5" t="s">
        <v>577</v>
      </c>
      <c r="C173" s="6">
        <v>0.71544390916824296</v>
      </c>
      <c r="D173" s="6">
        <v>-0.33919608592987099</v>
      </c>
      <c r="E173" s="6">
        <v>0.34723192453384399</v>
      </c>
      <c r="F173" s="6">
        <f>EXP(D173)</f>
        <v>0.71234275500211541</v>
      </c>
    </row>
    <row r="174" spans="1:6" x14ac:dyDescent="0.2">
      <c r="A174" s="5" t="s">
        <v>43</v>
      </c>
      <c r="B174" s="5" t="s">
        <v>13</v>
      </c>
      <c r="C174" s="6">
        <v>0.735590100288391</v>
      </c>
      <c r="D174" s="6">
        <v>0.34817725419998202</v>
      </c>
      <c r="E174" s="6">
        <v>0.83604598045349099</v>
      </c>
      <c r="F174" s="6">
        <f>EXP(D174)</f>
        <v>1.4164833051040915</v>
      </c>
    </row>
    <row r="175" spans="1:6" x14ac:dyDescent="0.2">
      <c r="A175" s="5" t="s">
        <v>43</v>
      </c>
      <c r="B175" s="5" t="s">
        <v>577</v>
      </c>
      <c r="C175" s="6">
        <v>0.71748840808868397</v>
      </c>
      <c r="D175" s="6">
        <v>-0.28114017844200101</v>
      </c>
      <c r="E175" s="6">
        <v>0.45725288987159701</v>
      </c>
      <c r="F175" s="6">
        <f>EXP(D175)</f>
        <v>0.75492250420227891</v>
      </c>
    </row>
    <row r="176" spans="1:6" x14ac:dyDescent="0.2">
      <c r="A176" s="5" t="s">
        <v>216</v>
      </c>
      <c r="B176" s="5" t="s">
        <v>8</v>
      </c>
      <c r="C176" s="6">
        <v>0.74733436107635498</v>
      </c>
      <c r="D176" s="6">
        <v>-0.13457790017127999</v>
      </c>
      <c r="E176" s="6">
        <v>0.98403048515319802</v>
      </c>
      <c r="F176" s="6">
        <f>EXP(D176)</f>
        <v>0.8740847848698845</v>
      </c>
    </row>
    <row r="177" spans="1:6" x14ac:dyDescent="0.2">
      <c r="A177" s="5" t="s">
        <v>216</v>
      </c>
      <c r="B177" s="5" t="s">
        <v>40</v>
      </c>
      <c r="C177" s="6">
        <v>0.73920810222625699</v>
      </c>
      <c r="D177" s="6">
        <v>-2.6240906715393102</v>
      </c>
      <c r="E177" s="6">
        <v>0.97964829206466697</v>
      </c>
      <c r="F177" s="6">
        <f>EXP(D177)</f>
        <v>7.2505658525517921E-2</v>
      </c>
    </row>
    <row r="178" spans="1:6" x14ac:dyDescent="0.2">
      <c r="A178" s="5" t="s">
        <v>216</v>
      </c>
      <c r="B178" s="5" t="s">
        <v>57</v>
      </c>
      <c r="C178" s="6">
        <v>0.69538098573684703</v>
      </c>
      <c r="D178" s="6">
        <v>0.54215323925018299</v>
      </c>
      <c r="E178" s="6">
        <v>0.80037969350814797</v>
      </c>
      <c r="F178" s="6">
        <f>EXP(D178)</f>
        <v>1.7197058164516896</v>
      </c>
    </row>
    <row r="179" spans="1:6" x14ac:dyDescent="0.2">
      <c r="A179" s="5" t="s">
        <v>216</v>
      </c>
      <c r="B179" s="5" t="s">
        <v>13</v>
      </c>
      <c r="C179" s="6">
        <v>0.73504364490509</v>
      </c>
      <c r="D179" s="6">
        <v>0.32316827774047902</v>
      </c>
      <c r="E179" s="6">
        <v>0.83604943752288796</v>
      </c>
      <c r="F179" s="6">
        <f>EXP(D179)</f>
        <v>1.3814978066758996</v>
      </c>
    </row>
    <row r="180" spans="1:6" x14ac:dyDescent="0.2">
      <c r="A180" s="5" t="s">
        <v>578</v>
      </c>
      <c r="B180" s="5" t="s">
        <v>40</v>
      </c>
      <c r="C180" s="6">
        <v>0.80707722902297996</v>
      </c>
      <c r="D180" s="6">
        <v>0.163712993264198</v>
      </c>
      <c r="E180" s="6">
        <v>0.76549905538559004</v>
      </c>
      <c r="F180" s="6">
        <f>EXP(D180)</f>
        <v>1.1778762081698753</v>
      </c>
    </row>
    <row r="181" spans="1:6" x14ac:dyDescent="0.2">
      <c r="A181" s="5" t="s">
        <v>578</v>
      </c>
      <c r="B181" s="5" t="s">
        <v>21</v>
      </c>
      <c r="C181" s="6">
        <v>0.82145702838897705</v>
      </c>
      <c r="D181" s="6">
        <v>1.23556220531464</v>
      </c>
      <c r="E181" s="6">
        <v>0.53165656328201305</v>
      </c>
      <c r="F181" s="6">
        <f>EXP(D181)</f>
        <v>3.4403121388774847</v>
      </c>
    </row>
    <row r="182" spans="1:6" x14ac:dyDescent="0.2">
      <c r="A182" s="5" t="s">
        <v>470</v>
      </c>
      <c r="B182" s="5" t="s">
        <v>579</v>
      </c>
      <c r="C182" s="6">
        <v>0.85178911685943604</v>
      </c>
      <c r="D182" s="6">
        <v>0.34281587600708002</v>
      </c>
      <c r="E182" s="6">
        <v>0.26912105083465598</v>
      </c>
      <c r="F182" s="6">
        <f>EXP(D182)</f>
        <v>1.4089093240324102</v>
      </c>
    </row>
    <row r="183" spans="1:6" x14ac:dyDescent="0.2">
      <c r="A183" s="5" t="s">
        <v>470</v>
      </c>
      <c r="B183" s="5" t="s">
        <v>471</v>
      </c>
      <c r="C183" s="6">
        <v>0.72719281911849998</v>
      </c>
      <c r="D183" s="6">
        <v>1.69175148010254</v>
      </c>
      <c r="E183" s="6">
        <v>0.131177797913551</v>
      </c>
      <c r="F183" s="6">
        <f>EXP(D183)</f>
        <v>5.4289811352307931</v>
      </c>
    </row>
    <row r="184" spans="1:6" x14ac:dyDescent="0.2">
      <c r="A184" s="5" t="s">
        <v>46</v>
      </c>
      <c r="B184" s="5" t="s">
        <v>533</v>
      </c>
      <c r="C184" s="6">
        <v>0.78749579191207897</v>
      </c>
      <c r="D184" s="6">
        <v>-2.1077342033386199</v>
      </c>
      <c r="E184" s="6">
        <v>0.88490003347396895</v>
      </c>
      <c r="F184" s="6">
        <f>EXP(D184)</f>
        <v>0.12151297845596473</v>
      </c>
    </row>
    <row r="185" spans="1:6" x14ac:dyDescent="0.2">
      <c r="A185" s="5" t="s">
        <v>46</v>
      </c>
      <c r="B185" s="5" t="s">
        <v>8</v>
      </c>
      <c r="C185" s="6">
        <v>0.75041842460632302</v>
      </c>
      <c r="D185" s="6">
        <v>-0.13658225536346399</v>
      </c>
      <c r="E185" s="6">
        <v>0.98563498258590698</v>
      </c>
      <c r="F185" s="6">
        <f>EXP(D185)</f>
        <v>0.87233456311190638</v>
      </c>
    </row>
    <row r="186" spans="1:6" x14ac:dyDescent="0.2">
      <c r="A186" s="5" t="s">
        <v>46</v>
      </c>
      <c r="B186" s="5" t="s">
        <v>20</v>
      </c>
      <c r="C186" s="6">
        <v>0.77830177545547496</v>
      </c>
      <c r="D186" s="6">
        <v>0.45326757431030301</v>
      </c>
      <c r="E186" s="6">
        <v>0.72341626882553101</v>
      </c>
      <c r="F186" s="6">
        <f>EXP(D186)</f>
        <v>1.5734451436921233</v>
      </c>
    </row>
    <row r="187" spans="1:6" x14ac:dyDescent="0.2">
      <c r="A187" s="5" t="s">
        <v>46</v>
      </c>
      <c r="B187" s="5" t="s">
        <v>111</v>
      </c>
      <c r="C187" s="6">
        <v>0.77660369873046897</v>
      </c>
      <c r="D187" s="6">
        <v>0.91515994071960505</v>
      </c>
      <c r="E187" s="6">
        <v>0.52651941776275601</v>
      </c>
      <c r="F187" s="6">
        <f>EXP(D187)</f>
        <v>2.4971746198721183</v>
      </c>
    </row>
    <row r="188" spans="1:6" x14ac:dyDescent="0.2">
      <c r="A188" s="5" t="s">
        <v>46</v>
      </c>
      <c r="B188" s="5" t="s">
        <v>580</v>
      </c>
      <c r="C188" s="6">
        <v>0.801799297332764</v>
      </c>
      <c r="D188" s="6">
        <v>-1.3143221139907799</v>
      </c>
      <c r="E188" s="6">
        <v>0.88724398612976096</v>
      </c>
      <c r="F188" s="6">
        <f>EXP(D188)</f>
        <v>0.26865637992666425</v>
      </c>
    </row>
    <row r="189" spans="1:6" x14ac:dyDescent="0.2">
      <c r="A189" s="5" t="s">
        <v>46</v>
      </c>
      <c r="B189" s="5" t="s">
        <v>21</v>
      </c>
      <c r="C189" s="6">
        <v>0.77003926038742099</v>
      </c>
      <c r="D189" s="6">
        <v>-0.58552706241607699</v>
      </c>
      <c r="E189" s="6">
        <v>0.47369435429573098</v>
      </c>
      <c r="F189" s="6">
        <f>EXP(D189)</f>
        <v>0.55681230961759653</v>
      </c>
    </row>
    <row r="190" spans="1:6" x14ac:dyDescent="0.2">
      <c r="A190" s="5" t="s">
        <v>46</v>
      </c>
      <c r="B190" s="5" t="s">
        <v>472</v>
      </c>
      <c r="C190" s="6">
        <v>0.76190632581710804</v>
      </c>
      <c r="D190" s="6">
        <v>-0.27011314034461997</v>
      </c>
      <c r="E190" s="6">
        <v>0.37637633085250899</v>
      </c>
      <c r="F190" s="6">
        <f>EXP(D190)</f>
        <v>0.76329313020351408</v>
      </c>
    </row>
    <row r="191" spans="1:6" x14ac:dyDescent="0.2">
      <c r="A191" s="5" t="s">
        <v>46</v>
      </c>
      <c r="B191" s="5" t="s">
        <v>478</v>
      </c>
      <c r="C191" s="6">
        <v>0.75552177429199197</v>
      </c>
      <c r="D191" s="6">
        <v>-1.3489528894424401</v>
      </c>
      <c r="E191" s="6">
        <v>0.84249669313430797</v>
      </c>
      <c r="F191" s="6">
        <f>EXP(D191)</f>
        <v>0.25951185603013982</v>
      </c>
    </row>
    <row r="192" spans="1:6" x14ac:dyDescent="0.2">
      <c r="A192" s="5" t="s">
        <v>46</v>
      </c>
      <c r="B192" s="5" t="s">
        <v>426</v>
      </c>
      <c r="C192" s="6">
        <v>0.74830144643783603</v>
      </c>
      <c r="D192" s="6">
        <v>0.58949750661849998</v>
      </c>
      <c r="E192" s="6">
        <v>0.72601985931396495</v>
      </c>
      <c r="F192" s="6">
        <f>EXP(D192)</f>
        <v>1.8030821508738486</v>
      </c>
    </row>
    <row r="193" spans="1:6" x14ac:dyDescent="0.2">
      <c r="A193" s="5" t="s">
        <v>46</v>
      </c>
      <c r="B193" s="5" t="s">
        <v>495</v>
      </c>
      <c r="C193" s="6">
        <v>0.76365065574645996</v>
      </c>
      <c r="D193" s="6">
        <v>-0.78579467535018899</v>
      </c>
      <c r="E193" s="6">
        <v>0.88070011138916005</v>
      </c>
      <c r="F193" s="6">
        <f>EXP(D193)</f>
        <v>0.45575737868558036</v>
      </c>
    </row>
    <row r="194" spans="1:6" x14ac:dyDescent="0.2">
      <c r="A194" s="5" t="s">
        <v>46</v>
      </c>
      <c r="B194" s="5" t="s">
        <v>496</v>
      </c>
      <c r="C194" s="6">
        <v>0.77311819791793801</v>
      </c>
      <c r="D194" s="6">
        <v>1.9012802839279199</v>
      </c>
      <c r="E194" s="6">
        <v>0.18613940477371199</v>
      </c>
      <c r="F194" s="6">
        <f>EXP(D194)</f>
        <v>6.6944597673315185</v>
      </c>
    </row>
    <row r="195" spans="1:6" x14ac:dyDescent="0.2">
      <c r="A195" s="5" t="s">
        <v>46</v>
      </c>
      <c r="B195" s="5" t="s">
        <v>12</v>
      </c>
      <c r="C195" s="6">
        <v>0.75534075498580899</v>
      </c>
      <c r="D195" s="6">
        <v>-2.0080647468566899</v>
      </c>
      <c r="E195" s="6">
        <v>0.89590865373611495</v>
      </c>
      <c r="F195" s="6">
        <f>EXP(D195)</f>
        <v>0.13424822774206957</v>
      </c>
    </row>
    <row r="196" spans="1:6" x14ac:dyDescent="0.2">
      <c r="A196" s="5" t="s">
        <v>46</v>
      </c>
      <c r="B196" s="5" t="s">
        <v>24</v>
      </c>
      <c r="C196" s="6">
        <v>0.75555193424224898</v>
      </c>
      <c r="D196" s="6">
        <v>0.39079380035400402</v>
      </c>
      <c r="E196" s="6">
        <v>0.64606404304504395</v>
      </c>
      <c r="F196" s="6">
        <f>EXP(D196)</f>
        <v>1.4781536872196683</v>
      </c>
    </row>
    <row r="197" spans="1:6" x14ac:dyDescent="0.2">
      <c r="A197" s="5" t="s">
        <v>46</v>
      </c>
      <c r="B197" s="5" t="s">
        <v>13</v>
      </c>
      <c r="C197" s="6">
        <v>0.78164654970169101</v>
      </c>
      <c r="D197" s="6">
        <v>0.98336338996887196</v>
      </c>
      <c r="E197" s="6">
        <v>0.88977825641632102</v>
      </c>
      <c r="F197" s="6">
        <f>EXP(D197)</f>
        <v>2.6734329349232846</v>
      </c>
    </row>
    <row r="198" spans="1:6" x14ac:dyDescent="0.2">
      <c r="A198" s="5" t="s">
        <v>46</v>
      </c>
      <c r="B198" s="5" t="s">
        <v>73</v>
      </c>
      <c r="C198" s="6">
        <v>0.759219110012054</v>
      </c>
      <c r="D198" s="6">
        <v>0.200661271810532</v>
      </c>
      <c r="E198" s="6">
        <v>0.74915558099746704</v>
      </c>
      <c r="F198" s="6">
        <f>EXP(D198)</f>
        <v>1.2222107044800685</v>
      </c>
    </row>
    <row r="199" spans="1:6" x14ac:dyDescent="0.2">
      <c r="A199" s="5" t="s">
        <v>46</v>
      </c>
      <c r="B199" s="5" t="s">
        <v>519</v>
      </c>
      <c r="C199" s="6">
        <v>0.76245969533920299</v>
      </c>
      <c r="D199" s="6">
        <v>1.6636317968368499</v>
      </c>
      <c r="E199" s="6">
        <v>0.73951882123947099</v>
      </c>
      <c r="F199" s="6">
        <f>EXP(D199)</f>
        <v>5.2784463199825424</v>
      </c>
    </row>
    <row r="200" spans="1:6" x14ac:dyDescent="0.2">
      <c r="A200" s="5" t="s">
        <v>46</v>
      </c>
      <c r="B200" s="5" t="s">
        <v>474</v>
      </c>
      <c r="C200" s="6">
        <v>0.76566332578659102</v>
      </c>
      <c r="D200" s="6">
        <v>1.4997409582138099</v>
      </c>
      <c r="E200" s="6">
        <v>0.52259743213653598</v>
      </c>
      <c r="F200" s="6">
        <f>EXP(D200)</f>
        <v>4.4805282759497524</v>
      </c>
    </row>
    <row r="201" spans="1:6" x14ac:dyDescent="0.2">
      <c r="A201" s="5" t="s">
        <v>46</v>
      </c>
      <c r="B201" s="5" t="s">
        <v>475</v>
      </c>
      <c r="C201" s="6">
        <v>0.76356351375579801</v>
      </c>
      <c r="D201" s="6">
        <v>-0.62586683034896895</v>
      </c>
      <c r="E201" s="6">
        <v>0.90373319387435902</v>
      </c>
      <c r="F201" s="6">
        <f>EXP(D201)</f>
        <v>0.53479764870636604</v>
      </c>
    </row>
    <row r="202" spans="1:6" x14ac:dyDescent="0.2">
      <c r="A202" s="5" t="s">
        <v>46</v>
      </c>
      <c r="B202" s="5" t="s">
        <v>473</v>
      </c>
      <c r="C202" s="6">
        <v>0.73713845014572099</v>
      </c>
      <c r="D202" s="6">
        <v>-0.92562133073806796</v>
      </c>
      <c r="E202" s="6">
        <v>0.79225093126296997</v>
      </c>
      <c r="F202" s="6">
        <f>EXP(D202)</f>
        <v>0.39628511844071307</v>
      </c>
    </row>
    <row r="203" spans="1:6" x14ac:dyDescent="0.2">
      <c r="A203" s="5" t="s">
        <v>46</v>
      </c>
      <c r="B203" s="5" t="s">
        <v>14</v>
      </c>
      <c r="C203" s="6">
        <v>0.75882261991500899</v>
      </c>
      <c r="D203" s="6">
        <v>-1.3160361051559399</v>
      </c>
      <c r="E203" s="6">
        <v>0.92557942867279097</v>
      </c>
      <c r="F203" s="6">
        <f>EXP(D203)</f>
        <v>0.26819629966439246</v>
      </c>
    </row>
    <row r="204" spans="1:6" x14ac:dyDescent="0.2">
      <c r="A204" s="5" t="s">
        <v>46</v>
      </c>
      <c r="B204" s="5" t="s">
        <v>33</v>
      </c>
      <c r="C204" s="6">
        <v>0.76788276433944702</v>
      </c>
      <c r="D204" s="6">
        <v>0.415616124868393</v>
      </c>
      <c r="E204" s="6">
        <v>0.88980180025100697</v>
      </c>
      <c r="F204" s="6">
        <f>EXP(D204)</f>
        <v>1.515304069659424</v>
      </c>
    </row>
    <row r="205" spans="1:6" x14ac:dyDescent="0.2">
      <c r="A205" s="5" t="s">
        <v>46</v>
      </c>
      <c r="B205" s="5" t="s">
        <v>476</v>
      </c>
      <c r="C205" s="6">
        <v>0.79734748601913497</v>
      </c>
      <c r="D205" s="6">
        <v>-0.38255324959754899</v>
      </c>
      <c r="E205" s="6">
        <v>0.69187074899673495</v>
      </c>
      <c r="F205" s="6">
        <f>EXP(D205)</f>
        <v>0.68211756752340436</v>
      </c>
    </row>
    <row r="206" spans="1:6" x14ac:dyDescent="0.2">
      <c r="A206" s="5" t="s">
        <v>46</v>
      </c>
      <c r="B206" s="5" t="s">
        <v>427</v>
      </c>
      <c r="C206" s="6">
        <v>0.75281268358230602</v>
      </c>
      <c r="D206" s="6">
        <v>0.36672157049179099</v>
      </c>
      <c r="E206" s="6">
        <v>0.70183449983596802</v>
      </c>
      <c r="F206" s="6">
        <f>EXP(D206)</f>
        <v>1.4429960904854786</v>
      </c>
    </row>
    <row r="207" spans="1:6" x14ac:dyDescent="0.2">
      <c r="A207" s="5" t="s">
        <v>50</v>
      </c>
      <c r="B207" s="5" t="s">
        <v>20</v>
      </c>
      <c r="C207" s="6">
        <v>0.77401477098464999</v>
      </c>
      <c r="D207" s="6">
        <v>0.28128099441528298</v>
      </c>
      <c r="E207" s="6">
        <v>0.83013761043548595</v>
      </c>
      <c r="F207" s="6">
        <f>EXP(D207)</f>
        <v>1.3248258202941745</v>
      </c>
    </row>
    <row r="208" spans="1:6" x14ac:dyDescent="0.2">
      <c r="A208" s="5" t="s">
        <v>50</v>
      </c>
      <c r="B208" s="5" t="s">
        <v>111</v>
      </c>
      <c r="C208" s="6">
        <v>0.78260308504104603</v>
      </c>
      <c r="D208" s="6">
        <v>1.61255943775177</v>
      </c>
      <c r="E208" s="6">
        <v>0.53557819128036499</v>
      </c>
      <c r="F208" s="6">
        <f>EXP(D208)</f>
        <v>5.0156320117554909</v>
      </c>
    </row>
    <row r="209" spans="1:6" x14ac:dyDescent="0.2">
      <c r="A209" s="5" t="s">
        <v>50</v>
      </c>
      <c r="B209" s="5" t="s">
        <v>21</v>
      </c>
      <c r="C209" s="6">
        <v>0.76045966148376498</v>
      </c>
      <c r="D209" s="6">
        <v>-2.9518121853470799E-2</v>
      </c>
      <c r="E209" s="6">
        <v>0.44131281971931502</v>
      </c>
      <c r="F209" s="6">
        <f>EXP(D209)</f>
        <v>0.97091328273352606</v>
      </c>
    </row>
    <row r="210" spans="1:6" x14ac:dyDescent="0.2">
      <c r="A210" s="5" t="s">
        <v>50</v>
      </c>
      <c r="B210" s="5" t="s">
        <v>432</v>
      </c>
      <c r="C210" s="6">
        <v>0.76517921686172496</v>
      </c>
      <c r="D210" s="6">
        <v>1.48576641082764</v>
      </c>
      <c r="E210" s="6">
        <v>0.50697958469390902</v>
      </c>
      <c r="F210" s="6">
        <f>EXP(D210)</f>
        <v>4.4183503870493634</v>
      </c>
    </row>
    <row r="211" spans="1:6" x14ac:dyDescent="0.2">
      <c r="A211" s="5" t="s">
        <v>50</v>
      </c>
      <c r="B211" s="5" t="s">
        <v>65</v>
      </c>
      <c r="C211" s="6">
        <v>0.74002665281295799</v>
      </c>
      <c r="D211" s="6">
        <v>-0.86170673370361295</v>
      </c>
      <c r="E211" s="6">
        <v>0.73491919040679898</v>
      </c>
      <c r="F211" s="6">
        <f>EXP(D211)</f>
        <v>0.4224404733021469</v>
      </c>
    </row>
    <row r="212" spans="1:6" x14ac:dyDescent="0.2">
      <c r="A212" s="5" t="s">
        <v>50</v>
      </c>
      <c r="B212" s="5" t="s">
        <v>57</v>
      </c>
      <c r="C212" s="6">
        <v>0.75108140707016002</v>
      </c>
      <c r="D212" s="6">
        <v>0.86854445934295699</v>
      </c>
      <c r="E212" s="6">
        <v>0.82270705699920699</v>
      </c>
      <c r="F212" s="6">
        <f>EXP(D212)</f>
        <v>2.3834391349589272</v>
      </c>
    </row>
    <row r="213" spans="1:6" x14ac:dyDescent="0.2">
      <c r="A213" s="5" t="s">
        <v>50</v>
      </c>
      <c r="B213" s="5" t="s">
        <v>449</v>
      </c>
      <c r="C213" s="6">
        <v>0.75364840030670199</v>
      </c>
      <c r="D213" s="6">
        <v>0.47109186649322499</v>
      </c>
      <c r="E213" s="6">
        <v>0.72505497932434104</v>
      </c>
      <c r="F213" s="6">
        <f>EXP(D213)</f>
        <v>1.6017421273479904</v>
      </c>
    </row>
    <row r="214" spans="1:6" x14ac:dyDescent="0.2">
      <c r="A214" s="5" t="s">
        <v>50</v>
      </c>
      <c r="B214" s="5" t="s">
        <v>426</v>
      </c>
      <c r="C214" s="6">
        <v>0.75781768560409601</v>
      </c>
      <c r="D214" s="6">
        <v>-8.87876451015472E-2</v>
      </c>
      <c r="E214" s="6">
        <v>0.85641795396804798</v>
      </c>
      <c r="F214" s="6">
        <f>EXP(D214)</f>
        <v>0.91503986614208754</v>
      </c>
    </row>
    <row r="215" spans="1:6" x14ac:dyDescent="0.2">
      <c r="A215" s="5" t="s">
        <v>50</v>
      </c>
      <c r="B215" s="5" t="s">
        <v>504</v>
      </c>
      <c r="C215" s="6">
        <v>0.74517202377319303</v>
      </c>
      <c r="D215" s="6">
        <v>0.53691399097442605</v>
      </c>
      <c r="E215" s="6">
        <v>0.94897365570068404</v>
      </c>
      <c r="F215" s="6">
        <f>EXP(D215)</f>
        <v>1.7107194122755109</v>
      </c>
    </row>
    <row r="216" spans="1:6" x14ac:dyDescent="0.2">
      <c r="A216" s="5" t="s">
        <v>50</v>
      </c>
      <c r="B216" s="5" t="s">
        <v>495</v>
      </c>
      <c r="C216" s="6">
        <v>0.750319004058838</v>
      </c>
      <c r="D216" s="6">
        <v>-0.83098703622818004</v>
      </c>
      <c r="E216" s="6">
        <v>0.80476176738739003</v>
      </c>
      <c r="F216" s="6">
        <f>EXP(D216)</f>
        <v>0.43561910221723726</v>
      </c>
    </row>
    <row r="217" spans="1:6" x14ac:dyDescent="0.2">
      <c r="A217" s="5" t="s">
        <v>50</v>
      </c>
      <c r="B217" s="5" t="s">
        <v>496</v>
      </c>
      <c r="C217" s="6">
        <v>0.76111692190170299</v>
      </c>
      <c r="D217" s="6">
        <v>1.6138063669204701</v>
      </c>
      <c r="E217" s="6">
        <v>0.14463783800602001</v>
      </c>
      <c r="F217" s="6">
        <f>EXP(D217)</f>
        <v>5.0218900504650676</v>
      </c>
    </row>
    <row r="218" spans="1:6" x14ac:dyDescent="0.2">
      <c r="A218" s="5" t="s">
        <v>50</v>
      </c>
      <c r="B218" s="5" t="s">
        <v>452</v>
      </c>
      <c r="C218" s="6">
        <v>0.75748556852340698</v>
      </c>
      <c r="D218" s="6">
        <v>0.46638923883438099</v>
      </c>
      <c r="E218" s="6">
        <v>0.98429930210113503</v>
      </c>
      <c r="F218" s="6">
        <f>EXP(D218)</f>
        <v>1.5942274138162416</v>
      </c>
    </row>
    <row r="219" spans="1:6" x14ac:dyDescent="0.2">
      <c r="A219" s="5" t="s">
        <v>50</v>
      </c>
      <c r="B219" s="5" t="s">
        <v>24</v>
      </c>
      <c r="C219" s="6">
        <v>0.75051444768905595</v>
      </c>
      <c r="D219" s="6">
        <v>-0.28753209114074701</v>
      </c>
      <c r="E219" s="6">
        <v>0.55351197719573997</v>
      </c>
      <c r="F219" s="6">
        <f>EXP(D219)</f>
        <v>0.75011249441909478</v>
      </c>
    </row>
    <row r="220" spans="1:6" x14ac:dyDescent="0.2">
      <c r="A220" s="5" t="s">
        <v>50</v>
      </c>
      <c r="B220" s="5" t="s">
        <v>13</v>
      </c>
      <c r="C220" s="6">
        <v>0.778572857379913</v>
      </c>
      <c r="D220" s="6">
        <v>0.73118394613266002</v>
      </c>
      <c r="E220" s="6">
        <v>0.86204332113266002</v>
      </c>
      <c r="F220" s="6">
        <f>EXP(D220)</f>
        <v>2.0775388462584203</v>
      </c>
    </row>
    <row r="221" spans="1:6" x14ac:dyDescent="0.2">
      <c r="A221" s="5" t="s">
        <v>50</v>
      </c>
      <c r="B221" s="5" t="s">
        <v>73</v>
      </c>
      <c r="C221" s="6">
        <v>0.786418497562408</v>
      </c>
      <c r="D221" s="6">
        <v>0.557500600814819</v>
      </c>
      <c r="E221" s="6">
        <v>0.95192450284957897</v>
      </c>
      <c r="F221" s="6">
        <f>EXP(D221)</f>
        <v>1.746302334544735</v>
      </c>
    </row>
    <row r="222" spans="1:6" x14ac:dyDescent="0.2">
      <c r="A222" s="5" t="s">
        <v>50</v>
      </c>
      <c r="B222" s="5" t="s">
        <v>519</v>
      </c>
      <c r="C222" s="6">
        <v>0.76614159345626798</v>
      </c>
      <c r="D222" s="6">
        <v>1.81717133522034</v>
      </c>
      <c r="E222" s="6">
        <v>0.70768928527831998</v>
      </c>
      <c r="F222" s="6">
        <f>EXP(D222)</f>
        <v>6.154424999579005</v>
      </c>
    </row>
    <row r="223" spans="1:6" x14ac:dyDescent="0.2">
      <c r="A223" s="5" t="s">
        <v>50</v>
      </c>
      <c r="B223" s="5" t="s">
        <v>474</v>
      </c>
      <c r="C223" s="6">
        <v>0.77031749486923196</v>
      </c>
      <c r="D223" s="6">
        <v>1.81954002380371</v>
      </c>
      <c r="E223" s="6">
        <v>0.60276746749877896</v>
      </c>
      <c r="F223" s="6">
        <f>EXP(D223)</f>
        <v>6.1690201947246841</v>
      </c>
    </row>
    <row r="224" spans="1:6" x14ac:dyDescent="0.2">
      <c r="A224" s="5" t="s">
        <v>50</v>
      </c>
      <c r="B224" s="5" t="s">
        <v>475</v>
      </c>
      <c r="C224" s="6">
        <v>0.779732525348663</v>
      </c>
      <c r="D224" s="6">
        <v>-1.3015377521514899</v>
      </c>
      <c r="E224" s="6">
        <v>0.90481680631637595</v>
      </c>
      <c r="F224" s="6">
        <f>EXP(D224)</f>
        <v>0.27211302874329002</v>
      </c>
    </row>
    <row r="225" spans="1:6" x14ac:dyDescent="0.2">
      <c r="A225" s="5" t="s">
        <v>50</v>
      </c>
      <c r="B225" s="5" t="s">
        <v>48</v>
      </c>
      <c r="C225" s="6">
        <v>0.77121067047119096</v>
      </c>
      <c r="D225" s="6">
        <v>0.1770920753479</v>
      </c>
      <c r="E225" s="6">
        <v>0.98780107498169001</v>
      </c>
      <c r="F225" s="6">
        <f>EXP(D225)</f>
        <v>1.1937410021851824</v>
      </c>
    </row>
    <row r="226" spans="1:6" x14ac:dyDescent="0.2">
      <c r="A226" s="5" t="s">
        <v>50</v>
      </c>
      <c r="B226" s="5" t="s">
        <v>476</v>
      </c>
      <c r="C226" s="6">
        <v>0.77491658926010099</v>
      </c>
      <c r="D226" s="6">
        <v>-0.38749498128891002</v>
      </c>
      <c r="E226" s="6">
        <v>0.46136802434921298</v>
      </c>
      <c r="F226" s="6">
        <f>EXP(D226)</f>
        <v>0.6787550407183166</v>
      </c>
    </row>
    <row r="227" spans="1:6" x14ac:dyDescent="0.2">
      <c r="A227" s="5" t="s">
        <v>50</v>
      </c>
      <c r="B227" s="5" t="s">
        <v>427</v>
      </c>
      <c r="C227" s="6">
        <v>0.75469219684600797</v>
      </c>
      <c r="D227" s="6">
        <v>-0.66186684370040905</v>
      </c>
      <c r="E227" s="6">
        <v>0.85300487279892001</v>
      </c>
      <c r="F227" s="6">
        <f>EXP(D227)</f>
        <v>0.51588735391435392</v>
      </c>
    </row>
    <row r="228" spans="1:6" x14ac:dyDescent="0.2">
      <c r="A228" s="5" t="s">
        <v>50</v>
      </c>
      <c r="B228" s="5" t="s">
        <v>442</v>
      </c>
      <c r="C228" s="6">
        <v>0.78469067811965898</v>
      </c>
      <c r="D228" s="6">
        <v>1.84687471389771</v>
      </c>
      <c r="E228" s="6">
        <v>0.75985199213027999</v>
      </c>
      <c r="F228" s="6">
        <f>EXP(D228)</f>
        <v>6.3399742941960806</v>
      </c>
    </row>
    <row r="229" spans="1:6" x14ac:dyDescent="0.2">
      <c r="A229" s="5" t="s">
        <v>50</v>
      </c>
      <c r="B229" s="5" t="s">
        <v>477</v>
      </c>
      <c r="C229" s="6">
        <v>0.76920855045318604</v>
      </c>
      <c r="D229" s="6">
        <v>-0.36081415414810197</v>
      </c>
      <c r="E229" s="6">
        <v>0.81888258457183805</v>
      </c>
      <c r="F229" s="6">
        <f>EXP(D229)</f>
        <v>0.6971085411597111</v>
      </c>
    </row>
    <row r="230" spans="1:6" x14ac:dyDescent="0.2">
      <c r="A230" s="5" t="s">
        <v>50</v>
      </c>
      <c r="B230" s="5" t="s">
        <v>581</v>
      </c>
      <c r="C230" s="6">
        <v>0.77166879177093495</v>
      </c>
      <c r="D230" s="6">
        <v>2.32704782485962</v>
      </c>
      <c r="E230" s="6">
        <v>0.191936939954758</v>
      </c>
      <c r="F230" s="6">
        <f>EXP(D230)</f>
        <v>10.247643993381459</v>
      </c>
    </row>
    <row r="231" spans="1:6" x14ac:dyDescent="0.2">
      <c r="A231" s="5" t="s">
        <v>52</v>
      </c>
      <c r="B231" s="5" t="s">
        <v>533</v>
      </c>
      <c r="C231" s="6">
        <v>0.79899597167968806</v>
      </c>
      <c r="D231" s="6">
        <v>-1.8578633069992101</v>
      </c>
      <c r="E231" s="6">
        <v>0.93493866920471203</v>
      </c>
      <c r="F231" s="6">
        <f>EXP(D231)</f>
        <v>0.15600561059930007</v>
      </c>
    </row>
    <row r="232" spans="1:6" x14ac:dyDescent="0.2">
      <c r="A232" s="5" t="s">
        <v>52</v>
      </c>
      <c r="B232" s="5" t="s">
        <v>21</v>
      </c>
      <c r="C232" s="6">
        <v>0.87535572052001998</v>
      </c>
      <c r="D232" s="6">
        <v>0.31038311123848</v>
      </c>
      <c r="E232" s="6">
        <v>0.19940276443958299</v>
      </c>
      <c r="F232" s="6">
        <f>EXP(D232)</f>
        <v>1.3639475576868363</v>
      </c>
    </row>
    <row r="233" spans="1:6" x14ac:dyDescent="0.2">
      <c r="A233" s="5" t="s">
        <v>52</v>
      </c>
      <c r="B233" s="5" t="s">
        <v>65</v>
      </c>
      <c r="C233" s="6">
        <v>0.85403555631637595</v>
      </c>
      <c r="D233" s="6">
        <v>-1.46412718296051</v>
      </c>
      <c r="E233" s="6">
        <v>0.78745311498642001</v>
      </c>
      <c r="F233" s="6">
        <f>EXP(D233)</f>
        <v>0.23127976833007072</v>
      </c>
    </row>
    <row r="234" spans="1:6" x14ac:dyDescent="0.2">
      <c r="A234" s="5" t="s">
        <v>52</v>
      </c>
      <c r="B234" s="5" t="s">
        <v>57</v>
      </c>
      <c r="C234" s="6">
        <v>0.88909286260604903</v>
      </c>
      <c r="D234" s="6">
        <v>3.9154231548309298E-2</v>
      </c>
      <c r="E234" s="6">
        <v>0.69026923179626498</v>
      </c>
      <c r="F234" s="6">
        <f>EXP(D234)</f>
        <v>1.0399308614290761</v>
      </c>
    </row>
    <row r="235" spans="1:6" x14ac:dyDescent="0.2">
      <c r="A235" s="5" t="s">
        <v>52</v>
      </c>
      <c r="B235" s="5" t="s">
        <v>478</v>
      </c>
      <c r="C235" s="6">
        <v>0.89507532119750999</v>
      </c>
      <c r="D235" s="6">
        <v>-2.07265996932983</v>
      </c>
      <c r="E235" s="6">
        <v>0.91452765464782704</v>
      </c>
      <c r="F235" s="6">
        <f>EXP(D235)</f>
        <v>0.1258505774100577</v>
      </c>
    </row>
    <row r="236" spans="1:6" x14ac:dyDescent="0.2">
      <c r="A236" s="5" t="s">
        <v>52</v>
      </c>
      <c r="B236" s="5" t="s">
        <v>449</v>
      </c>
      <c r="C236" s="6">
        <v>0.89146864414215099</v>
      </c>
      <c r="D236" s="6">
        <v>0.18340753018855999</v>
      </c>
      <c r="E236" s="6">
        <v>0.665951728820801</v>
      </c>
      <c r="F236" s="6">
        <f>EXP(D236)</f>
        <v>1.2013038759326702</v>
      </c>
    </row>
    <row r="237" spans="1:6" x14ac:dyDescent="0.2">
      <c r="A237" s="5" t="s">
        <v>52</v>
      </c>
      <c r="B237" s="5" t="s">
        <v>426</v>
      </c>
      <c r="C237" s="6">
        <v>0.88335686922073398</v>
      </c>
      <c r="D237" s="6">
        <v>-0.288749098777771</v>
      </c>
      <c r="E237" s="6">
        <v>0.81706047058105502</v>
      </c>
      <c r="F237" s="6">
        <f>EXP(D237)</f>
        <v>0.74920015705813336</v>
      </c>
    </row>
    <row r="238" spans="1:6" x14ac:dyDescent="0.2">
      <c r="A238" s="5" t="s">
        <v>52</v>
      </c>
      <c r="B238" s="5" t="s">
        <v>452</v>
      </c>
      <c r="C238" s="6">
        <v>0.89290803670883201</v>
      </c>
      <c r="D238" s="6">
        <v>-3.7048380821943297E-2</v>
      </c>
      <c r="E238" s="6">
        <v>0.98496443033218395</v>
      </c>
      <c r="F238" s="6">
        <f>EXP(D238)</f>
        <v>0.9636295130333602</v>
      </c>
    </row>
    <row r="239" spans="1:6" x14ac:dyDescent="0.2">
      <c r="A239" s="5" t="s">
        <v>52</v>
      </c>
      <c r="B239" s="5" t="s">
        <v>24</v>
      </c>
      <c r="C239" s="6">
        <v>0.87013238668441795</v>
      </c>
      <c r="D239" s="6">
        <v>-0.23107784986495999</v>
      </c>
      <c r="E239" s="6">
        <v>0.59318000078201305</v>
      </c>
      <c r="F239" s="6">
        <f>EXP(D239)</f>
        <v>0.79367767593020533</v>
      </c>
    </row>
    <row r="240" spans="1:6" x14ac:dyDescent="0.2">
      <c r="A240" s="5" t="s">
        <v>52</v>
      </c>
      <c r="B240" s="5" t="s">
        <v>13</v>
      </c>
      <c r="C240" s="6">
        <v>0.88964122533798196</v>
      </c>
      <c r="D240" s="6">
        <v>0.34730195999145502</v>
      </c>
      <c r="E240" s="6">
        <v>0.68085086345672596</v>
      </c>
      <c r="F240" s="6">
        <f>EXP(D240)</f>
        <v>1.4152440079246036</v>
      </c>
    </row>
    <row r="241" spans="1:6" x14ac:dyDescent="0.2">
      <c r="A241" s="5" t="s">
        <v>52</v>
      </c>
      <c r="B241" s="5" t="s">
        <v>519</v>
      </c>
      <c r="C241" s="6">
        <v>0.802162945270538</v>
      </c>
      <c r="D241" s="6">
        <v>1.2739552259445199</v>
      </c>
      <c r="E241" s="6">
        <v>0.82828772068023704</v>
      </c>
      <c r="F241" s="6">
        <f>EXP(D241)</f>
        <v>3.5749644282067861</v>
      </c>
    </row>
    <row r="242" spans="1:6" x14ac:dyDescent="0.2">
      <c r="A242" s="5" t="s">
        <v>52</v>
      </c>
      <c r="B242" s="5" t="s">
        <v>474</v>
      </c>
      <c r="C242" s="6">
        <v>0.885142982006073</v>
      </c>
      <c r="D242" s="6">
        <v>1.2924549579620399</v>
      </c>
      <c r="E242" s="6">
        <v>0.54676741361617998</v>
      </c>
      <c r="F242" s="6">
        <f>EXP(D242)</f>
        <v>3.6417158500687314</v>
      </c>
    </row>
    <row r="243" spans="1:6" x14ac:dyDescent="0.2">
      <c r="A243" s="5" t="s">
        <v>52</v>
      </c>
      <c r="B243" s="5" t="s">
        <v>475</v>
      </c>
      <c r="C243" s="6">
        <v>0.88382691144943204</v>
      </c>
      <c r="D243" s="6">
        <v>-1.13044786453247</v>
      </c>
      <c r="E243" s="6">
        <v>0.90335315465927102</v>
      </c>
      <c r="F243" s="6">
        <f>EXP(D243)</f>
        <v>0.32288861367648869</v>
      </c>
    </row>
    <row r="244" spans="1:6" x14ac:dyDescent="0.2">
      <c r="A244" s="5" t="s">
        <v>52</v>
      </c>
      <c r="B244" s="5" t="s">
        <v>476</v>
      </c>
      <c r="C244" s="6">
        <v>0.85318201780319203</v>
      </c>
      <c r="D244" s="6">
        <v>-0.63792306184768699</v>
      </c>
      <c r="E244" s="6">
        <v>0.61201304197311401</v>
      </c>
      <c r="F244" s="6">
        <f>EXP(D244)</f>
        <v>0.52838871586703995</v>
      </c>
    </row>
    <row r="245" spans="1:6" x14ac:dyDescent="0.2">
      <c r="A245" s="5" t="s">
        <v>56</v>
      </c>
      <c r="B245" s="5" t="s">
        <v>479</v>
      </c>
      <c r="C245" s="6">
        <v>0.78626692295074496</v>
      </c>
      <c r="D245" s="6">
        <v>1.87196612358093</v>
      </c>
      <c r="E245" s="6">
        <v>0.18016776442527799</v>
      </c>
      <c r="F245" s="6">
        <f>EXP(D245)</f>
        <v>6.501065740775644</v>
      </c>
    </row>
    <row r="246" spans="1:6" x14ac:dyDescent="0.2">
      <c r="A246" s="5" t="s">
        <v>56</v>
      </c>
      <c r="B246" s="5" t="s">
        <v>20</v>
      </c>
      <c r="C246" s="6">
        <v>0.792266845703125</v>
      </c>
      <c r="D246" s="6">
        <v>-0.52260428667068504</v>
      </c>
      <c r="E246" s="6">
        <v>0.85131883621215798</v>
      </c>
      <c r="F246" s="6">
        <f>EXP(D246)</f>
        <v>0.5929742603936794</v>
      </c>
    </row>
    <row r="247" spans="1:6" x14ac:dyDescent="0.2">
      <c r="A247" s="5" t="s">
        <v>56</v>
      </c>
      <c r="B247" s="5" t="s">
        <v>21</v>
      </c>
      <c r="C247" s="6">
        <v>0.77373045682907104</v>
      </c>
      <c r="D247" s="6">
        <v>-1.6283685341477401E-2</v>
      </c>
      <c r="E247" s="6">
        <v>0.220689326524735</v>
      </c>
      <c r="F247" s="6">
        <f>EXP(D247)</f>
        <v>0.98384817715668427</v>
      </c>
    </row>
    <row r="248" spans="1:6" x14ac:dyDescent="0.2">
      <c r="A248" s="5" t="s">
        <v>56</v>
      </c>
      <c r="B248" s="5" t="s">
        <v>478</v>
      </c>
      <c r="C248" s="6">
        <v>0.79298138618469205</v>
      </c>
      <c r="D248" s="6">
        <v>-2.1720342636108398</v>
      </c>
      <c r="E248" s="6">
        <v>0.94860416650772095</v>
      </c>
      <c r="F248" s="6">
        <f>EXP(D248)</f>
        <v>0.11394558562599855</v>
      </c>
    </row>
    <row r="249" spans="1:6" x14ac:dyDescent="0.2">
      <c r="A249" s="5" t="s">
        <v>56</v>
      </c>
      <c r="B249" s="5" t="s">
        <v>519</v>
      </c>
      <c r="C249" s="6">
        <v>0.78494107723236095</v>
      </c>
      <c r="D249" s="6">
        <v>1.4374700784683201</v>
      </c>
      <c r="E249" s="6">
        <v>0.81127887964248702</v>
      </c>
      <c r="F249" s="6">
        <f>EXP(D249)</f>
        <v>4.2100312836748977</v>
      </c>
    </row>
    <row r="250" spans="1:6" x14ac:dyDescent="0.2">
      <c r="A250" s="5" t="s">
        <v>56</v>
      </c>
      <c r="B250" s="5" t="s">
        <v>480</v>
      </c>
      <c r="C250" s="6">
        <v>0.76279371976852395</v>
      </c>
      <c r="D250" s="6">
        <v>0.18895050883293199</v>
      </c>
      <c r="E250" s="6">
        <v>0.21259705722332001</v>
      </c>
      <c r="F250" s="6">
        <f>EXP(D250)</f>
        <v>1.2079811666057461</v>
      </c>
    </row>
    <row r="251" spans="1:6" x14ac:dyDescent="0.2">
      <c r="A251" s="5" t="s">
        <v>56</v>
      </c>
      <c r="B251" s="5" t="s">
        <v>481</v>
      </c>
      <c r="C251" s="6">
        <v>0.79980850219726596</v>
      </c>
      <c r="D251" s="6">
        <v>-0.24988979101181</v>
      </c>
      <c r="E251" s="6">
        <v>0.85549837350845304</v>
      </c>
      <c r="F251" s="6">
        <f>EXP(D251)</f>
        <v>0.77888661864754782</v>
      </c>
    </row>
    <row r="252" spans="1:6" x14ac:dyDescent="0.2">
      <c r="A252" s="5" t="s">
        <v>56</v>
      </c>
      <c r="B252" s="5" t="s">
        <v>477</v>
      </c>
      <c r="C252" s="6">
        <v>0.761463582515717</v>
      </c>
      <c r="D252" s="6">
        <v>-0.62140637636184703</v>
      </c>
      <c r="E252" s="6">
        <v>0.71548515558242798</v>
      </c>
      <c r="F252" s="6">
        <f>EXP(D252)</f>
        <v>0.53718841700300957</v>
      </c>
    </row>
    <row r="253" spans="1:6" x14ac:dyDescent="0.2">
      <c r="A253" s="5" t="s">
        <v>56</v>
      </c>
      <c r="B253" s="5" t="s">
        <v>482</v>
      </c>
      <c r="C253" s="6">
        <v>0.79029136896133401</v>
      </c>
      <c r="D253" s="6">
        <v>1.1127233505248999E-2</v>
      </c>
      <c r="E253" s="6">
        <v>0.77124738693237305</v>
      </c>
      <c r="F253" s="6">
        <f>EXP(D253)</f>
        <v>1.0111893714285127</v>
      </c>
    </row>
    <row r="254" spans="1:6" x14ac:dyDescent="0.2">
      <c r="A254" s="5" t="s">
        <v>582</v>
      </c>
      <c r="B254" s="5" t="s">
        <v>583</v>
      </c>
      <c r="C254" s="6">
        <v>0.85211879014968905</v>
      </c>
      <c r="D254" s="6">
        <v>1.27095651626587</v>
      </c>
      <c r="E254" s="6">
        <v>0.19257588684558899</v>
      </c>
      <c r="F254" s="6">
        <f>EXP(D254)</f>
        <v>3.5642602052248837</v>
      </c>
    </row>
    <row r="255" spans="1:6" x14ac:dyDescent="0.2">
      <c r="A255" s="5" t="s">
        <v>347</v>
      </c>
      <c r="B255" s="5" t="s">
        <v>445</v>
      </c>
      <c r="C255" s="6">
        <v>0.65219324827194203</v>
      </c>
      <c r="D255" s="6">
        <v>-9.2265993356704698E-2</v>
      </c>
      <c r="E255" s="6">
        <v>0.71890205144882202</v>
      </c>
      <c r="F255" s="6">
        <f>EXP(D255)</f>
        <v>0.9118625678986787</v>
      </c>
    </row>
    <row r="256" spans="1:6" x14ac:dyDescent="0.2">
      <c r="A256" s="5" t="s">
        <v>347</v>
      </c>
      <c r="B256" s="5" t="s">
        <v>97</v>
      </c>
      <c r="C256" s="6">
        <v>0.64407080411911</v>
      </c>
      <c r="D256" s="6">
        <v>-0.357351124286652</v>
      </c>
      <c r="E256" s="6">
        <v>0.84929555654525801</v>
      </c>
      <c r="F256" s="6">
        <f>EXP(D256)</f>
        <v>0.69952683374734537</v>
      </c>
    </row>
    <row r="257" spans="1:6" x14ac:dyDescent="0.2">
      <c r="A257" s="5" t="s">
        <v>347</v>
      </c>
      <c r="B257" s="5" t="s">
        <v>449</v>
      </c>
      <c r="C257" s="6">
        <v>0.63302254676818903</v>
      </c>
      <c r="D257" s="6">
        <v>0.375943303108215</v>
      </c>
      <c r="E257" s="6">
        <v>0.31074273586273199</v>
      </c>
      <c r="F257" s="6">
        <f>EXP(D257)</f>
        <v>1.4563645600864099</v>
      </c>
    </row>
    <row r="258" spans="1:6" x14ac:dyDescent="0.2">
      <c r="A258" s="5" t="s">
        <v>347</v>
      </c>
      <c r="B258" s="5" t="s">
        <v>485</v>
      </c>
      <c r="C258" s="6">
        <v>0.65315335988998402</v>
      </c>
      <c r="D258" s="6">
        <v>-3.7151724100112901E-2</v>
      </c>
      <c r="E258" s="6">
        <v>0.272821515798569</v>
      </c>
      <c r="F258" s="6">
        <f>EXP(D258)</f>
        <v>0.96352993354606631</v>
      </c>
    </row>
    <row r="259" spans="1:6" x14ac:dyDescent="0.2">
      <c r="A259" s="5" t="s">
        <v>347</v>
      </c>
      <c r="B259" s="5" t="s">
        <v>483</v>
      </c>
      <c r="C259" s="6">
        <v>0.64666432142257702</v>
      </c>
      <c r="D259" s="6">
        <v>0.74200534820556596</v>
      </c>
      <c r="E259" s="6">
        <v>0.73503023386001598</v>
      </c>
      <c r="F259" s="6">
        <f>EXP(D259)</f>
        <v>2.1001428121558026</v>
      </c>
    </row>
    <row r="260" spans="1:6" x14ac:dyDescent="0.2">
      <c r="A260" s="5" t="s">
        <v>347</v>
      </c>
      <c r="B260" s="5" t="s">
        <v>98</v>
      </c>
      <c r="C260" s="6">
        <v>0.64253395795822099</v>
      </c>
      <c r="D260" s="6">
        <v>0.321576118469238</v>
      </c>
      <c r="E260" s="6">
        <v>0.49016880989074701</v>
      </c>
      <c r="F260" s="6">
        <f>EXP(D260)</f>
        <v>1.3792999922344042</v>
      </c>
    </row>
    <row r="261" spans="1:6" x14ac:dyDescent="0.2">
      <c r="A261" s="5" t="s">
        <v>347</v>
      </c>
      <c r="B261" s="5" t="s">
        <v>24</v>
      </c>
      <c r="C261" s="6">
        <v>0.64589953422546398</v>
      </c>
      <c r="D261" s="6">
        <v>0.32589650154113797</v>
      </c>
      <c r="E261" s="6">
        <v>0.21742580831050901</v>
      </c>
      <c r="F261" s="6">
        <f>EXP(D261)</f>
        <v>1.3852719879372035</v>
      </c>
    </row>
    <row r="262" spans="1:6" x14ac:dyDescent="0.2">
      <c r="A262" s="5" t="s">
        <v>347</v>
      </c>
      <c r="B262" s="5" t="s">
        <v>37</v>
      </c>
      <c r="C262" s="6">
        <v>0.64357507228851296</v>
      </c>
      <c r="D262" s="6">
        <v>-0.650110304355621</v>
      </c>
      <c r="E262" s="6">
        <v>0.44481369853019698</v>
      </c>
      <c r="F262" s="6">
        <f>EXP(D262)</f>
        <v>0.52198819601376778</v>
      </c>
    </row>
    <row r="263" spans="1:6" x14ac:dyDescent="0.2">
      <c r="A263" s="5" t="s">
        <v>347</v>
      </c>
      <c r="B263" s="5" t="s">
        <v>99</v>
      </c>
      <c r="C263" s="6">
        <v>0.63109278678893999</v>
      </c>
      <c r="D263" s="6">
        <v>-0.16902813315391499</v>
      </c>
      <c r="E263" s="6">
        <v>0.66216081380844105</v>
      </c>
      <c r="F263" s="6">
        <f>EXP(D263)</f>
        <v>0.84448514502127325</v>
      </c>
    </row>
    <row r="264" spans="1:6" x14ac:dyDescent="0.2">
      <c r="A264" s="5" t="s">
        <v>347</v>
      </c>
      <c r="B264" s="5" t="s">
        <v>486</v>
      </c>
      <c r="C264" s="6">
        <v>0.64579135179519698</v>
      </c>
      <c r="D264" s="6">
        <v>0.98424661159515403</v>
      </c>
      <c r="E264" s="6">
        <v>0.403712838888168</v>
      </c>
      <c r="F264" s="6">
        <f>EXP(D264)</f>
        <v>2.6757952117612551</v>
      </c>
    </row>
    <row r="265" spans="1:6" x14ac:dyDescent="0.2">
      <c r="A265" s="5" t="s">
        <v>347</v>
      </c>
      <c r="B265" s="5" t="s">
        <v>100</v>
      </c>
      <c r="C265" s="6">
        <v>0.64784395694732699</v>
      </c>
      <c r="D265" s="6">
        <v>8.27627703547478E-2</v>
      </c>
      <c r="E265" s="6">
        <v>0.500233054161072</v>
      </c>
      <c r="F265" s="6">
        <f>EXP(D265)</f>
        <v>1.0862840791921751</v>
      </c>
    </row>
    <row r="266" spans="1:6" x14ac:dyDescent="0.2">
      <c r="A266" s="5" t="s">
        <v>347</v>
      </c>
      <c r="B266" s="5" t="s">
        <v>101</v>
      </c>
      <c r="C266" s="6">
        <v>0.64460200071334794</v>
      </c>
      <c r="D266" s="6">
        <v>-0.112709745764732</v>
      </c>
      <c r="E266" s="6">
        <v>0.74836516380310103</v>
      </c>
      <c r="F266" s="6">
        <f>EXP(D266)</f>
        <v>0.89340993850435146</v>
      </c>
    </row>
    <row r="267" spans="1:6" x14ac:dyDescent="0.2">
      <c r="A267" s="5" t="s">
        <v>347</v>
      </c>
      <c r="B267" s="5" t="s">
        <v>102</v>
      </c>
      <c r="C267" s="6">
        <v>0.65838366746902499</v>
      </c>
      <c r="D267" s="6">
        <v>-0.72106474637985196</v>
      </c>
      <c r="E267" s="6">
        <v>0.91045397520065297</v>
      </c>
      <c r="F267" s="6">
        <f>EXP(D267)</f>
        <v>0.48623426407148418</v>
      </c>
    </row>
    <row r="268" spans="1:6" x14ac:dyDescent="0.2">
      <c r="A268" s="5" t="s">
        <v>347</v>
      </c>
      <c r="B268" s="5" t="s">
        <v>584</v>
      </c>
      <c r="C268" s="6">
        <v>0.64763969182968095</v>
      </c>
      <c r="D268" s="6">
        <v>0.32288786768913302</v>
      </c>
      <c r="E268" s="6">
        <v>0.76477950811386097</v>
      </c>
      <c r="F268" s="6">
        <f>EXP(D268)</f>
        <v>1.3811104751133649</v>
      </c>
    </row>
    <row r="269" spans="1:6" x14ac:dyDescent="0.2">
      <c r="A269" s="5" t="s">
        <v>484</v>
      </c>
      <c r="B269" s="5" t="s">
        <v>449</v>
      </c>
      <c r="C269" s="6">
        <v>0.65919524431228604</v>
      </c>
      <c r="D269" s="6">
        <v>0.79877173900604304</v>
      </c>
      <c r="E269" s="6">
        <v>0.73453223705291804</v>
      </c>
      <c r="F269" s="6">
        <f>EXP(D269)</f>
        <v>2.2228090614458593</v>
      </c>
    </row>
    <row r="270" spans="1:6" x14ac:dyDescent="0.2">
      <c r="A270" s="5" t="s">
        <v>484</v>
      </c>
      <c r="B270" s="5" t="s">
        <v>485</v>
      </c>
      <c r="C270" s="6">
        <v>0.66524934768676802</v>
      </c>
      <c r="D270" s="6">
        <v>0.32614862918853799</v>
      </c>
      <c r="E270" s="6">
        <v>0.55687874555587802</v>
      </c>
      <c r="F270" s="6">
        <f>EXP(D270)</f>
        <v>1.3856212973379596</v>
      </c>
    </row>
    <row r="271" spans="1:6" x14ac:dyDescent="0.2">
      <c r="A271" s="5" t="s">
        <v>484</v>
      </c>
      <c r="B271" s="5" t="s">
        <v>98</v>
      </c>
      <c r="C271" s="6">
        <v>0.65351897478103604</v>
      </c>
      <c r="D271" s="6">
        <v>0.731137275695801</v>
      </c>
      <c r="E271" s="6">
        <v>0.71011888980865501</v>
      </c>
      <c r="F271" s="6">
        <f>EXP(D271)</f>
        <v>2.0774418888754131</v>
      </c>
    </row>
    <row r="272" spans="1:6" x14ac:dyDescent="0.2">
      <c r="A272" s="5" t="s">
        <v>484</v>
      </c>
      <c r="B272" s="5" t="s">
        <v>486</v>
      </c>
      <c r="C272" s="6">
        <v>0.652626812458038</v>
      </c>
      <c r="D272" s="6">
        <v>0.13854315876960799</v>
      </c>
      <c r="E272" s="6">
        <v>0.57944083213806197</v>
      </c>
      <c r="F272" s="6">
        <f>EXP(D272)</f>
        <v>1.1485992526309743</v>
      </c>
    </row>
    <row r="273" spans="1:6" x14ac:dyDescent="0.2">
      <c r="A273" s="5" t="s">
        <v>484</v>
      </c>
      <c r="B273" s="5" t="s">
        <v>100</v>
      </c>
      <c r="C273" s="6">
        <v>0.66788673400878895</v>
      </c>
      <c r="D273" s="6">
        <v>0.45451247692108199</v>
      </c>
      <c r="E273" s="6">
        <v>0.66272914409637496</v>
      </c>
      <c r="F273" s="6">
        <f>EXP(D273)</f>
        <v>1.5754051494144117</v>
      </c>
    </row>
    <row r="274" spans="1:6" x14ac:dyDescent="0.2">
      <c r="A274" s="5" t="s">
        <v>484</v>
      </c>
      <c r="B274" s="5" t="s">
        <v>487</v>
      </c>
      <c r="C274" s="6">
        <v>0.66963291168212902</v>
      </c>
      <c r="D274" s="6">
        <v>0.21538969874382</v>
      </c>
      <c r="E274" s="6">
        <v>0.514565229415894</v>
      </c>
      <c r="F274" s="6">
        <f>EXP(D274)</f>
        <v>1.2403451637479328</v>
      </c>
    </row>
    <row r="275" spans="1:6" x14ac:dyDescent="0.2">
      <c r="A275" s="5" t="s">
        <v>58</v>
      </c>
      <c r="B275" s="5" t="s">
        <v>585</v>
      </c>
      <c r="C275" s="6">
        <v>0.818745136260986</v>
      </c>
      <c r="D275" s="6">
        <v>0.24603256583213801</v>
      </c>
      <c r="E275" s="6">
        <v>0.44610774517059298</v>
      </c>
      <c r="F275" s="6">
        <f>EXP(D275)</f>
        <v>1.2789412226487369</v>
      </c>
    </row>
    <row r="276" spans="1:6" x14ac:dyDescent="0.2">
      <c r="A276" s="5" t="s">
        <v>58</v>
      </c>
      <c r="B276" s="5" t="s">
        <v>586</v>
      </c>
      <c r="C276" s="6">
        <v>0.770957350730896</v>
      </c>
      <c r="D276" s="6">
        <v>0.25119060277938798</v>
      </c>
      <c r="E276" s="6">
        <v>0.249284833669662</v>
      </c>
      <c r="F276" s="6">
        <f>EXP(D276)</f>
        <v>1.2855550913544123</v>
      </c>
    </row>
    <row r="277" spans="1:6" x14ac:dyDescent="0.2">
      <c r="A277" s="5" t="s">
        <v>58</v>
      </c>
      <c r="B277" s="5" t="s">
        <v>446</v>
      </c>
      <c r="C277" s="6">
        <v>0.80346643924713101</v>
      </c>
      <c r="D277" s="6">
        <v>0.24082639813423201</v>
      </c>
      <c r="E277" s="6">
        <v>0.315754175186157</v>
      </c>
      <c r="F277" s="6">
        <f>EXP(D277)</f>
        <v>1.272300142456531</v>
      </c>
    </row>
    <row r="278" spans="1:6" x14ac:dyDescent="0.2">
      <c r="A278" s="5" t="s">
        <v>58</v>
      </c>
      <c r="B278" s="5" t="s">
        <v>587</v>
      </c>
      <c r="C278" s="6">
        <v>0.74956810474395796</v>
      </c>
      <c r="D278" s="6">
        <v>1.46198129653931</v>
      </c>
      <c r="E278" s="6">
        <v>0.43149295449256903</v>
      </c>
      <c r="F278" s="6">
        <f>EXP(D278)</f>
        <v>4.3144993682411208</v>
      </c>
    </row>
    <row r="279" spans="1:6" x14ac:dyDescent="0.2">
      <c r="A279" s="5" t="s">
        <v>58</v>
      </c>
      <c r="B279" s="5" t="s">
        <v>588</v>
      </c>
      <c r="C279" s="6">
        <v>0.767311811447144</v>
      </c>
      <c r="D279" s="6">
        <v>0.12852469086647</v>
      </c>
      <c r="E279" s="6">
        <v>0.283161401748657</v>
      </c>
      <c r="F279" s="6">
        <f>EXP(D279)</f>
        <v>1.1371494981510082</v>
      </c>
    </row>
    <row r="280" spans="1:6" x14ac:dyDescent="0.2">
      <c r="A280" s="5" t="s">
        <v>58</v>
      </c>
      <c r="B280" s="5" t="s">
        <v>37</v>
      </c>
      <c r="C280" s="6">
        <v>0.75846409797668501</v>
      </c>
      <c r="D280" s="6">
        <v>-0.534443199634552</v>
      </c>
      <c r="E280" s="6">
        <v>0.52406591176986705</v>
      </c>
      <c r="F280" s="6">
        <f>EXP(D280)</f>
        <v>0.58599548182297356</v>
      </c>
    </row>
    <row r="281" spans="1:6" x14ac:dyDescent="0.2">
      <c r="A281" s="5" t="s">
        <v>58</v>
      </c>
      <c r="B281" s="5" t="s">
        <v>439</v>
      </c>
      <c r="C281" s="6">
        <v>0.80895298719406095</v>
      </c>
      <c r="D281" s="6">
        <v>-8.0231353640556294E-2</v>
      </c>
      <c r="E281" s="6">
        <v>0.531263947486877</v>
      </c>
      <c r="F281" s="6">
        <f>EXP(D281)</f>
        <v>0.92290280476201081</v>
      </c>
    </row>
    <row r="282" spans="1:6" x14ac:dyDescent="0.2">
      <c r="A282" s="5" t="s">
        <v>58</v>
      </c>
      <c r="B282" s="5" t="s">
        <v>101</v>
      </c>
      <c r="C282" s="6">
        <v>0.76830190420150801</v>
      </c>
      <c r="D282" s="6">
        <v>-0.72440373897552501</v>
      </c>
      <c r="E282" s="6">
        <v>0.61337989568710305</v>
      </c>
      <c r="F282" s="6">
        <f>EXP(D282)</f>
        <v>0.48461343893142173</v>
      </c>
    </row>
    <row r="283" spans="1:6" x14ac:dyDescent="0.2">
      <c r="A283" s="5" t="s">
        <v>58</v>
      </c>
      <c r="B283" s="5" t="s">
        <v>589</v>
      </c>
      <c r="C283" s="6">
        <v>0.790011405944824</v>
      </c>
      <c r="D283" s="6">
        <v>1.46240246295929</v>
      </c>
      <c r="E283" s="6">
        <v>0.38401490449905401</v>
      </c>
      <c r="F283" s="6">
        <f>EXP(D283)</f>
        <v>4.3163168732032124</v>
      </c>
    </row>
    <row r="284" spans="1:6" x14ac:dyDescent="0.2">
      <c r="A284" s="5" t="s">
        <v>58</v>
      </c>
      <c r="B284" s="5" t="s">
        <v>102</v>
      </c>
      <c r="C284" s="6">
        <v>0.79005950689315796</v>
      </c>
      <c r="D284" s="6">
        <v>1.2159006595611599</v>
      </c>
      <c r="E284" s="6">
        <v>0.193456575274467</v>
      </c>
      <c r="F284" s="6">
        <f>EXP(D284)</f>
        <v>3.3733309192754954</v>
      </c>
    </row>
    <row r="285" spans="1:6" x14ac:dyDescent="0.2">
      <c r="A285" s="5" t="s">
        <v>58</v>
      </c>
      <c r="B285" s="5" t="s">
        <v>464</v>
      </c>
      <c r="C285" s="6">
        <v>0.79135829210281405</v>
      </c>
      <c r="D285" s="6">
        <v>1.6280370950698899</v>
      </c>
      <c r="E285" s="6">
        <v>0.30080589652061501</v>
      </c>
      <c r="F285" s="6">
        <f>EXP(D285)</f>
        <v>5.0938661238625498</v>
      </c>
    </row>
    <row r="286" spans="1:6" x14ac:dyDescent="0.2">
      <c r="A286" s="5" t="s">
        <v>58</v>
      </c>
      <c r="B286" s="5" t="s">
        <v>447</v>
      </c>
      <c r="C286" s="6">
        <v>0.78945130109786998</v>
      </c>
      <c r="D286" s="6">
        <v>2.01593065261841</v>
      </c>
      <c r="E286" s="6">
        <v>0.30055397748947099</v>
      </c>
      <c r="F286" s="6">
        <f>EXP(D286)</f>
        <v>7.5077112020317625</v>
      </c>
    </row>
    <row r="287" spans="1:6" x14ac:dyDescent="0.2">
      <c r="A287" s="5" t="s">
        <v>488</v>
      </c>
      <c r="B287" s="5" t="s">
        <v>489</v>
      </c>
      <c r="C287" s="6">
        <v>0.89787054061889704</v>
      </c>
      <c r="D287" s="6">
        <v>0.24580092728138001</v>
      </c>
      <c r="E287" s="6">
        <v>0.23757642507553101</v>
      </c>
      <c r="F287" s="6">
        <f>EXP(D287)</f>
        <v>1.2786450048664713</v>
      </c>
    </row>
    <row r="288" spans="1:6" x14ac:dyDescent="0.2">
      <c r="A288" s="5" t="s">
        <v>488</v>
      </c>
      <c r="B288" s="5" t="s">
        <v>439</v>
      </c>
      <c r="C288" s="6">
        <v>0.90488910675048795</v>
      </c>
      <c r="D288" s="6">
        <v>0.35817113518714899</v>
      </c>
      <c r="E288" s="6">
        <v>0.133972093462944</v>
      </c>
      <c r="F288" s="6">
        <f>EXP(D288)</f>
        <v>1.4307104444299676</v>
      </c>
    </row>
    <row r="289" spans="1:6" x14ac:dyDescent="0.2">
      <c r="A289" s="5" t="s">
        <v>488</v>
      </c>
      <c r="B289" s="5" t="s">
        <v>490</v>
      </c>
      <c r="C289" s="6">
        <v>0.85682964324951205</v>
      </c>
      <c r="D289" s="6">
        <v>0.571880102157593</v>
      </c>
      <c r="E289" s="6">
        <v>0.51986509561538696</v>
      </c>
      <c r="F289" s="6">
        <f>EXP(D289)</f>
        <v>1.7715947013129849</v>
      </c>
    </row>
    <row r="290" spans="1:6" x14ac:dyDescent="0.2">
      <c r="A290" s="5" t="s">
        <v>488</v>
      </c>
      <c r="B290" s="5" t="s">
        <v>491</v>
      </c>
      <c r="C290" s="6">
        <v>0.87069553136825595</v>
      </c>
      <c r="D290" s="6">
        <v>0.55055344104766901</v>
      </c>
      <c r="E290" s="6">
        <v>0.28313153982162498</v>
      </c>
      <c r="F290" s="6">
        <f>EXP(D290)</f>
        <v>1.7342125367275494</v>
      </c>
    </row>
    <row r="291" spans="1:6" x14ac:dyDescent="0.2">
      <c r="A291" s="5" t="s">
        <v>488</v>
      </c>
      <c r="B291" s="5" t="s">
        <v>492</v>
      </c>
      <c r="C291" s="6">
        <v>0.86351072788238503</v>
      </c>
      <c r="D291" s="6">
        <v>-0.58598887920379605</v>
      </c>
      <c r="E291" s="6">
        <v>0.589746594429016</v>
      </c>
      <c r="F291" s="6">
        <f>EXP(D291)</f>
        <v>0.55655522371326893</v>
      </c>
    </row>
    <row r="292" spans="1:6" x14ac:dyDescent="0.2">
      <c r="A292" s="5" t="s">
        <v>493</v>
      </c>
      <c r="B292" s="5" t="s">
        <v>72</v>
      </c>
      <c r="C292" s="6">
        <v>0.61282318830490101</v>
      </c>
      <c r="D292" s="6">
        <v>1.0380566120147701</v>
      </c>
      <c r="E292" s="6">
        <v>0.237716659903526</v>
      </c>
      <c r="F292" s="6">
        <f>EXP(D292)</f>
        <v>2.8237240871713909</v>
      </c>
    </row>
    <row r="293" spans="1:6" x14ac:dyDescent="0.2">
      <c r="A293" s="5" t="s">
        <v>493</v>
      </c>
      <c r="B293" s="5" t="s">
        <v>20</v>
      </c>
      <c r="C293" s="6">
        <v>0.66883629560470603</v>
      </c>
      <c r="D293" s="6">
        <v>0.92872339487075795</v>
      </c>
      <c r="E293" s="6">
        <v>0.42074614763259899</v>
      </c>
      <c r="F293" s="6">
        <f>EXP(D293)</f>
        <v>2.5312756745940117</v>
      </c>
    </row>
    <row r="294" spans="1:6" x14ac:dyDescent="0.2">
      <c r="A294" s="5" t="s">
        <v>493</v>
      </c>
      <c r="B294" s="5" t="s">
        <v>494</v>
      </c>
      <c r="C294" s="6">
        <v>0.62343114614486705</v>
      </c>
      <c r="D294" s="6">
        <v>1.2633183002471899</v>
      </c>
      <c r="E294" s="6">
        <v>0.325280010700226</v>
      </c>
      <c r="F294" s="6">
        <f>EXP(D294)</f>
        <v>3.5371393252583392</v>
      </c>
    </row>
    <row r="295" spans="1:6" x14ac:dyDescent="0.2">
      <c r="A295" s="5" t="s">
        <v>493</v>
      </c>
      <c r="B295" s="5" t="s">
        <v>451</v>
      </c>
      <c r="C295" s="6">
        <v>0.64034622907638605</v>
      </c>
      <c r="D295" s="6">
        <v>0.743211328983307</v>
      </c>
      <c r="E295" s="6">
        <v>0.87976264953613303</v>
      </c>
      <c r="F295" s="6">
        <f>EXP(D295)</f>
        <v>2.1026770718448589</v>
      </c>
    </row>
    <row r="296" spans="1:6" x14ac:dyDescent="0.2">
      <c r="A296" s="5" t="s">
        <v>493</v>
      </c>
      <c r="B296" s="5" t="s">
        <v>433</v>
      </c>
      <c r="C296" s="6">
        <v>0.62220752239227295</v>
      </c>
      <c r="D296" s="6">
        <v>1.9502946138382</v>
      </c>
      <c r="E296" s="6">
        <v>0.33568036556243902</v>
      </c>
      <c r="F296" s="6">
        <f>EXP(D296)</f>
        <v>7.0307586342804775</v>
      </c>
    </row>
    <row r="297" spans="1:6" x14ac:dyDescent="0.2">
      <c r="A297" s="5" t="s">
        <v>493</v>
      </c>
      <c r="B297" s="5" t="s">
        <v>449</v>
      </c>
      <c r="C297" s="6">
        <v>0.63931983709335305</v>
      </c>
      <c r="D297" s="6">
        <v>0.78591805696487405</v>
      </c>
      <c r="E297" s="6">
        <v>0.49167686700820901</v>
      </c>
      <c r="F297" s="6">
        <f>EXP(D297)</f>
        <v>2.1944206193894198</v>
      </c>
    </row>
    <row r="298" spans="1:6" x14ac:dyDescent="0.2">
      <c r="A298" s="5" t="s">
        <v>493</v>
      </c>
      <c r="B298" s="5" t="s">
        <v>495</v>
      </c>
      <c r="C298" s="6">
        <v>0.61289817094802901</v>
      </c>
      <c r="D298" s="6">
        <v>1.28082358837128</v>
      </c>
      <c r="E298" s="6">
        <v>0.51052439212799094</v>
      </c>
      <c r="F298" s="6">
        <f>EXP(D298)</f>
        <v>3.5996030963542989</v>
      </c>
    </row>
    <row r="299" spans="1:6" x14ac:dyDescent="0.2">
      <c r="A299" s="5" t="s">
        <v>493</v>
      </c>
      <c r="B299" s="5" t="s">
        <v>496</v>
      </c>
      <c r="C299" s="6">
        <v>0.68765705823898304</v>
      </c>
      <c r="D299" s="6">
        <v>2.49442481994629</v>
      </c>
      <c r="E299" s="6">
        <v>0.27470490336418202</v>
      </c>
      <c r="F299" s="6">
        <f>EXP(D299)</f>
        <v>12.114763343998023</v>
      </c>
    </row>
    <row r="300" spans="1:6" x14ac:dyDescent="0.2">
      <c r="A300" s="5" t="s">
        <v>493</v>
      </c>
      <c r="B300" s="5" t="s">
        <v>497</v>
      </c>
      <c r="C300" s="6">
        <v>0.650018990039825</v>
      </c>
      <c r="D300" s="6">
        <v>1.4594812393188501</v>
      </c>
      <c r="E300" s="6">
        <v>0.28681880235672003</v>
      </c>
      <c r="F300" s="6">
        <f>EXP(D300)</f>
        <v>4.3037263451411789</v>
      </c>
    </row>
    <row r="301" spans="1:6" x14ac:dyDescent="0.2">
      <c r="A301" s="5" t="s">
        <v>493</v>
      </c>
      <c r="B301" s="5" t="s">
        <v>435</v>
      </c>
      <c r="C301" s="6">
        <v>0.72009581327438399</v>
      </c>
      <c r="D301" s="6">
        <v>2.78577661514282</v>
      </c>
      <c r="E301" s="6">
        <v>0.71840274333953902</v>
      </c>
      <c r="F301" s="6">
        <f>EXP(D301)</f>
        <v>16.212403787208416</v>
      </c>
    </row>
    <row r="302" spans="1:6" x14ac:dyDescent="0.2">
      <c r="A302" s="5" t="s">
        <v>493</v>
      </c>
      <c r="B302" s="5" t="s">
        <v>498</v>
      </c>
      <c r="C302" s="6">
        <v>0.62965649366378795</v>
      </c>
      <c r="D302" s="6">
        <v>1.18267834186554</v>
      </c>
      <c r="E302" s="6">
        <v>0.66654062271118197</v>
      </c>
      <c r="F302" s="6">
        <f>EXP(D302)</f>
        <v>3.2631022126428242</v>
      </c>
    </row>
    <row r="303" spans="1:6" x14ac:dyDescent="0.2">
      <c r="A303" s="5" t="s">
        <v>493</v>
      </c>
      <c r="B303" s="5" t="s">
        <v>196</v>
      </c>
      <c r="C303" s="6">
        <v>0.62951052188873302</v>
      </c>
      <c r="D303" s="6">
        <v>0.36205410957336398</v>
      </c>
      <c r="E303" s="6">
        <v>0.73823893070221003</v>
      </c>
      <c r="F303" s="6">
        <f>EXP(D303)</f>
        <v>1.4362766561748896</v>
      </c>
    </row>
    <row r="304" spans="1:6" x14ac:dyDescent="0.2">
      <c r="A304" s="5" t="s">
        <v>493</v>
      </c>
      <c r="B304" s="5" t="s">
        <v>477</v>
      </c>
      <c r="C304" s="6">
        <v>0.61473417282104503</v>
      </c>
      <c r="D304" s="6">
        <v>1.27038490772247</v>
      </c>
      <c r="E304" s="6">
        <v>0.76619112491607699</v>
      </c>
      <c r="F304" s="6">
        <f>EXP(D304)</f>
        <v>3.5622234258163896</v>
      </c>
    </row>
    <row r="305" spans="1:6" x14ac:dyDescent="0.2">
      <c r="A305" s="5" t="s">
        <v>493</v>
      </c>
      <c r="B305" s="5" t="s">
        <v>453</v>
      </c>
      <c r="C305" s="6">
        <v>0.63198745250701904</v>
      </c>
      <c r="D305" s="6">
        <v>1.6370278596878101</v>
      </c>
      <c r="E305" s="6">
        <v>0.123434521257877</v>
      </c>
      <c r="F305" s="6">
        <f>EXP(D305)</f>
        <v>5.1398703719691872</v>
      </c>
    </row>
    <row r="306" spans="1:6" x14ac:dyDescent="0.2">
      <c r="A306" s="5" t="s">
        <v>493</v>
      </c>
      <c r="B306" s="5" t="s">
        <v>454</v>
      </c>
      <c r="C306" s="6">
        <v>0.65375137329101596</v>
      </c>
      <c r="D306" s="6">
        <v>0.45870605111122098</v>
      </c>
      <c r="E306" s="6">
        <v>0.36464142799377403</v>
      </c>
      <c r="F306" s="6">
        <f>EXP(D306)</f>
        <v>1.5820255997605546</v>
      </c>
    </row>
    <row r="307" spans="1:6" x14ac:dyDescent="0.2">
      <c r="A307" s="5" t="s">
        <v>60</v>
      </c>
      <c r="B307" s="5" t="s">
        <v>590</v>
      </c>
      <c r="C307" s="6">
        <v>0.71497672796249401</v>
      </c>
      <c r="D307" s="6">
        <v>-0.506772041320801</v>
      </c>
      <c r="E307" s="6">
        <v>0.77056264877319303</v>
      </c>
      <c r="F307" s="6">
        <f>EXP(D307)</f>
        <v>0.60243708559371756</v>
      </c>
    </row>
    <row r="308" spans="1:6" x14ac:dyDescent="0.2">
      <c r="A308" s="5" t="s">
        <v>60</v>
      </c>
      <c r="B308" s="5" t="s">
        <v>451</v>
      </c>
      <c r="C308" s="6">
        <v>0.70363807678222701</v>
      </c>
      <c r="D308" s="6">
        <v>-0.64159995317459095</v>
      </c>
      <c r="E308" s="6">
        <v>0.81189823150634799</v>
      </c>
      <c r="F308" s="6">
        <f>EXP(D308)</f>
        <v>0.52644945539027199</v>
      </c>
    </row>
    <row r="309" spans="1:6" x14ac:dyDescent="0.2">
      <c r="A309" s="5" t="s">
        <v>60</v>
      </c>
      <c r="B309" s="5" t="s">
        <v>57</v>
      </c>
      <c r="C309" s="6">
        <v>0.713179230690002</v>
      </c>
      <c r="D309" s="6">
        <v>-0.32476073503494302</v>
      </c>
      <c r="E309" s="6">
        <v>0.85787755250930797</v>
      </c>
      <c r="F309" s="6">
        <f>EXP(D309)</f>
        <v>0.72270024980726666</v>
      </c>
    </row>
    <row r="310" spans="1:6" x14ac:dyDescent="0.2">
      <c r="A310" s="5" t="s">
        <v>60</v>
      </c>
      <c r="B310" s="5" t="s">
        <v>460</v>
      </c>
      <c r="C310" s="6">
        <v>0.71119093894958496</v>
      </c>
      <c r="D310" s="6">
        <v>0.103593021631241</v>
      </c>
      <c r="E310" s="6">
        <v>0.30668202042579701</v>
      </c>
      <c r="F310" s="6">
        <f>EXP(D310)</f>
        <v>1.1091489634123362</v>
      </c>
    </row>
    <row r="311" spans="1:6" x14ac:dyDescent="0.2">
      <c r="A311" s="5" t="s">
        <v>60</v>
      </c>
      <c r="B311" s="5" t="s">
        <v>520</v>
      </c>
      <c r="C311" s="6">
        <v>0.68649142980575595</v>
      </c>
      <c r="D311" s="6">
        <v>-0.49360489845275901</v>
      </c>
      <c r="E311" s="6">
        <v>0.34588310122489901</v>
      </c>
      <c r="F311" s="6">
        <f>EXP(D311)</f>
        <v>0.61042191409465518</v>
      </c>
    </row>
    <row r="312" spans="1:6" x14ac:dyDescent="0.2">
      <c r="A312" s="5" t="s">
        <v>62</v>
      </c>
      <c r="B312" s="5" t="s">
        <v>499</v>
      </c>
      <c r="C312" s="6">
        <v>0.85727322101592995</v>
      </c>
      <c r="D312" s="6">
        <v>0.66505330801010099</v>
      </c>
      <c r="E312" s="6">
        <v>0.77882844209670998</v>
      </c>
      <c r="F312" s="6">
        <f>EXP(D312)</f>
        <v>1.9445941810201048</v>
      </c>
    </row>
    <row r="313" spans="1:6" x14ac:dyDescent="0.2">
      <c r="A313" s="5" t="s">
        <v>62</v>
      </c>
      <c r="B313" s="5" t="s">
        <v>53</v>
      </c>
      <c r="C313" s="6">
        <v>0.85195410251617398</v>
      </c>
      <c r="D313" s="6">
        <v>-0.60515576601028398</v>
      </c>
      <c r="E313" s="6">
        <v>0.59980440139770497</v>
      </c>
      <c r="F313" s="6">
        <f>EXP(D313)</f>
        <v>0.54598937342932519</v>
      </c>
    </row>
    <row r="314" spans="1:6" x14ac:dyDescent="0.2">
      <c r="A314" s="5" t="s">
        <v>62</v>
      </c>
      <c r="B314" s="5" t="s">
        <v>507</v>
      </c>
      <c r="C314" s="6">
        <v>0.84449291229248102</v>
      </c>
      <c r="D314" s="6">
        <v>-9.5772773027420002E-2</v>
      </c>
      <c r="E314" s="6">
        <v>0.50626862049102805</v>
      </c>
      <c r="F314" s="6">
        <f>EXP(D314)</f>
        <v>0.90867046705150289</v>
      </c>
    </row>
    <row r="315" spans="1:6" x14ac:dyDescent="0.2">
      <c r="A315" s="5" t="s">
        <v>62</v>
      </c>
      <c r="B315" s="5" t="s">
        <v>473</v>
      </c>
      <c r="C315" s="6">
        <v>0.83316129446029696</v>
      </c>
      <c r="D315" s="6">
        <v>0.30683395266532898</v>
      </c>
      <c r="E315" s="6">
        <v>0.448971748352051</v>
      </c>
      <c r="F315" s="6">
        <f>EXP(D315)</f>
        <v>1.3591152718659685</v>
      </c>
    </row>
    <row r="316" spans="1:6" x14ac:dyDescent="0.2">
      <c r="A316" s="5" t="s">
        <v>62</v>
      </c>
      <c r="B316" s="5" t="s">
        <v>500</v>
      </c>
      <c r="C316" s="6">
        <v>0.83606195449829102</v>
      </c>
      <c r="D316" s="6">
        <v>1.11026835441589</v>
      </c>
      <c r="E316" s="6">
        <v>0.237664610147476</v>
      </c>
      <c r="F316" s="6">
        <f>EXP(D316)</f>
        <v>3.0351727871782725</v>
      </c>
    </row>
    <row r="317" spans="1:6" x14ac:dyDescent="0.2">
      <c r="A317" s="5" t="s">
        <v>62</v>
      </c>
      <c r="B317" s="5" t="s">
        <v>33</v>
      </c>
      <c r="C317" s="6">
        <v>0.84472507238388095</v>
      </c>
      <c r="D317" s="6">
        <v>0.383966743946075</v>
      </c>
      <c r="E317" s="6">
        <v>0.85680478811264005</v>
      </c>
      <c r="F317" s="6">
        <f>EXP(D317)</f>
        <v>1.4680966177698609</v>
      </c>
    </row>
    <row r="318" spans="1:6" x14ac:dyDescent="0.2">
      <c r="A318" s="5" t="s">
        <v>63</v>
      </c>
      <c r="B318" s="5" t="s">
        <v>479</v>
      </c>
      <c r="C318" s="6">
        <v>0.78759235143661499</v>
      </c>
      <c r="D318" s="6">
        <v>0.355653285980225</v>
      </c>
      <c r="E318" s="6">
        <v>0.72381675243377697</v>
      </c>
      <c r="F318" s="6">
        <f>EXP(D318)</f>
        <v>1.4271126625089974</v>
      </c>
    </row>
    <row r="319" spans="1:6" x14ac:dyDescent="0.2">
      <c r="A319" s="5" t="s">
        <v>63</v>
      </c>
      <c r="B319" s="5" t="s">
        <v>19</v>
      </c>
      <c r="C319" s="6">
        <v>0.78399324417114302</v>
      </c>
      <c r="D319" s="6">
        <v>0.87157297134399403</v>
      </c>
      <c r="E319" s="6">
        <v>0.269328743219376</v>
      </c>
      <c r="F319" s="6">
        <f>EXP(D319)</f>
        <v>2.3906683503402015</v>
      </c>
    </row>
    <row r="320" spans="1:6" x14ac:dyDescent="0.2">
      <c r="A320" s="5" t="s">
        <v>63</v>
      </c>
      <c r="B320" s="5" t="s">
        <v>501</v>
      </c>
      <c r="C320" s="6">
        <v>0.76966917514801003</v>
      </c>
      <c r="D320" s="6">
        <v>-0.98345273733139005</v>
      </c>
      <c r="E320" s="6">
        <v>0.92940235137939498</v>
      </c>
      <c r="F320" s="6">
        <f>EXP(D320)</f>
        <v>0.37401748275295021</v>
      </c>
    </row>
    <row r="321" spans="1:6" x14ac:dyDescent="0.2">
      <c r="A321" s="5" t="s">
        <v>63</v>
      </c>
      <c r="B321" s="5" t="s">
        <v>53</v>
      </c>
      <c r="C321" s="6">
        <v>0.77813732624053999</v>
      </c>
      <c r="D321" s="6">
        <v>-1.0065169334411599</v>
      </c>
      <c r="E321" s="6">
        <v>0.54728490114212003</v>
      </c>
      <c r="F321" s="6">
        <f>EXP(D321)</f>
        <v>0.36548979039393958</v>
      </c>
    </row>
    <row r="322" spans="1:6" x14ac:dyDescent="0.2">
      <c r="A322" s="5" t="s">
        <v>63</v>
      </c>
      <c r="B322" s="5" t="s">
        <v>480</v>
      </c>
      <c r="C322" s="6">
        <v>0.78061574697494496</v>
      </c>
      <c r="D322" s="6">
        <v>-0.85401171445846602</v>
      </c>
      <c r="E322" s="6">
        <v>0.83007329702377297</v>
      </c>
      <c r="F322" s="6">
        <f>EXP(D322)</f>
        <v>0.42570370006832747</v>
      </c>
    </row>
    <row r="323" spans="1:6" x14ac:dyDescent="0.2">
      <c r="A323" s="5" t="s">
        <v>63</v>
      </c>
      <c r="B323" s="5" t="s">
        <v>591</v>
      </c>
      <c r="C323" s="6">
        <v>0.62316840887069702</v>
      </c>
      <c r="D323" s="6">
        <v>-0.360362708568573</v>
      </c>
      <c r="E323" s="6">
        <v>0.42043361067771901</v>
      </c>
      <c r="F323" s="6">
        <f>EXP(D323)</f>
        <v>0.69742331877620523</v>
      </c>
    </row>
    <row r="324" spans="1:6" x14ac:dyDescent="0.2">
      <c r="A324" s="5" t="s">
        <v>63</v>
      </c>
      <c r="B324" s="5" t="s">
        <v>502</v>
      </c>
      <c r="C324" s="6">
        <v>0.74204236268997203</v>
      </c>
      <c r="D324" s="6">
        <v>-1.65297031402588</v>
      </c>
      <c r="E324" s="6">
        <v>0.70997792482376099</v>
      </c>
      <c r="F324" s="6">
        <f>EXP(D324)</f>
        <v>0.19148030645095476</v>
      </c>
    </row>
    <row r="325" spans="1:6" x14ac:dyDescent="0.2">
      <c r="A325" s="5" t="s">
        <v>66</v>
      </c>
      <c r="B325" s="5" t="s">
        <v>21</v>
      </c>
      <c r="C325" s="6">
        <v>0.76581525802612305</v>
      </c>
      <c r="D325" s="6">
        <v>9.42205339670181E-2</v>
      </c>
      <c r="E325" s="6">
        <v>0.33066043257713301</v>
      </c>
      <c r="F325" s="6">
        <f>EXP(D325)</f>
        <v>1.0988020423722644</v>
      </c>
    </row>
    <row r="326" spans="1:6" x14ac:dyDescent="0.2">
      <c r="A326" s="5" t="s">
        <v>66</v>
      </c>
      <c r="B326" s="5" t="s">
        <v>65</v>
      </c>
      <c r="C326" s="6">
        <v>0.73179548978805498</v>
      </c>
      <c r="D326" s="6">
        <v>-1.63913857936859</v>
      </c>
      <c r="E326" s="6">
        <v>0.83230078220367398</v>
      </c>
      <c r="F326" s="6">
        <f>EXP(D326)</f>
        <v>0.19414721269308244</v>
      </c>
    </row>
    <row r="327" spans="1:6" x14ac:dyDescent="0.2">
      <c r="A327" s="5" t="s">
        <v>66</v>
      </c>
      <c r="B327" s="5" t="s">
        <v>451</v>
      </c>
      <c r="C327" s="6">
        <v>0.78616541624069203</v>
      </c>
      <c r="D327" s="6">
        <v>-1.6439284086227399</v>
      </c>
      <c r="E327" s="6">
        <v>0.89396595954894997</v>
      </c>
      <c r="F327" s="6">
        <f>EXP(D327)</f>
        <v>0.19321950425029188</v>
      </c>
    </row>
    <row r="328" spans="1:6" x14ac:dyDescent="0.2">
      <c r="A328" s="5" t="s">
        <v>66</v>
      </c>
      <c r="B328" s="5" t="s">
        <v>449</v>
      </c>
      <c r="C328" s="6">
        <v>0.78368514776229903</v>
      </c>
      <c r="D328" s="6">
        <v>0.75804179906845104</v>
      </c>
      <c r="E328" s="6">
        <v>0.47206774353981001</v>
      </c>
      <c r="F328" s="6">
        <f>EXP(D328)</f>
        <v>2.1340931429997436</v>
      </c>
    </row>
    <row r="329" spans="1:6" x14ac:dyDescent="0.2">
      <c r="A329" s="5" t="s">
        <v>66</v>
      </c>
      <c r="B329" s="5" t="s">
        <v>24</v>
      </c>
      <c r="C329" s="6">
        <v>0.76043993234634399</v>
      </c>
      <c r="D329" s="6">
        <v>-2.20979750156403E-2</v>
      </c>
      <c r="E329" s="6">
        <v>0.41623291373252902</v>
      </c>
      <c r="F329" s="6">
        <f>EXP(D329)</f>
        <v>0.97814439664384234</v>
      </c>
    </row>
    <row r="330" spans="1:6" x14ac:dyDescent="0.2">
      <c r="A330" s="5" t="s">
        <v>66</v>
      </c>
      <c r="B330" s="5" t="s">
        <v>475</v>
      </c>
      <c r="C330" s="6">
        <v>0.783114373683929</v>
      </c>
      <c r="D330" s="6">
        <v>-0.92701596021652199</v>
      </c>
      <c r="E330" s="6">
        <v>0.719662845134735</v>
      </c>
      <c r="F330" s="6">
        <f>EXP(D330)</f>
        <v>0.39573283273913884</v>
      </c>
    </row>
    <row r="331" spans="1:6" x14ac:dyDescent="0.2">
      <c r="A331" s="5" t="s">
        <v>67</v>
      </c>
      <c r="B331" s="5" t="s">
        <v>72</v>
      </c>
      <c r="C331" s="6">
        <v>0.76457822322845503</v>
      </c>
      <c r="D331" s="6">
        <v>-1.3850468397140501</v>
      </c>
      <c r="E331" s="6">
        <v>0.86681276559829701</v>
      </c>
      <c r="F331" s="6">
        <f>EXP(D331)</f>
        <v>0.2503120749710897</v>
      </c>
    </row>
    <row r="332" spans="1:6" x14ac:dyDescent="0.2">
      <c r="A332" s="5" t="s">
        <v>67</v>
      </c>
      <c r="B332" s="5" t="s">
        <v>116</v>
      </c>
      <c r="C332" s="6">
        <v>0.75724524259567305</v>
      </c>
      <c r="D332" s="6">
        <v>-0.66023564338684104</v>
      </c>
      <c r="E332" s="6">
        <v>0.90931367874145497</v>
      </c>
      <c r="F332" s="6">
        <f>EXP(D332)</f>
        <v>0.51672955624142947</v>
      </c>
    </row>
    <row r="333" spans="1:6" x14ac:dyDescent="0.2">
      <c r="A333" s="5" t="s">
        <v>67</v>
      </c>
      <c r="B333" s="5" t="s">
        <v>478</v>
      </c>
      <c r="C333" s="6">
        <v>0.792183578014374</v>
      </c>
      <c r="D333" s="6">
        <v>-1.8633185625076301</v>
      </c>
      <c r="E333" s="6">
        <v>0.91387814283371005</v>
      </c>
      <c r="F333" s="6">
        <f>EXP(D333)</f>
        <v>0.15515687726617355</v>
      </c>
    </row>
    <row r="334" spans="1:6" x14ac:dyDescent="0.2">
      <c r="A334" s="5" t="s">
        <v>67</v>
      </c>
      <c r="B334" s="5" t="s">
        <v>504</v>
      </c>
      <c r="C334" s="6">
        <v>0.78268110752105702</v>
      </c>
      <c r="D334" s="6">
        <v>-1.3357310295105</v>
      </c>
      <c r="E334" s="6">
        <v>0.92721587419509899</v>
      </c>
      <c r="F334" s="6">
        <f>EXP(D334)</f>
        <v>0.26296586936311955</v>
      </c>
    </row>
    <row r="335" spans="1:6" x14ac:dyDescent="0.2">
      <c r="A335" s="5" t="s">
        <v>67</v>
      </c>
      <c r="B335" s="5" t="s">
        <v>452</v>
      </c>
      <c r="C335" s="6">
        <v>0.76611304283142101</v>
      </c>
      <c r="D335" s="6">
        <v>2.65682792663574</v>
      </c>
      <c r="E335" s="6">
        <v>0.63519501686096203</v>
      </c>
      <c r="F335" s="6">
        <f>EXP(D335)</f>
        <v>14.25101206981353</v>
      </c>
    </row>
    <row r="336" spans="1:6" x14ac:dyDescent="0.2">
      <c r="A336" s="5" t="s">
        <v>67</v>
      </c>
      <c r="B336" s="5" t="s">
        <v>73</v>
      </c>
      <c r="C336" s="6">
        <v>0.80372709035873402</v>
      </c>
      <c r="D336" s="6">
        <v>1.8258317708969101</v>
      </c>
      <c r="E336" s="6">
        <v>0.48527863621711698</v>
      </c>
      <c r="F336" s="6">
        <f>EXP(D336)</f>
        <v>6.2079564697558975</v>
      </c>
    </row>
    <row r="337" spans="1:6" x14ac:dyDescent="0.2">
      <c r="A337" s="5" t="s">
        <v>67</v>
      </c>
      <c r="B337" s="5" t="s">
        <v>519</v>
      </c>
      <c r="C337" s="6">
        <v>0.77833032608032204</v>
      </c>
      <c r="D337" s="6">
        <v>1.2205823659896899</v>
      </c>
      <c r="E337" s="6">
        <v>0.53503113985061701</v>
      </c>
      <c r="F337" s="6">
        <f>EXP(D337)</f>
        <v>3.3891608910522142</v>
      </c>
    </row>
    <row r="338" spans="1:6" x14ac:dyDescent="0.2">
      <c r="A338" s="5" t="s">
        <v>67</v>
      </c>
      <c r="B338" s="5" t="s">
        <v>437</v>
      </c>
      <c r="C338" s="6">
        <v>0.76082611083984397</v>
      </c>
      <c r="D338" s="6">
        <v>2.3600716590881299</v>
      </c>
      <c r="E338" s="6">
        <v>0.30162155628204301</v>
      </c>
      <c r="F338" s="6">
        <f>EXP(D338)</f>
        <v>10.591710417550338</v>
      </c>
    </row>
    <row r="339" spans="1:6" x14ac:dyDescent="0.2">
      <c r="A339" s="5" t="s">
        <v>67</v>
      </c>
      <c r="B339" s="5" t="s">
        <v>48</v>
      </c>
      <c r="C339" s="6">
        <v>0.79689794778823897</v>
      </c>
      <c r="D339" s="6">
        <v>1.8418613672256501</v>
      </c>
      <c r="E339" s="6">
        <v>0.73747825622558605</v>
      </c>
      <c r="F339" s="6">
        <f>EXP(D339)</f>
        <v>6.3082693455218388</v>
      </c>
    </row>
    <row r="340" spans="1:6" x14ac:dyDescent="0.2">
      <c r="A340" s="5" t="s">
        <v>67</v>
      </c>
      <c r="B340" s="5" t="s">
        <v>15</v>
      </c>
      <c r="C340" s="6">
        <v>0.745624840259552</v>
      </c>
      <c r="D340" s="6">
        <v>-0.13541594147682201</v>
      </c>
      <c r="E340" s="6">
        <v>0.90447258949279796</v>
      </c>
      <c r="F340" s="6">
        <f>EXP(D340)</f>
        <v>0.87335257257054699</v>
      </c>
    </row>
    <row r="341" spans="1:6" x14ac:dyDescent="0.2">
      <c r="A341" s="5" t="s">
        <v>67</v>
      </c>
      <c r="B341" s="5" t="s">
        <v>16</v>
      </c>
      <c r="C341" s="6">
        <v>0.756516933441162</v>
      </c>
      <c r="D341" s="6">
        <v>-0.45632493495941201</v>
      </c>
      <c r="E341" s="6">
        <v>0.84190028905868497</v>
      </c>
      <c r="F341" s="6">
        <f>EXP(D341)</f>
        <v>0.63360792228138973</v>
      </c>
    </row>
    <row r="342" spans="1:6" x14ac:dyDescent="0.2">
      <c r="A342" s="5" t="s">
        <v>67</v>
      </c>
      <c r="B342" s="5" t="s">
        <v>427</v>
      </c>
      <c r="C342" s="6">
        <v>0.74378663301467896</v>
      </c>
      <c r="D342" s="6">
        <v>0.790521800518036</v>
      </c>
      <c r="E342" s="6">
        <v>0.71283972263336204</v>
      </c>
      <c r="F342" s="6">
        <f>EXP(D342)</f>
        <v>2.2045464596705178</v>
      </c>
    </row>
    <row r="343" spans="1:6" x14ac:dyDescent="0.2">
      <c r="A343" s="5" t="s">
        <v>67</v>
      </c>
      <c r="B343" s="5" t="s">
        <v>505</v>
      </c>
      <c r="C343" s="6">
        <v>0.78696727752685602</v>
      </c>
      <c r="D343" s="6">
        <v>-0.29925477504730202</v>
      </c>
      <c r="E343" s="6">
        <v>0.94131028652191195</v>
      </c>
      <c r="F343" s="6">
        <f>EXP(D343)</f>
        <v>0.74137050266678173</v>
      </c>
    </row>
    <row r="344" spans="1:6" x14ac:dyDescent="0.2">
      <c r="A344" s="5" t="s">
        <v>70</v>
      </c>
      <c r="B344" s="5" t="s">
        <v>479</v>
      </c>
      <c r="C344" s="6">
        <v>0.71870249509811401</v>
      </c>
      <c r="D344" s="6">
        <v>1.73126125335693</v>
      </c>
      <c r="E344" s="6">
        <v>0.32659098505973799</v>
      </c>
      <c r="F344" s="6">
        <f>EXP(D344)</f>
        <v>5.6477726904557821</v>
      </c>
    </row>
    <row r="345" spans="1:6" x14ac:dyDescent="0.2">
      <c r="A345" s="5" t="s">
        <v>70</v>
      </c>
      <c r="B345" s="5" t="s">
        <v>111</v>
      </c>
      <c r="C345" s="6">
        <v>0.78533118963241599</v>
      </c>
      <c r="D345" s="6">
        <v>0.97124552726745605</v>
      </c>
      <c r="E345" s="6">
        <v>0.84227329492569003</v>
      </c>
      <c r="F345" s="6">
        <f>EXP(D345)</f>
        <v>2.6412321381300687</v>
      </c>
    </row>
    <row r="346" spans="1:6" x14ac:dyDescent="0.2">
      <c r="A346" s="5" t="s">
        <v>70</v>
      </c>
      <c r="B346" s="5" t="s">
        <v>116</v>
      </c>
      <c r="C346" s="6">
        <v>0.73187988996505704</v>
      </c>
      <c r="D346" s="6">
        <v>-0.92716592550277699</v>
      </c>
      <c r="E346" s="6">
        <v>0.945445597171783</v>
      </c>
      <c r="F346" s="6">
        <f>EXP(D346)</f>
        <v>0.39567349100130822</v>
      </c>
    </row>
    <row r="347" spans="1:6" x14ac:dyDescent="0.2">
      <c r="A347" s="5" t="s">
        <v>70</v>
      </c>
      <c r="B347" s="5" t="s">
        <v>478</v>
      </c>
      <c r="C347" s="6">
        <v>0.747328221797943</v>
      </c>
      <c r="D347" s="6">
        <v>-1.21326911449432</v>
      </c>
      <c r="E347" s="6">
        <v>0.75058305263519298</v>
      </c>
      <c r="F347" s="6">
        <f>EXP(D347)</f>
        <v>0.29722403008008275</v>
      </c>
    </row>
    <row r="348" spans="1:6" x14ac:dyDescent="0.2">
      <c r="A348" s="5" t="s">
        <v>70</v>
      </c>
      <c r="B348" s="5" t="s">
        <v>449</v>
      </c>
      <c r="C348" s="6">
        <v>0.748632311820984</v>
      </c>
      <c r="D348" s="6">
        <v>0.442370384931564</v>
      </c>
      <c r="E348" s="6">
        <v>0.56209588050842296</v>
      </c>
      <c r="F348" s="6">
        <f>EXP(D348)</f>
        <v>1.5563920978711203</v>
      </c>
    </row>
    <row r="349" spans="1:6" x14ac:dyDescent="0.2">
      <c r="A349" s="5" t="s">
        <v>70</v>
      </c>
      <c r="B349" s="5" t="s">
        <v>426</v>
      </c>
      <c r="C349" s="6">
        <v>0.722162485122681</v>
      </c>
      <c r="D349" s="6">
        <v>6.1189576983451802E-2</v>
      </c>
      <c r="E349" s="6">
        <v>0.69334512948989901</v>
      </c>
      <c r="F349" s="6">
        <f>EXP(D349)</f>
        <v>1.06310043445826</v>
      </c>
    </row>
    <row r="350" spans="1:6" x14ac:dyDescent="0.2">
      <c r="A350" s="5" t="s">
        <v>70</v>
      </c>
      <c r="B350" s="5" t="s">
        <v>504</v>
      </c>
      <c r="C350" s="6">
        <v>0.77843946218490601</v>
      </c>
      <c r="D350" s="6">
        <v>-0.47975137829780601</v>
      </c>
      <c r="E350" s="6">
        <v>0.83414494991302501</v>
      </c>
      <c r="F350" s="6">
        <f>EXP(D350)</f>
        <v>0.61893725391223786</v>
      </c>
    </row>
    <row r="351" spans="1:6" x14ac:dyDescent="0.2">
      <c r="A351" s="5" t="s">
        <v>70</v>
      </c>
      <c r="B351" s="5" t="s">
        <v>452</v>
      </c>
      <c r="C351" s="6">
        <v>0.74863761663436901</v>
      </c>
      <c r="D351" s="6">
        <v>0.90352433919906605</v>
      </c>
      <c r="E351" s="6">
        <v>0.90466111898422197</v>
      </c>
      <c r="F351" s="6">
        <f>EXP(D351)</f>
        <v>2.468286880100989</v>
      </c>
    </row>
    <row r="352" spans="1:6" x14ac:dyDescent="0.2">
      <c r="A352" s="5" t="s">
        <v>70</v>
      </c>
      <c r="B352" s="5" t="s">
        <v>13</v>
      </c>
      <c r="C352" s="6">
        <v>0.73103553056716897</v>
      </c>
      <c r="D352" s="6">
        <v>0.443701922893524</v>
      </c>
      <c r="E352" s="6">
        <v>0.81925421953201305</v>
      </c>
      <c r="F352" s="6">
        <f>EXP(D352)</f>
        <v>1.5584658733821399</v>
      </c>
    </row>
    <row r="353" spans="1:6" x14ac:dyDescent="0.2">
      <c r="A353" s="5" t="s">
        <v>70</v>
      </c>
      <c r="B353" s="5" t="s">
        <v>480</v>
      </c>
      <c r="C353" s="6">
        <v>0.75135493278503396</v>
      </c>
      <c r="D353" s="6">
        <v>1.65311968326569</v>
      </c>
      <c r="E353" s="6">
        <v>0.54181432723999001</v>
      </c>
      <c r="F353" s="6">
        <f>EXP(D353)</f>
        <v>5.2232493196480538</v>
      </c>
    </row>
    <row r="354" spans="1:6" x14ac:dyDescent="0.2">
      <c r="A354" s="5" t="s">
        <v>70</v>
      </c>
      <c r="B354" s="5" t="s">
        <v>474</v>
      </c>
      <c r="C354" s="6">
        <v>0.76894295215606701</v>
      </c>
      <c r="D354" s="6">
        <v>1.0698816776275599</v>
      </c>
      <c r="E354" s="6">
        <v>0.45159420371055597</v>
      </c>
      <c r="F354" s="6">
        <f>EXP(D354)</f>
        <v>2.915034565765116</v>
      </c>
    </row>
    <row r="355" spans="1:6" x14ac:dyDescent="0.2">
      <c r="A355" s="5" t="s">
        <v>70</v>
      </c>
      <c r="B355" s="5" t="s">
        <v>437</v>
      </c>
      <c r="C355" s="6">
        <v>0.79141867160797097</v>
      </c>
      <c r="D355" s="6">
        <v>0.74645680189132702</v>
      </c>
      <c r="E355" s="6">
        <v>0.76486647129058805</v>
      </c>
      <c r="F355" s="6">
        <f>EXP(D355)</f>
        <v>2.1095123391535724</v>
      </c>
    </row>
    <row r="356" spans="1:6" x14ac:dyDescent="0.2">
      <c r="A356" s="5" t="s">
        <v>70</v>
      </c>
      <c r="B356" s="5" t="s">
        <v>48</v>
      </c>
      <c r="C356" s="6">
        <v>0.77148830890655495</v>
      </c>
      <c r="D356" s="6">
        <v>0.66179019212722801</v>
      </c>
      <c r="E356" s="6">
        <v>0.86275464296340898</v>
      </c>
      <c r="F356" s="6">
        <f>EXP(D356)</f>
        <v>1.9382590865572564</v>
      </c>
    </row>
    <row r="357" spans="1:6" x14ac:dyDescent="0.2">
      <c r="A357" s="5" t="s">
        <v>70</v>
      </c>
      <c r="B357" s="5" t="s">
        <v>15</v>
      </c>
      <c r="C357" s="6">
        <v>0.70904058218002297</v>
      </c>
      <c r="D357" s="6">
        <v>0.141151383519173</v>
      </c>
      <c r="E357" s="6">
        <v>0.95060402154922496</v>
      </c>
      <c r="F357" s="6">
        <f>EXP(D357)</f>
        <v>1.1515989678942664</v>
      </c>
    </row>
    <row r="358" spans="1:6" x14ac:dyDescent="0.2">
      <c r="A358" s="5" t="s">
        <v>70</v>
      </c>
      <c r="B358" s="5" t="s">
        <v>16</v>
      </c>
      <c r="C358" s="6">
        <v>0.73596650362014804</v>
      </c>
      <c r="D358" s="6">
        <v>-1.6106250286102299</v>
      </c>
      <c r="E358" s="6">
        <v>0.89397948980331399</v>
      </c>
      <c r="F358" s="6">
        <f>EXP(D358)</f>
        <v>0.19976271763350761</v>
      </c>
    </row>
    <row r="359" spans="1:6" x14ac:dyDescent="0.2">
      <c r="A359" s="5" t="s">
        <v>70</v>
      </c>
      <c r="B359" s="5" t="s">
        <v>427</v>
      </c>
      <c r="C359" s="6">
        <v>0.73140132427215598</v>
      </c>
      <c r="D359" s="6">
        <v>0.32793432474136402</v>
      </c>
      <c r="E359" s="6">
        <v>0.76876813173294101</v>
      </c>
      <c r="F359" s="6">
        <f>EXP(D359)</f>
        <v>1.3880978056133519</v>
      </c>
    </row>
    <row r="360" spans="1:6" x14ac:dyDescent="0.2">
      <c r="A360" s="5" t="s">
        <v>75</v>
      </c>
      <c r="B360" s="5" t="s">
        <v>479</v>
      </c>
      <c r="C360" s="6">
        <v>0.72844314575195301</v>
      </c>
      <c r="D360" s="6">
        <v>2.3230714797973602</v>
      </c>
      <c r="E360" s="6">
        <v>0.26918193697929399</v>
      </c>
      <c r="F360" s="6">
        <f>EXP(D360)</f>
        <v>10.206976731904341</v>
      </c>
    </row>
    <row r="361" spans="1:6" x14ac:dyDescent="0.2">
      <c r="A361" s="5" t="s">
        <v>75</v>
      </c>
      <c r="B361" s="5" t="s">
        <v>72</v>
      </c>
      <c r="C361" s="6">
        <v>0.76557356119155895</v>
      </c>
      <c r="D361" s="6">
        <v>-1.2243468761444101</v>
      </c>
      <c r="E361" s="6">
        <v>0.88339459896087702</v>
      </c>
      <c r="F361" s="6">
        <f>EXP(D361)</f>
        <v>0.29394962315324424</v>
      </c>
    </row>
    <row r="362" spans="1:6" x14ac:dyDescent="0.2">
      <c r="A362" s="5" t="s">
        <v>75</v>
      </c>
      <c r="B362" s="5" t="s">
        <v>111</v>
      </c>
      <c r="C362" s="6">
        <v>0.76516193151473999</v>
      </c>
      <c r="D362" s="6">
        <v>0.53497314453125</v>
      </c>
      <c r="E362" s="6">
        <v>0.62772405147552501</v>
      </c>
      <c r="F362" s="6">
        <f>EXP(D362)</f>
        <v>1.7074023885470135</v>
      </c>
    </row>
    <row r="363" spans="1:6" x14ac:dyDescent="0.2">
      <c r="A363" s="5" t="s">
        <v>75</v>
      </c>
      <c r="B363" s="5" t="s">
        <v>116</v>
      </c>
      <c r="C363" s="6">
        <v>0.74417042732238803</v>
      </c>
      <c r="D363" s="6">
        <v>-0.86433172225952204</v>
      </c>
      <c r="E363" s="6">
        <v>0.84187918901443504</v>
      </c>
      <c r="F363" s="6">
        <f>EXP(D363)</f>
        <v>0.42133302604827116</v>
      </c>
    </row>
    <row r="364" spans="1:6" x14ac:dyDescent="0.2">
      <c r="A364" s="5" t="s">
        <v>75</v>
      </c>
      <c r="B364" s="5" t="s">
        <v>57</v>
      </c>
      <c r="C364" s="6">
        <v>0.748768091201782</v>
      </c>
      <c r="D364" s="6">
        <v>-4.9761649221181897E-2</v>
      </c>
      <c r="E364" s="6">
        <v>0.91330713033676203</v>
      </c>
      <c r="F364" s="6">
        <f>EXP(D364)</f>
        <v>0.95145617779721736</v>
      </c>
    </row>
    <row r="365" spans="1:6" x14ac:dyDescent="0.2">
      <c r="A365" s="5" t="s">
        <v>75</v>
      </c>
      <c r="B365" s="5" t="s">
        <v>478</v>
      </c>
      <c r="C365" s="6">
        <v>0.77601003646850597</v>
      </c>
      <c r="D365" s="6">
        <v>-1.6864662170410201</v>
      </c>
      <c r="E365" s="6">
        <v>0.87807464599609397</v>
      </c>
      <c r="F365" s="6">
        <f>EXP(D365)</f>
        <v>0.18517272940580465</v>
      </c>
    </row>
    <row r="366" spans="1:6" x14ac:dyDescent="0.2">
      <c r="A366" s="5" t="s">
        <v>75</v>
      </c>
      <c r="B366" s="5" t="s">
        <v>449</v>
      </c>
      <c r="C366" s="6">
        <v>0.75108337402343806</v>
      </c>
      <c r="D366" s="6">
        <v>0.42042550444603</v>
      </c>
      <c r="E366" s="6">
        <v>0.69365364313125599</v>
      </c>
      <c r="F366" s="6">
        <f>EXP(D366)</f>
        <v>1.5226092948254195</v>
      </c>
    </row>
    <row r="367" spans="1:6" x14ac:dyDescent="0.2">
      <c r="A367" s="5" t="s">
        <v>75</v>
      </c>
      <c r="B367" s="5" t="s">
        <v>68</v>
      </c>
      <c r="C367" s="6">
        <v>0.77110135555267301</v>
      </c>
      <c r="D367" s="6">
        <v>1.9862796068191499</v>
      </c>
      <c r="E367" s="6">
        <v>0.44699057936668402</v>
      </c>
      <c r="F367" s="6">
        <f>EXP(D367)</f>
        <v>7.288367666000279</v>
      </c>
    </row>
    <row r="368" spans="1:6" x14ac:dyDescent="0.2">
      <c r="A368" s="5" t="s">
        <v>75</v>
      </c>
      <c r="B368" s="5" t="s">
        <v>426</v>
      </c>
      <c r="C368" s="6">
        <v>0.74192094802856501</v>
      </c>
      <c r="D368" s="6">
        <v>0.98689436912536599</v>
      </c>
      <c r="E368" s="6">
        <v>0.62633025646209695</v>
      </c>
      <c r="F368" s="6">
        <f>EXP(D368)</f>
        <v>2.6828894564578216</v>
      </c>
    </row>
    <row r="369" spans="1:6" x14ac:dyDescent="0.2">
      <c r="A369" s="5" t="s">
        <v>75</v>
      </c>
      <c r="B369" s="5" t="s">
        <v>504</v>
      </c>
      <c r="C369" s="6">
        <v>0.769703328609467</v>
      </c>
      <c r="D369" s="6">
        <v>-0.52476263046264704</v>
      </c>
      <c r="E369" s="6">
        <v>0.84785169363021895</v>
      </c>
      <c r="F369" s="6">
        <f>EXP(D369)</f>
        <v>0.59169579825667784</v>
      </c>
    </row>
    <row r="370" spans="1:6" x14ac:dyDescent="0.2">
      <c r="A370" s="5" t="s">
        <v>75</v>
      </c>
      <c r="B370" s="5" t="s">
        <v>452</v>
      </c>
      <c r="C370" s="6">
        <v>0.77477318048477195</v>
      </c>
      <c r="D370" s="6">
        <v>2.1673436164856001</v>
      </c>
      <c r="E370" s="6">
        <v>0.90504646301269498</v>
      </c>
      <c r="F370" s="6">
        <f>EXP(D370)</f>
        <v>8.7350495529183885</v>
      </c>
    </row>
    <row r="371" spans="1:6" x14ac:dyDescent="0.2">
      <c r="A371" s="5" t="s">
        <v>75</v>
      </c>
      <c r="B371" s="5" t="s">
        <v>13</v>
      </c>
      <c r="C371" s="6">
        <v>0.77117937803268399</v>
      </c>
      <c r="D371" s="6">
        <v>-0.194167405366898</v>
      </c>
      <c r="E371" s="6">
        <v>0.81555634737014804</v>
      </c>
      <c r="F371" s="6">
        <f>EXP(D371)</f>
        <v>0.82352003105559424</v>
      </c>
    </row>
    <row r="372" spans="1:6" x14ac:dyDescent="0.2">
      <c r="A372" s="5" t="s">
        <v>75</v>
      </c>
      <c r="B372" s="5" t="s">
        <v>73</v>
      </c>
      <c r="C372" s="6">
        <v>0.77810496091842696</v>
      </c>
      <c r="D372" s="6">
        <v>0.80557113885879505</v>
      </c>
      <c r="E372" s="6">
        <v>0.71796435117721602</v>
      </c>
      <c r="F372" s="6">
        <f>EXP(D372)</f>
        <v>2.2379743279800022</v>
      </c>
    </row>
    <row r="373" spans="1:6" x14ac:dyDescent="0.2">
      <c r="A373" s="5" t="s">
        <v>75</v>
      </c>
      <c r="B373" s="5" t="s">
        <v>519</v>
      </c>
      <c r="C373" s="6">
        <v>0.77600491046905495</v>
      </c>
      <c r="D373" s="6">
        <v>0.74981206655502297</v>
      </c>
      <c r="E373" s="6">
        <v>0.60955286026000999</v>
      </c>
      <c r="F373" s="6">
        <f>EXP(D373)</f>
        <v>2.1166021988893347</v>
      </c>
    </row>
    <row r="374" spans="1:6" x14ac:dyDescent="0.2">
      <c r="A374" s="5" t="s">
        <v>75</v>
      </c>
      <c r="B374" s="5" t="s">
        <v>480</v>
      </c>
      <c r="C374" s="6">
        <v>0.78253614902496305</v>
      </c>
      <c r="D374" s="6">
        <v>0.847939252853394</v>
      </c>
      <c r="E374" s="6">
        <v>0.54190438985824596</v>
      </c>
      <c r="F374" s="6">
        <f>EXP(D374)</f>
        <v>2.3348303958054175</v>
      </c>
    </row>
    <row r="375" spans="1:6" x14ac:dyDescent="0.2">
      <c r="A375" s="5" t="s">
        <v>75</v>
      </c>
      <c r="B375" s="5" t="s">
        <v>474</v>
      </c>
      <c r="C375" s="6">
        <v>0.756527900695801</v>
      </c>
      <c r="D375" s="6">
        <v>2.3050320148468</v>
      </c>
      <c r="E375" s="6">
        <v>0.45084911584854098</v>
      </c>
      <c r="F375" s="6">
        <f>EXP(D375)</f>
        <v>10.024499180093196</v>
      </c>
    </row>
    <row r="376" spans="1:6" x14ac:dyDescent="0.2">
      <c r="A376" s="5" t="s">
        <v>75</v>
      </c>
      <c r="B376" s="5" t="s">
        <v>437</v>
      </c>
      <c r="C376" s="6">
        <v>0.78526508808135997</v>
      </c>
      <c r="D376" s="6">
        <v>1.0608731508255</v>
      </c>
      <c r="E376" s="6">
        <v>0.54256457090377797</v>
      </c>
      <c r="F376" s="6">
        <f>EXP(D376)</f>
        <v>2.8888923270738429</v>
      </c>
    </row>
    <row r="377" spans="1:6" x14ac:dyDescent="0.2">
      <c r="A377" s="5" t="s">
        <v>75</v>
      </c>
      <c r="B377" s="5" t="s">
        <v>48</v>
      </c>
      <c r="C377" s="6">
        <v>0.78082031011581399</v>
      </c>
      <c r="D377" s="6">
        <v>1.0409809350967401</v>
      </c>
      <c r="E377" s="6">
        <v>0.85880845785141002</v>
      </c>
      <c r="F377" s="6">
        <f>EXP(D377)</f>
        <v>2.8319936542463449</v>
      </c>
    </row>
    <row r="378" spans="1:6" x14ac:dyDescent="0.2">
      <c r="A378" s="5" t="s">
        <v>75</v>
      </c>
      <c r="B378" s="5" t="s">
        <v>69</v>
      </c>
      <c r="C378" s="6">
        <v>0.77580451965331998</v>
      </c>
      <c r="D378" s="6">
        <v>2.9858536720275901</v>
      </c>
      <c r="E378" s="6">
        <v>0.44820952415466297</v>
      </c>
      <c r="F378" s="6">
        <f>EXP(D378)</f>
        <v>19.803400631670829</v>
      </c>
    </row>
    <row r="379" spans="1:6" x14ac:dyDescent="0.2">
      <c r="A379" s="5" t="s">
        <v>75</v>
      </c>
      <c r="B379" s="5" t="s">
        <v>15</v>
      </c>
      <c r="C379" s="6">
        <v>0.75476741790771495</v>
      </c>
      <c r="D379" s="6">
        <v>0.22769486904144301</v>
      </c>
      <c r="E379" s="6">
        <v>0.86367851495742798</v>
      </c>
      <c r="F379" s="6">
        <f>EXP(D379)</f>
        <v>1.2557021133808692</v>
      </c>
    </row>
    <row r="380" spans="1:6" x14ac:dyDescent="0.2">
      <c r="A380" s="5" t="s">
        <v>75</v>
      </c>
      <c r="B380" s="5" t="s">
        <v>16</v>
      </c>
      <c r="C380" s="6">
        <v>0.72701984643936202</v>
      </c>
      <c r="D380" s="6">
        <v>-1.2378545999527</v>
      </c>
      <c r="E380" s="6">
        <v>0.80068945884704601</v>
      </c>
      <c r="F380" s="6">
        <f>EXP(D380)</f>
        <v>0.29000572931078011</v>
      </c>
    </row>
    <row r="381" spans="1:6" x14ac:dyDescent="0.2">
      <c r="A381" s="5" t="s">
        <v>75</v>
      </c>
      <c r="B381" s="5" t="s">
        <v>427</v>
      </c>
      <c r="C381" s="6">
        <v>0.76696598529815696</v>
      </c>
      <c r="D381" s="6">
        <v>0.30068928003311202</v>
      </c>
      <c r="E381" s="6">
        <v>0.65103179216384899</v>
      </c>
      <c r="F381" s="6">
        <f>EXP(D381)</f>
        <v>1.3507895590369341</v>
      </c>
    </row>
    <row r="382" spans="1:6" x14ac:dyDescent="0.2">
      <c r="A382" s="5" t="s">
        <v>75</v>
      </c>
      <c r="B382" s="5" t="s">
        <v>505</v>
      </c>
      <c r="C382" s="6">
        <v>0.77808606624603305</v>
      </c>
      <c r="D382" s="6">
        <v>-0.59731161594390902</v>
      </c>
      <c r="E382" s="6">
        <v>0.92776250839233398</v>
      </c>
      <c r="F382" s="6">
        <f>EXP(D382)</f>
        <v>0.55028903756776681</v>
      </c>
    </row>
    <row r="383" spans="1:6" x14ac:dyDescent="0.2">
      <c r="A383" s="5" t="s">
        <v>75</v>
      </c>
      <c r="B383" s="5" t="s">
        <v>428</v>
      </c>
      <c r="C383" s="6">
        <v>0.76353579759597801</v>
      </c>
      <c r="D383" s="6">
        <v>2.37388372421265</v>
      </c>
      <c r="E383" s="6">
        <v>0.93244636058807395</v>
      </c>
      <c r="F383" s="6">
        <f>EXP(D383)</f>
        <v>10.739018786141862</v>
      </c>
    </row>
    <row r="384" spans="1:6" x14ac:dyDescent="0.2">
      <c r="A384" s="5" t="s">
        <v>76</v>
      </c>
      <c r="B384" s="5" t="s">
        <v>506</v>
      </c>
      <c r="C384" s="6">
        <v>0.81005555391311701</v>
      </c>
      <c r="D384" s="6">
        <v>-0.63720124959945701</v>
      </c>
      <c r="E384" s="6">
        <v>0.84001833200454701</v>
      </c>
      <c r="F384" s="6">
        <f>EXP(D384)</f>
        <v>0.52877025099577835</v>
      </c>
    </row>
    <row r="385" spans="1:6" x14ac:dyDescent="0.2">
      <c r="A385" s="5" t="s">
        <v>76</v>
      </c>
      <c r="B385" s="5" t="s">
        <v>523</v>
      </c>
      <c r="C385" s="6">
        <v>0.83240097761154197</v>
      </c>
      <c r="D385" s="6">
        <v>-1.312504529953</v>
      </c>
      <c r="E385" s="6">
        <v>0.66172206401824996</v>
      </c>
      <c r="F385" s="6">
        <f>EXP(D385)</f>
        <v>0.26914512951163549</v>
      </c>
    </row>
    <row r="386" spans="1:6" x14ac:dyDescent="0.2">
      <c r="A386" s="5" t="s">
        <v>76</v>
      </c>
      <c r="B386" s="5" t="s">
        <v>489</v>
      </c>
      <c r="C386" s="6">
        <v>0.80729800462722801</v>
      </c>
      <c r="D386" s="6">
        <v>-0.33205279707908603</v>
      </c>
      <c r="E386" s="6">
        <v>0.54227644205093395</v>
      </c>
      <c r="F386" s="6">
        <f>EXP(D386)</f>
        <v>0.71744944261950705</v>
      </c>
    </row>
    <row r="387" spans="1:6" x14ac:dyDescent="0.2">
      <c r="A387" s="5" t="s">
        <v>76</v>
      </c>
      <c r="B387" s="5" t="s">
        <v>507</v>
      </c>
      <c r="C387" s="6">
        <v>0.817146897315979</v>
      </c>
      <c r="D387" s="6">
        <v>1.65336978435516</v>
      </c>
      <c r="E387" s="6">
        <v>0.217501655220985</v>
      </c>
      <c r="F387" s="6">
        <f>EXP(D387)</f>
        <v>5.2245558233656624</v>
      </c>
    </row>
    <row r="388" spans="1:6" x14ac:dyDescent="0.2">
      <c r="A388" s="5" t="s">
        <v>76</v>
      </c>
      <c r="B388" s="5" t="s">
        <v>491</v>
      </c>
      <c r="C388" s="6">
        <v>0.79037135839462302</v>
      </c>
      <c r="D388" s="6">
        <v>-0.42224520444870001</v>
      </c>
      <c r="E388" s="6">
        <v>0.69417363405227706</v>
      </c>
      <c r="F388" s="6">
        <f>EXP(D388)</f>
        <v>0.65557327020128453</v>
      </c>
    </row>
    <row r="389" spans="1:6" x14ac:dyDescent="0.2">
      <c r="A389" s="5" t="s">
        <v>76</v>
      </c>
      <c r="B389" s="5" t="s">
        <v>508</v>
      </c>
      <c r="C389" s="6">
        <v>0.81178992986679099</v>
      </c>
      <c r="D389" s="6">
        <v>-0.40546441078186002</v>
      </c>
      <c r="E389" s="6">
        <v>0.48521563410759</v>
      </c>
      <c r="F389" s="6">
        <f>EXP(D389)</f>
        <v>0.66666713155103163</v>
      </c>
    </row>
    <row r="390" spans="1:6" x14ac:dyDescent="0.2">
      <c r="A390" s="5" t="s">
        <v>76</v>
      </c>
      <c r="B390" s="5" t="s">
        <v>17</v>
      </c>
      <c r="C390" s="6">
        <v>0.826069176197052</v>
      </c>
      <c r="D390" s="6">
        <v>0.20415860414504999</v>
      </c>
      <c r="E390" s="6">
        <v>0.72853982448577903</v>
      </c>
      <c r="F390" s="6">
        <f>EXP(D390)</f>
        <v>1.2264926648511649</v>
      </c>
    </row>
    <row r="391" spans="1:6" x14ac:dyDescent="0.2">
      <c r="A391" s="5" t="s">
        <v>509</v>
      </c>
      <c r="B391" s="5" t="s">
        <v>456</v>
      </c>
      <c r="C391" s="6">
        <v>0.83015787601471003</v>
      </c>
      <c r="D391" s="6">
        <v>1.2260999679565401</v>
      </c>
      <c r="E391" s="6">
        <v>0.140013873577118</v>
      </c>
      <c r="F391" s="6">
        <f>EXP(D391)</f>
        <v>3.4079126165564211</v>
      </c>
    </row>
    <row r="392" spans="1:6" x14ac:dyDescent="0.2">
      <c r="A392" s="5" t="s">
        <v>509</v>
      </c>
      <c r="B392" s="5" t="s">
        <v>10</v>
      </c>
      <c r="C392" s="6">
        <v>0.83023959398269698</v>
      </c>
      <c r="D392" s="6">
        <v>-0.490990340709686</v>
      </c>
      <c r="E392" s="6">
        <v>0.725990891456604</v>
      </c>
      <c r="F392" s="6">
        <f>EXP(D392)</f>
        <v>0.61201998565151805</v>
      </c>
    </row>
    <row r="393" spans="1:6" x14ac:dyDescent="0.2">
      <c r="A393" s="5" t="s">
        <v>510</v>
      </c>
      <c r="B393" s="5" t="s">
        <v>505</v>
      </c>
      <c r="C393" s="6">
        <v>0.82633888721466098</v>
      </c>
      <c r="D393" s="6">
        <v>1.4796717166900599</v>
      </c>
      <c r="E393" s="6">
        <v>3.3774174749851199E-2</v>
      </c>
      <c r="F393" s="6">
        <f>EXP(D393)</f>
        <v>4.3915037868580642</v>
      </c>
    </row>
    <row r="394" spans="1:6" x14ac:dyDescent="0.2">
      <c r="A394" s="5" t="s">
        <v>511</v>
      </c>
      <c r="B394" s="5" t="s">
        <v>37</v>
      </c>
      <c r="C394" s="6">
        <v>0.809661865234375</v>
      </c>
      <c r="D394" s="6">
        <v>0.45672631263732899</v>
      </c>
      <c r="E394" s="6">
        <v>0.45948025584220897</v>
      </c>
      <c r="F394" s="6">
        <f>EXP(D394)</f>
        <v>1.5788967010365602</v>
      </c>
    </row>
    <row r="395" spans="1:6" x14ac:dyDescent="0.2">
      <c r="A395" s="5" t="s">
        <v>511</v>
      </c>
      <c r="B395" s="5" t="s">
        <v>84</v>
      </c>
      <c r="C395" s="6">
        <v>0.82721471786499001</v>
      </c>
      <c r="D395" s="6">
        <v>0.23147892951965299</v>
      </c>
      <c r="E395" s="6">
        <v>0.664603590965271</v>
      </c>
      <c r="F395" s="6">
        <f>EXP(D395)</f>
        <v>1.2604627677418327</v>
      </c>
    </row>
    <row r="396" spans="1:6" x14ac:dyDescent="0.2">
      <c r="A396" s="5" t="s">
        <v>511</v>
      </c>
      <c r="B396" s="5" t="s">
        <v>102</v>
      </c>
      <c r="C396" s="6">
        <v>0.82365638017654397</v>
      </c>
      <c r="D396" s="6">
        <v>0.76391512155532804</v>
      </c>
      <c r="E396" s="6">
        <v>0.48918864130973799</v>
      </c>
      <c r="F396" s="6">
        <f>EXP(D396)</f>
        <v>2.1466642411647738</v>
      </c>
    </row>
    <row r="397" spans="1:6" x14ac:dyDescent="0.2">
      <c r="A397" s="5" t="s">
        <v>78</v>
      </c>
      <c r="B397" s="5" t="s">
        <v>512</v>
      </c>
      <c r="C397" s="6">
        <v>0.59700900316238403</v>
      </c>
      <c r="D397" s="6">
        <v>-0.72077435255050704</v>
      </c>
      <c r="E397" s="6">
        <v>0.696988165378571</v>
      </c>
      <c r="F397" s="6">
        <f>EXP(D397)</f>
        <v>0.48637548400509284</v>
      </c>
    </row>
    <row r="398" spans="1:6" x14ac:dyDescent="0.2">
      <c r="A398" s="5" t="s">
        <v>592</v>
      </c>
      <c r="B398" s="5" t="s">
        <v>515</v>
      </c>
      <c r="C398" s="6">
        <v>0.79757314920425404</v>
      </c>
      <c r="D398" s="6">
        <v>1.8728610277175901</v>
      </c>
      <c r="E398" s="6">
        <v>0.70752364397048995</v>
      </c>
      <c r="F398" s="6">
        <f>EXP(D398)</f>
        <v>6.5068861753768212</v>
      </c>
    </row>
    <row r="399" spans="1:6" x14ac:dyDescent="0.2">
      <c r="A399" s="5" t="s">
        <v>592</v>
      </c>
      <c r="B399" s="5" t="s">
        <v>593</v>
      </c>
      <c r="C399" s="6">
        <v>0.74723047018051203</v>
      </c>
      <c r="D399" s="6">
        <v>1.25456738471985</v>
      </c>
      <c r="E399" s="6">
        <v>0.334224253892899</v>
      </c>
      <c r="F399" s="6">
        <f>EXP(D399)</f>
        <v>3.5063211580706795</v>
      </c>
    </row>
    <row r="400" spans="1:6" x14ac:dyDescent="0.2">
      <c r="A400" s="5" t="s">
        <v>592</v>
      </c>
      <c r="B400" s="5" t="s">
        <v>517</v>
      </c>
      <c r="C400" s="6">
        <v>0.81951379776000999</v>
      </c>
      <c r="D400" s="6">
        <v>0.920521020889282</v>
      </c>
      <c r="E400" s="6">
        <v>0.73517709970474199</v>
      </c>
      <c r="F400" s="6">
        <f>EXP(D400)</f>
        <v>2.5105981232953445</v>
      </c>
    </row>
    <row r="401" spans="1:6" x14ac:dyDescent="0.2">
      <c r="A401" s="5" t="s">
        <v>592</v>
      </c>
      <c r="B401" s="5" t="s">
        <v>594</v>
      </c>
      <c r="C401" s="6">
        <v>0.76996797323226895</v>
      </c>
      <c r="D401" s="6">
        <v>1.61340928077698</v>
      </c>
      <c r="E401" s="6">
        <v>0.22171959280967701</v>
      </c>
      <c r="F401" s="6">
        <f>EXP(D401)</f>
        <v>5.0198963233787941</v>
      </c>
    </row>
    <row r="402" spans="1:6" x14ac:dyDescent="0.2">
      <c r="A402" s="5" t="s">
        <v>592</v>
      </c>
      <c r="B402" s="5" t="s">
        <v>536</v>
      </c>
      <c r="C402" s="6">
        <v>0.81886595487594604</v>
      </c>
      <c r="D402" s="6">
        <v>-0.29746225476264998</v>
      </c>
      <c r="E402" s="6">
        <v>0.71604359149932895</v>
      </c>
      <c r="F402" s="6">
        <f>EXP(D402)</f>
        <v>0.74270061610275984</v>
      </c>
    </row>
    <row r="403" spans="1:6" x14ac:dyDescent="0.2">
      <c r="A403" s="5" t="s">
        <v>592</v>
      </c>
      <c r="B403" s="5" t="s">
        <v>468</v>
      </c>
      <c r="C403" s="6">
        <v>0.80287963151931796</v>
      </c>
      <c r="D403" s="6">
        <v>0.81042647361755404</v>
      </c>
      <c r="E403" s="6">
        <v>0.37693071365356401</v>
      </c>
      <c r="F403" s="6">
        <f>EXP(D403)</f>
        <v>2.248866864581009</v>
      </c>
    </row>
    <row r="404" spans="1:6" x14ac:dyDescent="0.2">
      <c r="A404" s="5" t="s">
        <v>86</v>
      </c>
      <c r="B404" s="5" t="s">
        <v>479</v>
      </c>
      <c r="C404" s="6">
        <v>0.88586091995239302</v>
      </c>
      <c r="D404" s="6">
        <v>1.25027775764465</v>
      </c>
      <c r="E404" s="6">
        <v>0.170974835753441</v>
      </c>
      <c r="F404" s="6">
        <f>EXP(D404)</f>
        <v>3.4913125615519673</v>
      </c>
    </row>
    <row r="405" spans="1:6" x14ac:dyDescent="0.2">
      <c r="A405" s="5" t="s">
        <v>86</v>
      </c>
      <c r="B405" s="5" t="s">
        <v>19</v>
      </c>
      <c r="C405" s="6">
        <v>0.86983281373977706</v>
      </c>
      <c r="D405" s="6">
        <v>1.0944949388503999</v>
      </c>
      <c r="E405" s="6">
        <v>0.43649271130561801</v>
      </c>
      <c r="F405" s="6">
        <f>EXP(D405)</f>
        <v>2.9876733445372174</v>
      </c>
    </row>
    <row r="406" spans="1:6" x14ac:dyDescent="0.2">
      <c r="A406" s="5" t="s">
        <v>86</v>
      </c>
      <c r="B406" s="5" t="s">
        <v>20</v>
      </c>
      <c r="C406" s="6">
        <v>0.86104053258895896</v>
      </c>
      <c r="D406" s="6">
        <v>0.27074843645095797</v>
      </c>
      <c r="E406" s="6">
        <v>0.77188891172409102</v>
      </c>
      <c r="F406" s="6">
        <f>EXP(D406)</f>
        <v>1.3109452428621422</v>
      </c>
    </row>
    <row r="407" spans="1:6" x14ac:dyDescent="0.2">
      <c r="A407" s="5" t="s">
        <v>86</v>
      </c>
      <c r="B407" s="5" t="s">
        <v>430</v>
      </c>
      <c r="C407" s="6">
        <v>0.85184592008590698</v>
      </c>
      <c r="D407" s="6">
        <v>2.48250079154968</v>
      </c>
      <c r="E407" s="6">
        <v>0.31347835063934298</v>
      </c>
      <c r="F407" s="6">
        <f>EXP(D407)</f>
        <v>11.971164402229121</v>
      </c>
    </row>
    <row r="408" spans="1:6" x14ac:dyDescent="0.2">
      <c r="A408" s="5" t="s">
        <v>86</v>
      </c>
      <c r="B408" s="5" t="s">
        <v>513</v>
      </c>
      <c r="C408" s="6">
        <v>0.84642630815506004</v>
      </c>
      <c r="D408" s="6">
        <v>0.42817100882530201</v>
      </c>
      <c r="E408" s="6">
        <v>0.50694108009338401</v>
      </c>
      <c r="F408" s="6">
        <f>EXP(D408)</f>
        <v>1.5344484627612425</v>
      </c>
    </row>
    <row r="409" spans="1:6" x14ac:dyDescent="0.2">
      <c r="A409" s="5" t="s">
        <v>86</v>
      </c>
      <c r="B409" s="5" t="s">
        <v>514</v>
      </c>
      <c r="C409" s="6">
        <v>0.85137462615966797</v>
      </c>
      <c r="D409" s="6">
        <v>1.2026836872100799</v>
      </c>
      <c r="E409" s="6">
        <v>0.71025878190994296</v>
      </c>
      <c r="F409" s="6">
        <f>EXP(D409)</f>
        <v>3.3290390447956026</v>
      </c>
    </row>
    <row r="410" spans="1:6" x14ac:dyDescent="0.2">
      <c r="A410" s="5" t="s">
        <v>86</v>
      </c>
      <c r="B410" s="5" t="s">
        <v>451</v>
      </c>
      <c r="C410" s="6">
        <v>0.84589594602584794</v>
      </c>
      <c r="D410" s="6">
        <v>-9.8016656935214996E-2</v>
      </c>
      <c r="E410" s="6">
        <v>0.57991605997085605</v>
      </c>
      <c r="F410" s="6">
        <f>EXP(D410)</f>
        <v>0.90663380188764409</v>
      </c>
    </row>
    <row r="411" spans="1:6" x14ac:dyDescent="0.2">
      <c r="A411" s="5" t="s">
        <v>86</v>
      </c>
      <c r="B411" s="5" t="s">
        <v>449</v>
      </c>
      <c r="C411" s="6">
        <v>0.84332144260406505</v>
      </c>
      <c r="D411" s="6">
        <v>0.44760760664939903</v>
      </c>
      <c r="E411" s="6">
        <v>0.28324949741363498</v>
      </c>
      <c r="F411" s="6">
        <f>EXP(D411)</f>
        <v>1.5645646504223567</v>
      </c>
    </row>
    <row r="412" spans="1:6" x14ac:dyDescent="0.2">
      <c r="A412" s="5" t="s">
        <v>86</v>
      </c>
      <c r="B412" s="5" t="s">
        <v>515</v>
      </c>
      <c r="C412" s="6">
        <v>0.85713666677474998</v>
      </c>
      <c r="D412" s="6">
        <v>2.0595431327819802</v>
      </c>
      <c r="E412" s="6">
        <v>0.489302277565002</v>
      </c>
      <c r="F412" s="6">
        <f>EXP(D412)</f>
        <v>7.8423860626292949</v>
      </c>
    </row>
    <row r="413" spans="1:6" x14ac:dyDescent="0.2">
      <c r="A413" s="5" t="s">
        <v>86</v>
      </c>
      <c r="B413" s="5" t="s">
        <v>426</v>
      </c>
      <c r="C413" s="6">
        <v>0.85443300008773804</v>
      </c>
      <c r="D413" s="6">
        <v>0.26125049591064498</v>
      </c>
      <c r="E413" s="6">
        <v>0.61442470550537098</v>
      </c>
      <c r="F413" s="6">
        <f>EXP(D413)</f>
        <v>1.298552906889094</v>
      </c>
    </row>
    <row r="414" spans="1:6" x14ac:dyDescent="0.2">
      <c r="A414" s="5" t="s">
        <v>86</v>
      </c>
      <c r="B414" s="5" t="s">
        <v>495</v>
      </c>
      <c r="C414" s="6">
        <v>0.83163863420486495</v>
      </c>
      <c r="D414" s="6">
        <v>-0.62226539850234996</v>
      </c>
      <c r="E414" s="6">
        <v>0.877477526664734</v>
      </c>
      <c r="F414" s="6">
        <f>EXP(D414)</f>
        <v>0.53672715840322138</v>
      </c>
    </row>
    <row r="415" spans="1:6" x14ac:dyDescent="0.2">
      <c r="A415" s="5" t="s">
        <v>86</v>
      </c>
      <c r="B415" s="5" t="s">
        <v>496</v>
      </c>
      <c r="C415" s="6">
        <v>0.84237140417098999</v>
      </c>
      <c r="D415" s="6">
        <v>1.8786689043045</v>
      </c>
      <c r="E415" s="6">
        <v>0.122834764420986</v>
      </c>
      <c r="F415" s="6">
        <f>EXP(D415)</f>
        <v>6.5447873233050462</v>
      </c>
    </row>
    <row r="416" spans="1:6" x14ac:dyDescent="0.2">
      <c r="A416" s="5" t="s">
        <v>86</v>
      </c>
      <c r="B416" s="5" t="s">
        <v>516</v>
      </c>
      <c r="C416" s="6">
        <v>0.86766594648361195</v>
      </c>
      <c r="D416" s="6">
        <v>0.76829648017883301</v>
      </c>
      <c r="E416" s="6">
        <v>0.529901802539825</v>
      </c>
      <c r="F416" s="6">
        <f>EXP(D416)</f>
        <v>2.1560901811827664</v>
      </c>
    </row>
    <row r="417" spans="1:6" x14ac:dyDescent="0.2">
      <c r="A417" s="5" t="s">
        <v>86</v>
      </c>
      <c r="B417" s="5" t="s">
        <v>44</v>
      </c>
      <c r="C417" s="6">
        <v>0.86178398132324197</v>
      </c>
      <c r="D417" s="6">
        <v>1.41054499149323</v>
      </c>
      <c r="E417" s="6">
        <v>0.46322232484817499</v>
      </c>
      <c r="F417" s="6">
        <f>EXP(D417)</f>
        <v>4.0981882733151496</v>
      </c>
    </row>
    <row r="418" spans="1:6" x14ac:dyDescent="0.2">
      <c r="A418" s="5" t="s">
        <v>86</v>
      </c>
      <c r="B418" s="5" t="s">
        <v>435</v>
      </c>
      <c r="C418" s="6">
        <v>0.86654299497604403</v>
      </c>
      <c r="D418" s="6">
        <v>0.85078752040863004</v>
      </c>
      <c r="E418" s="6">
        <v>0.20602399110794101</v>
      </c>
      <c r="F418" s="6">
        <f>EXP(D418)</f>
        <v>2.3414900972722705</v>
      </c>
    </row>
    <row r="419" spans="1:6" x14ac:dyDescent="0.2">
      <c r="A419" s="5" t="s">
        <v>86</v>
      </c>
      <c r="B419" s="5" t="s">
        <v>517</v>
      </c>
      <c r="C419" s="6">
        <v>0.846119344234467</v>
      </c>
      <c r="D419" s="6">
        <v>1.72236239910126</v>
      </c>
      <c r="E419" s="6">
        <v>0.49044346809387201</v>
      </c>
      <c r="F419" s="6">
        <f>EXP(D419)</f>
        <v>5.5977369450095615</v>
      </c>
    </row>
    <row r="420" spans="1:6" x14ac:dyDescent="0.2">
      <c r="A420" s="5" t="s">
        <v>86</v>
      </c>
      <c r="B420" s="5" t="s">
        <v>518</v>
      </c>
      <c r="C420" s="6">
        <v>0.84697002172470104</v>
      </c>
      <c r="D420" s="6">
        <v>0.303839921951294</v>
      </c>
      <c r="E420" s="6">
        <v>0.77413445711135898</v>
      </c>
      <c r="F420" s="6">
        <f>EXP(D420)</f>
        <v>1.3550521246271472</v>
      </c>
    </row>
    <row r="421" spans="1:6" x14ac:dyDescent="0.2">
      <c r="A421" s="5" t="s">
        <v>86</v>
      </c>
      <c r="B421" s="5" t="s">
        <v>73</v>
      </c>
      <c r="C421" s="6">
        <v>0.85536175966262795</v>
      </c>
      <c r="D421" s="6">
        <v>0.95153999328613303</v>
      </c>
      <c r="E421" s="6">
        <v>0.24951018393039701</v>
      </c>
      <c r="F421" s="6">
        <f>EXP(D421)</f>
        <v>2.5896947025133961</v>
      </c>
    </row>
    <row r="422" spans="1:6" x14ac:dyDescent="0.2">
      <c r="A422" s="5" t="s">
        <v>86</v>
      </c>
      <c r="B422" s="5" t="s">
        <v>526</v>
      </c>
      <c r="C422" s="6">
        <v>0.860426545143127</v>
      </c>
      <c r="D422" s="6">
        <v>2.02372097969055</v>
      </c>
      <c r="E422" s="6">
        <v>0.116833344101906</v>
      </c>
      <c r="F422" s="6">
        <f>EXP(D422)</f>
        <v>7.5664271390841353</v>
      </c>
    </row>
    <row r="423" spans="1:6" x14ac:dyDescent="0.2">
      <c r="A423" s="5" t="s">
        <v>86</v>
      </c>
      <c r="B423" s="5" t="s">
        <v>436</v>
      </c>
      <c r="C423" s="6">
        <v>0.88127672672271695</v>
      </c>
      <c r="D423" s="6">
        <v>2.07519459724426</v>
      </c>
      <c r="E423" s="6">
        <v>0.20552858710288999</v>
      </c>
      <c r="F423" s="6">
        <f>EXP(D423)</f>
        <v>7.9660964886383345</v>
      </c>
    </row>
    <row r="424" spans="1:6" x14ac:dyDescent="0.2">
      <c r="A424" s="5" t="s">
        <v>86</v>
      </c>
      <c r="B424" s="5" t="s">
        <v>519</v>
      </c>
      <c r="C424" s="6">
        <v>0.86827391386032104</v>
      </c>
      <c r="D424" s="6">
        <v>1.64873039722443</v>
      </c>
      <c r="E424" s="6">
        <v>0.18360882997512801</v>
      </c>
      <c r="F424" s="6">
        <f>EXP(D424)</f>
        <v>5.2003732259060085</v>
      </c>
    </row>
    <row r="425" spans="1:6" x14ac:dyDescent="0.2">
      <c r="A425" s="5" t="s">
        <v>86</v>
      </c>
      <c r="B425" s="5" t="s">
        <v>500</v>
      </c>
      <c r="C425" s="6">
        <v>0.85063403844833396</v>
      </c>
      <c r="D425" s="6">
        <v>2.4926776885986301</v>
      </c>
      <c r="E425" s="6">
        <v>0.12249428033828701</v>
      </c>
      <c r="F425" s="6">
        <f>EXP(D425)</f>
        <v>12.093615740390204</v>
      </c>
    </row>
    <row r="426" spans="1:6" x14ac:dyDescent="0.2">
      <c r="A426" s="5" t="s">
        <v>86</v>
      </c>
      <c r="B426" s="5" t="s">
        <v>520</v>
      </c>
      <c r="C426" s="6">
        <v>0.85298806428909302</v>
      </c>
      <c r="D426" s="6">
        <v>0.70173883438110396</v>
      </c>
      <c r="E426" s="6">
        <v>0.140206679701805</v>
      </c>
      <c r="F426" s="6">
        <f>EXP(D426)</f>
        <v>2.0172573360145365</v>
      </c>
    </row>
    <row r="427" spans="1:6" x14ac:dyDescent="0.2">
      <c r="A427" s="5" t="s">
        <v>86</v>
      </c>
      <c r="B427" s="5" t="s">
        <v>476</v>
      </c>
      <c r="C427" s="6">
        <v>0.84825700521469105</v>
      </c>
      <c r="D427" s="6">
        <v>0.55790239572525002</v>
      </c>
      <c r="E427" s="6">
        <v>0.42929428815841703</v>
      </c>
      <c r="F427" s="6">
        <f>EXP(D427)</f>
        <v>1.7470041309144924</v>
      </c>
    </row>
    <row r="428" spans="1:6" x14ac:dyDescent="0.2">
      <c r="A428" s="5" t="s">
        <v>86</v>
      </c>
      <c r="B428" s="5" t="s">
        <v>521</v>
      </c>
      <c r="C428" s="6">
        <v>0.86089974641799905</v>
      </c>
      <c r="D428" s="6">
        <v>0.56891113519668601</v>
      </c>
      <c r="E428" s="6">
        <v>0.52187907695770297</v>
      </c>
      <c r="F428" s="6">
        <f>EXP(D428)</f>
        <v>1.7663426955503949</v>
      </c>
    </row>
    <row r="429" spans="1:6" x14ac:dyDescent="0.2">
      <c r="A429" s="5" t="s">
        <v>86</v>
      </c>
      <c r="B429" s="5" t="s">
        <v>536</v>
      </c>
      <c r="C429" s="6">
        <v>0.88605606555938698</v>
      </c>
      <c r="D429" s="6">
        <v>1.13658463954926</v>
      </c>
      <c r="E429" s="6">
        <v>0.64006042480468806</v>
      </c>
      <c r="F429" s="6">
        <f>EXP(D429)</f>
        <v>3.1161075398166744</v>
      </c>
    </row>
    <row r="430" spans="1:6" x14ac:dyDescent="0.2">
      <c r="A430" s="5" t="s">
        <v>86</v>
      </c>
      <c r="B430" s="5" t="s">
        <v>427</v>
      </c>
      <c r="C430" s="6">
        <v>0.85141247510910001</v>
      </c>
      <c r="D430" s="6">
        <v>-0.305206388235092</v>
      </c>
      <c r="E430" s="6">
        <v>0.81276124715805098</v>
      </c>
      <c r="F430" s="6">
        <f>EXP(D430)</f>
        <v>0.73697125649755379</v>
      </c>
    </row>
    <row r="431" spans="1:6" x14ac:dyDescent="0.2">
      <c r="A431" s="5" t="s">
        <v>86</v>
      </c>
      <c r="B431" s="5" t="s">
        <v>462</v>
      </c>
      <c r="C431" s="6">
        <v>0.84833335876464799</v>
      </c>
      <c r="D431" s="6">
        <v>0.59133100509643599</v>
      </c>
      <c r="E431" s="6">
        <v>0.21488156914711001</v>
      </c>
      <c r="F431" s="6">
        <f>EXP(D431)</f>
        <v>1.8063911318318566</v>
      </c>
    </row>
    <row r="432" spans="1:6" x14ac:dyDescent="0.2">
      <c r="A432" s="5" t="s">
        <v>86</v>
      </c>
      <c r="B432" s="5" t="s">
        <v>477</v>
      </c>
      <c r="C432" s="6">
        <v>0.80708801746368397</v>
      </c>
      <c r="D432" s="6">
        <v>-0.39553862810134899</v>
      </c>
      <c r="E432" s="6">
        <v>0.80510896444320701</v>
      </c>
      <c r="F432" s="6">
        <f>EXP(D432)</f>
        <v>0.67331727395497154</v>
      </c>
    </row>
    <row r="433" spans="1:6" x14ac:dyDescent="0.2">
      <c r="A433" s="5" t="s">
        <v>86</v>
      </c>
      <c r="B433" s="5" t="s">
        <v>92</v>
      </c>
      <c r="C433" s="6">
        <v>0.87121003866195701</v>
      </c>
      <c r="D433" s="6">
        <v>0.21911877393722501</v>
      </c>
      <c r="E433" s="6">
        <v>0.63279640674591098</v>
      </c>
      <c r="F433" s="6">
        <f>EXP(D433)</f>
        <v>1.2449791389803637</v>
      </c>
    </row>
    <row r="434" spans="1:6" x14ac:dyDescent="0.2">
      <c r="A434" s="5" t="s">
        <v>88</v>
      </c>
      <c r="B434" s="5" t="s">
        <v>19</v>
      </c>
      <c r="C434" s="6">
        <v>0.84844094514846802</v>
      </c>
      <c r="D434" s="6">
        <v>1.0638999938964799</v>
      </c>
      <c r="E434" s="6">
        <v>0.51143926382064797</v>
      </c>
      <c r="F434" s="6">
        <f>EXP(D434)</f>
        <v>2.8976497978555642</v>
      </c>
    </row>
    <row r="435" spans="1:6" x14ac:dyDescent="0.2">
      <c r="A435" s="5" t="s">
        <v>88</v>
      </c>
      <c r="B435" s="5" t="s">
        <v>10</v>
      </c>
      <c r="C435" s="6">
        <v>0.88631296157836903</v>
      </c>
      <c r="D435" s="6">
        <v>-1.65776491165161</v>
      </c>
      <c r="E435" s="6">
        <v>0.90786844491958596</v>
      </c>
      <c r="F435" s="6">
        <f>EXP(D435)</f>
        <v>0.19056443280559437</v>
      </c>
    </row>
    <row r="436" spans="1:6" x14ac:dyDescent="0.2">
      <c r="A436" s="5" t="s">
        <v>88</v>
      </c>
      <c r="B436" s="5" t="s">
        <v>449</v>
      </c>
      <c r="C436" s="6">
        <v>0.83004248142242398</v>
      </c>
      <c r="D436" s="6">
        <v>0.75420916080474898</v>
      </c>
      <c r="E436" s="6">
        <v>0.52854239940643299</v>
      </c>
      <c r="F436" s="6">
        <f>EXP(D436)</f>
        <v>2.1259295899274608</v>
      </c>
    </row>
    <row r="437" spans="1:6" x14ac:dyDescent="0.2">
      <c r="A437" s="5" t="s">
        <v>88</v>
      </c>
      <c r="B437" s="5" t="s">
        <v>44</v>
      </c>
      <c r="C437" s="6">
        <v>0.83740180730819702</v>
      </c>
      <c r="D437" s="6">
        <v>-0.29775559902191201</v>
      </c>
      <c r="E437" s="6">
        <v>0.70648181438446001</v>
      </c>
      <c r="F437" s="6">
        <f>EXP(D437)</f>
        <v>0.74248278109256272</v>
      </c>
    </row>
    <row r="438" spans="1:6" x14ac:dyDescent="0.2">
      <c r="A438" s="5" t="s">
        <v>88</v>
      </c>
      <c r="B438" s="5" t="s">
        <v>476</v>
      </c>
      <c r="C438" s="6">
        <v>0.82073974609375</v>
      </c>
      <c r="D438" s="6">
        <v>0.27529287338256803</v>
      </c>
      <c r="E438" s="6">
        <v>0.63279283046722401</v>
      </c>
      <c r="F438" s="6">
        <f>EXP(D438)</f>
        <v>1.3169163081277269</v>
      </c>
    </row>
    <row r="439" spans="1:6" x14ac:dyDescent="0.2">
      <c r="A439" s="5" t="s">
        <v>88</v>
      </c>
      <c r="B439" s="5" t="s">
        <v>117</v>
      </c>
      <c r="C439" s="6">
        <v>0.83251190185546897</v>
      </c>
      <c r="D439" s="6">
        <v>-0.77987354993820202</v>
      </c>
      <c r="E439" s="6">
        <v>0.76113623380661</v>
      </c>
      <c r="F439" s="6">
        <f>EXP(D439)</f>
        <v>0.45846398043870468</v>
      </c>
    </row>
    <row r="440" spans="1:6" x14ac:dyDescent="0.2">
      <c r="A440" s="5" t="s">
        <v>93</v>
      </c>
      <c r="B440" s="5" t="s">
        <v>430</v>
      </c>
      <c r="C440" s="6">
        <v>0.84128779172897294</v>
      </c>
      <c r="D440" s="6">
        <v>2.6222777366638201</v>
      </c>
      <c r="E440" s="6">
        <v>0.27172634005546598</v>
      </c>
      <c r="F440" s="6">
        <f>EXP(D440)</f>
        <v>13.767045604405888</v>
      </c>
    </row>
    <row r="441" spans="1:6" x14ac:dyDescent="0.2">
      <c r="A441" s="5" t="s">
        <v>93</v>
      </c>
      <c r="B441" s="5" t="s">
        <v>547</v>
      </c>
      <c r="C441" s="6">
        <v>0.83116811513900801</v>
      </c>
      <c r="D441" s="6">
        <v>0.77348250150680498</v>
      </c>
      <c r="E441" s="6">
        <v>0.81150591373443604</v>
      </c>
      <c r="F441" s="6">
        <f>EXP(D441)</f>
        <v>2.1673007548589869</v>
      </c>
    </row>
    <row r="442" spans="1:6" x14ac:dyDescent="0.2">
      <c r="A442" s="5" t="s">
        <v>93</v>
      </c>
      <c r="B442" s="5" t="s">
        <v>432</v>
      </c>
      <c r="C442" s="6">
        <v>0.82693737745285001</v>
      </c>
      <c r="D442" s="6">
        <v>1.6427758932113601</v>
      </c>
      <c r="E442" s="6">
        <v>0.47424304485321001</v>
      </c>
      <c r="F442" s="6">
        <f>EXP(D442)</f>
        <v>5.169499592471527</v>
      </c>
    </row>
    <row r="443" spans="1:6" x14ac:dyDescent="0.2">
      <c r="A443" s="5" t="s">
        <v>93</v>
      </c>
      <c r="B443" s="5" t="s">
        <v>449</v>
      </c>
      <c r="C443" s="6">
        <v>0.80033820867538497</v>
      </c>
      <c r="D443" s="6">
        <v>0.91536188125610396</v>
      </c>
      <c r="E443" s="6">
        <v>0.21123045682907099</v>
      </c>
      <c r="F443" s="6">
        <f>EXP(D443)</f>
        <v>2.4976789515753803</v>
      </c>
    </row>
    <row r="444" spans="1:6" x14ac:dyDescent="0.2">
      <c r="A444" s="5" t="s">
        <v>93</v>
      </c>
      <c r="B444" s="5" t="s">
        <v>515</v>
      </c>
      <c r="C444" s="6">
        <v>0.81082928180694602</v>
      </c>
      <c r="D444" s="6">
        <v>2.0808024406433101</v>
      </c>
      <c r="E444" s="6">
        <v>0.41209080815315202</v>
      </c>
      <c r="F444" s="6">
        <f>EXP(D444)</f>
        <v>8.0108946032534885</v>
      </c>
    </row>
    <row r="445" spans="1:6" x14ac:dyDescent="0.2">
      <c r="A445" s="5" t="s">
        <v>93</v>
      </c>
      <c r="B445" s="5" t="s">
        <v>90</v>
      </c>
      <c r="C445" s="6">
        <v>0.80799764394760099</v>
      </c>
      <c r="D445" s="6">
        <v>0.92433780431747403</v>
      </c>
      <c r="E445" s="6">
        <v>0.90253949165344205</v>
      </c>
      <c r="F445" s="6">
        <f>EXP(D445)</f>
        <v>2.5201988428857645</v>
      </c>
    </row>
    <row r="446" spans="1:6" x14ac:dyDescent="0.2">
      <c r="A446" s="5" t="s">
        <v>93</v>
      </c>
      <c r="B446" s="5" t="s">
        <v>426</v>
      </c>
      <c r="C446" s="6">
        <v>0.83389854431152299</v>
      </c>
      <c r="D446" s="6">
        <v>0.17873331904411299</v>
      </c>
      <c r="E446" s="6">
        <v>0.75008666515350297</v>
      </c>
      <c r="F446" s="6">
        <f>EXP(D446)</f>
        <v>1.1957018307385274</v>
      </c>
    </row>
    <row r="447" spans="1:6" x14ac:dyDescent="0.2">
      <c r="A447" s="5" t="s">
        <v>93</v>
      </c>
      <c r="B447" s="5" t="s">
        <v>495</v>
      </c>
      <c r="C447" s="6">
        <v>0.78463780879974399</v>
      </c>
      <c r="D447" s="6">
        <v>-0.49306073784828203</v>
      </c>
      <c r="E447" s="6">
        <v>0.83635509014129605</v>
      </c>
      <c r="F447" s="6">
        <f>EXP(D447)</f>
        <v>0.61075417204505977</v>
      </c>
    </row>
    <row r="448" spans="1:6" x14ac:dyDescent="0.2">
      <c r="A448" s="5" t="s">
        <v>93</v>
      </c>
      <c r="B448" s="5" t="s">
        <v>496</v>
      </c>
      <c r="C448" s="6">
        <v>0.82133287191391002</v>
      </c>
      <c r="D448" s="6">
        <v>2.0271942615509002</v>
      </c>
      <c r="E448" s="6">
        <v>9.2224441468715695E-2</v>
      </c>
      <c r="F448" s="6">
        <f>EXP(D448)</f>
        <v>7.59275316560342</v>
      </c>
    </row>
    <row r="449" spans="1:6" x14ac:dyDescent="0.2">
      <c r="A449" s="5" t="s">
        <v>93</v>
      </c>
      <c r="B449" s="5" t="s">
        <v>44</v>
      </c>
      <c r="C449" s="6">
        <v>0.81945228576660201</v>
      </c>
      <c r="D449" s="6">
        <v>0.64496380090713501</v>
      </c>
      <c r="E449" s="6">
        <v>0.53495615720748901</v>
      </c>
      <c r="F449" s="6">
        <f>EXP(D449)</f>
        <v>1.9059180355192138</v>
      </c>
    </row>
    <row r="450" spans="1:6" x14ac:dyDescent="0.2">
      <c r="A450" s="5" t="s">
        <v>93</v>
      </c>
      <c r="B450" s="5" t="s">
        <v>452</v>
      </c>
      <c r="C450" s="6">
        <v>0.83291971683502197</v>
      </c>
      <c r="D450" s="6">
        <v>2.20319604873657</v>
      </c>
      <c r="E450" s="6">
        <v>0.52186036109924305</v>
      </c>
      <c r="F450" s="6">
        <f>EXP(D450)</f>
        <v>9.0539040255989391</v>
      </c>
    </row>
    <row r="451" spans="1:6" x14ac:dyDescent="0.2">
      <c r="A451" s="5" t="s">
        <v>93</v>
      </c>
      <c r="B451" s="5" t="s">
        <v>435</v>
      </c>
      <c r="C451" s="6">
        <v>0.84923726320266701</v>
      </c>
      <c r="D451" s="6">
        <v>2.05768942832947</v>
      </c>
      <c r="E451" s="6">
        <v>0.14135238528251601</v>
      </c>
      <c r="F451" s="6">
        <f>EXP(D451)</f>
        <v>7.8278620624275881</v>
      </c>
    </row>
    <row r="452" spans="1:6" x14ac:dyDescent="0.2">
      <c r="A452" s="5" t="s">
        <v>93</v>
      </c>
      <c r="B452" s="5" t="s">
        <v>517</v>
      </c>
      <c r="C452" s="6">
        <v>0.83736532926559504</v>
      </c>
      <c r="D452" s="6">
        <v>1.0621267557144201</v>
      </c>
      <c r="E452" s="6">
        <v>0.142159312963486</v>
      </c>
      <c r="F452" s="6">
        <f>EXP(D452)</f>
        <v>2.8925161275510489</v>
      </c>
    </row>
    <row r="453" spans="1:6" x14ac:dyDescent="0.2">
      <c r="A453" s="5" t="s">
        <v>93</v>
      </c>
      <c r="B453" s="5" t="s">
        <v>439</v>
      </c>
      <c r="C453" s="6">
        <v>0.84153270721435602</v>
      </c>
      <c r="D453" s="6">
        <v>-0.34168532490730302</v>
      </c>
      <c r="E453" s="6">
        <v>0.16907058656215701</v>
      </c>
      <c r="F453" s="6">
        <f>EXP(D453)</f>
        <v>0.71057176876951711</v>
      </c>
    </row>
    <row r="454" spans="1:6" x14ac:dyDescent="0.2">
      <c r="A454" s="5" t="s">
        <v>93</v>
      </c>
      <c r="B454" s="5" t="s">
        <v>73</v>
      </c>
      <c r="C454" s="6">
        <v>0.86026757955551203</v>
      </c>
      <c r="D454" s="6">
        <v>0.64800304174423196</v>
      </c>
      <c r="E454" s="6">
        <v>0.29423585534095797</v>
      </c>
      <c r="F454" s="6">
        <f>EXP(D454)</f>
        <v>1.9117193908373349</v>
      </c>
    </row>
    <row r="455" spans="1:6" x14ac:dyDescent="0.2">
      <c r="A455" s="5" t="s">
        <v>93</v>
      </c>
      <c r="B455" s="5" t="s">
        <v>526</v>
      </c>
      <c r="C455" s="6">
        <v>0.81844949722289995</v>
      </c>
      <c r="D455" s="6">
        <v>1.4388017654418901</v>
      </c>
      <c r="E455" s="6">
        <v>0.121026888489723</v>
      </c>
      <c r="F455" s="6">
        <f>EXP(D455)</f>
        <v>4.2156414621654106</v>
      </c>
    </row>
    <row r="456" spans="1:6" x14ac:dyDescent="0.2">
      <c r="A456" s="5" t="s">
        <v>93</v>
      </c>
      <c r="B456" s="5" t="s">
        <v>436</v>
      </c>
      <c r="C456" s="6">
        <v>0.562733113765717</v>
      </c>
      <c r="D456" s="6">
        <v>1.27724897861481</v>
      </c>
      <c r="E456" s="6">
        <v>0.52042049169540405</v>
      </c>
      <c r="F456" s="6">
        <f>EXP(D456)</f>
        <v>3.586758890195735</v>
      </c>
    </row>
    <row r="457" spans="1:6" x14ac:dyDescent="0.2">
      <c r="A457" s="5" t="s">
        <v>93</v>
      </c>
      <c r="B457" s="5" t="s">
        <v>519</v>
      </c>
      <c r="C457" s="6">
        <v>0.81082135438919101</v>
      </c>
      <c r="D457" s="6">
        <v>1.2249730825424201</v>
      </c>
      <c r="E457" s="6">
        <v>0.19491049647331199</v>
      </c>
      <c r="F457" s="6">
        <f>EXP(D457)</f>
        <v>3.4040744525279227</v>
      </c>
    </row>
    <row r="458" spans="1:6" x14ac:dyDescent="0.2">
      <c r="A458" s="5" t="s">
        <v>93</v>
      </c>
      <c r="B458" s="5" t="s">
        <v>500</v>
      </c>
      <c r="C458" s="6">
        <v>0.79781812429428101</v>
      </c>
      <c r="D458" s="6">
        <v>2.5655059814453098</v>
      </c>
      <c r="E458" s="6">
        <v>9.1057069599628504E-2</v>
      </c>
      <c r="F458" s="6">
        <f>EXP(D458)</f>
        <v>13.007238126059448</v>
      </c>
    </row>
    <row r="459" spans="1:6" x14ac:dyDescent="0.2">
      <c r="A459" s="5" t="s">
        <v>93</v>
      </c>
      <c r="B459" s="5" t="s">
        <v>520</v>
      </c>
      <c r="C459" s="6">
        <v>0.81035083532333396</v>
      </c>
      <c r="D459" s="6">
        <v>0.74513524770736705</v>
      </c>
      <c r="E459" s="6">
        <v>0.159844055771828</v>
      </c>
      <c r="F459" s="6">
        <f>EXP(D459)</f>
        <v>2.1067263456218326</v>
      </c>
    </row>
    <row r="460" spans="1:6" x14ac:dyDescent="0.2">
      <c r="A460" s="5" t="s">
        <v>93</v>
      </c>
      <c r="B460" s="5" t="s">
        <v>476</v>
      </c>
      <c r="C460" s="6">
        <v>0.83674937486648604</v>
      </c>
      <c r="D460" s="6">
        <v>0.157527655363083</v>
      </c>
      <c r="E460" s="6">
        <v>0.48332962393760698</v>
      </c>
      <c r="F460" s="6">
        <f>EXP(D460)</f>
        <v>1.170613131265219</v>
      </c>
    </row>
    <row r="461" spans="1:6" x14ac:dyDescent="0.2">
      <c r="A461" s="5" t="s">
        <v>93</v>
      </c>
      <c r="B461" s="5" t="s">
        <v>521</v>
      </c>
      <c r="C461" s="6">
        <v>0.84162122011184703</v>
      </c>
      <c r="D461" s="6">
        <v>0.44227963685989402</v>
      </c>
      <c r="E461" s="6">
        <v>0.39744192361831698</v>
      </c>
      <c r="F461" s="6">
        <f>EXP(D461)</f>
        <v>1.5562508646978923</v>
      </c>
    </row>
    <row r="462" spans="1:6" x14ac:dyDescent="0.2">
      <c r="A462" s="5" t="s">
        <v>93</v>
      </c>
      <c r="B462" s="5" t="s">
        <v>536</v>
      </c>
      <c r="C462" s="6">
        <v>0.82683926820755005</v>
      </c>
      <c r="D462" s="6">
        <v>0.95785051584243797</v>
      </c>
      <c r="E462" s="6">
        <v>0.57510274648666404</v>
      </c>
      <c r="F462" s="6">
        <f>EXP(D462)</f>
        <v>2.6060887022958563</v>
      </c>
    </row>
    <row r="463" spans="1:6" x14ac:dyDescent="0.2">
      <c r="A463" s="5" t="s">
        <v>93</v>
      </c>
      <c r="B463" s="5" t="s">
        <v>196</v>
      </c>
      <c r="C463" s="6">
        <v>0.82234966754913297</v>
      </c>
      <c r="D463" s="6">
        <v>-0.16969107091426899</v>
      </c>
      <c r="E463" s="6">
        <v>0.469790428876877</v>
      </c>
      <c r="F463" s="6">
        <f>EXP(D463)</f>
        <v>0.84392548945947965</v>
      </c>
    </row>
    <row r="464" spans="1:6" x14ac:dyDescent="0.2">
      <c r="A464" s="5" t="s">
        <v>93</v>
      </c>
      <c r="B464" s="5" t="s">
        <v>477</v>
      </c>
      <c r="C464" s="6">
        <v>0.79243803024292003</v>
      </c>
      <c r="D464" s="6">
        <v>-0.33201843500137301</v>
      </c>
      <c r="E464" s="6">
        <v>0.71643680334091198</v>
      </c>
      <c r="F464" s="6">
        <f>EXP(D464)</f>
        <v>0.71747409609657942</v>
      </c>
    </row>
    <row r="465" spans="1:6" x14ac:dyDescent="0.2">
      <c r="A465" s="5" t="s">
        <v>93</v>
      </c>
      <c r="B465" s="5" t="s">
        <v>92</v>
      </c>
      <c r="C465" s="6">
        <v>0.83020412921905495</v>
      </c>
      <c r="D465" s="6">
        <v>8.1112518906593295E-2</v>
      </c>
      <c r="E465" s="6">
        <v>0.70432180166244496</v>
      </c>
      <c r="F465" s="6">
        <f>EXP(D465)</f>
        <v>1.0844929156589822</v>
      </c>
    </row>
    <row r="466" spans="1:6" x14ac:dyDescent="0.2">
      <c r="A466" s="5" t="s">
        <v>93</v>
      </c>
      <c r="B466" s="5" t="s">
        <v>454</v>
      </c>
      <c r="C466" s="6">
        <v>0.82835131883621205</v>
      </c>
      <c r="D466" s="6">
        <v>0.210053235292435</v>
      </c>
      <c r="E466" s="6">
        <v>0.77239340543747004</v>
      </c>
      <c r="F466" s="6">
        <f>EXP(D466)</f>
        <v>1.2337437369171862</v>
      </c>
    </row>
    <row r="467" spans="1:6" x14ac:dyDescent="0.2">
      <c r="A467" s="5" t="s">
        <v>93</v>
      </c>
      <c r="B467" s="5" t="s">
        <v>117</v>
      </c>
      <c r="C467" s="6">
        <v>0.82574361562728904</v>
      </c>
      <c r="D467" s="6">
        <v>1.16285943984985</v>
      </c>
      <c r="E467" s="6">
        <v>0.85151928663253795</v>
      </c>
      <c r="F467" s="6">
        <f>EXP(D467)</f>
        <v>3.1990677519624713</v>
      </c>
    </row>
    <row r="468" spans="1:6" x14ac:dyDescent="0.2">
      <c r="A468" s="5" t="s">
        <v>522</v>
      </c>
      <c r="B468" s="5" t="s">
        <v>523</v>
      </c>
      <c r="C468" s="6">
        <v>0.67638558149337802</v>
      </c>
      <c r="D468" s="6">
        <v>-0.45482796430587802</v>
      </c>
      <c r="E468" s="6">
        <v>0.60372394323348999</v>
      </c>
      <c r="F468" s="6">
        <f>EXP(D468)</f>
        <v>0.63455712503396677</v>
      </c>
    </row>
    <row r="469" spans="1:6" x14ac:dyDescent="0.2">
      <c r="A469" s="5" t="s">
        <v>522</v>
      </c>
      <c r="B469" s="5" t="s">
        <v>524</v>
      </c>
      <c r="C469" s="6">
        <v>0.674374759197235</v>
      </c>
      <c r="D469" s="6">
        <v>-1.60211181640625</v>
      </c>
      <c r="E469" s="6">
        <v>0.92349910736083995</v>
      </c>
      <c r="F469" s="6">
        <f>EXP(D469)</f>
        <v>0.20147059950470841</v>
      </c>
    </row>
    <row r="470" spans="1:6" x14ac:dyDescent="0.2">
      <c r="A470" s="5" t="s">
        <v>522</v>
      </c>
      <c r="B470" s="5" t="s">
        <v>449</v>
      </c>
      <c r="C470" s="6">
        <v>0.65041798353195202</v>
      </c>
      <c r="D470" s="6">
        <v>0.83913964033126798</v>
      </c>
      <c r="E470" s="6">
        <v>7.3766484856605502E-2</v>
      </c>
      <c r="F470" s="6">
        <f>EXP(D470)</f>
        <v>2.31437492511962</v>
      </c>
    </row>
    <row r="471" spans="1:6" x14ac:dyDescent="0.2">
      <c r="A471" s="5" t="s">
        <v>94</v>
      </c>
      <c r="B471" s="5" t="s">
        <v>72</v>
      </c>
      <c r="C471" s="6">
        <v>0.66528552770614602</v>
      </c>
      <c r="D471" s="6">
        <v>0.593572318553925</v>
      </c>
      <c r="E471" s="6">
        <v>0.30199334025383001</v>
      </c>
      <c r="F471" s="6">
        <f>EXP(D471)</f>
        <v>1.8104443611670695</v>
      </c>
    </row>
    <row r="472" spans="1:6" x14ac:dyDescent="0.2">
      <c r="A472" s="5" t="s">
        <v>94</v>
      </c>
      <c r="B472" s="5" t="s">
        <v>525</v>
      </c>
      <c r="C472" s="6">
        <v>0.66865456104278598</v>
      </c>
      <c r="D472" s="6">
        <v>0.680675029754639</v>
      </c>
      <c r="E472" s="6">
        <v>0.11944253742694901</v>
      </c>
      <c r="F472" s="6">
        <f>EXP(D472)</f>
        <v>1.9752106082465954</v>
      </c>
    </row>
    <row r="473" spans="1:6" x14ac:dyDescent="0.2">
      <c r="A473" s="5" t="s">
        <v>94</v>
      </c>
      <c r="B473" s="5" t="s">
        <v>595</v>
      </c>
      <c r="C473" s="6">
        <v>0.72115409374237105</v>
      </c>
      <c r="D473" s="6">
        <v>1.61203229427338</v>
      </c>
      <c r="E473" s="6">
        <v>0.27054366469383201</v>
      </c>
      <c r="F473" s="6">
        <f>EXP(D473)</f>
        <v>5.0129887508005861</v>
      </c>
    </row>
    <row r="474" spans="1:6" x14ac:dyDescent="0.2">
      <c r="A474" s="5" t="s">
        <v>94</v>
      </c>
      <c r="B474" s="5" t="s">
        <v>83</v>
      </c>
      <c r="C474" s="6">
        <v>0.67476052045822099</v>
      </c>
      <c r="D474" s="6">
        <v>-9.0970069169998197E-2</v>
      </c>
      <c r="E474" s="6">
        <v>0.37342250347137501</v>
      </c>
      <c r="F474" s="6">
        <f>EXP(D474)</f>
        <v>0.91304503868612896</v>
      </c>
    </row>
    <row r="475" spans="1:6" x14ac:dyDescent="0.2">
      <c r="A475" s="5" t="s">
        <v>94</v>
      </c>
      <c r="B475" s="5" t="s">
        <v>440</v>
      </c>
      <c r="C475" s="6">
        <v>0.70314300060272195</v>
      </c>
      <c r="D475" s="6">
        <v>1.51336002349854</v>
      </c>
      <c r="E475" s="6">
        <v>0.23462556302547499</v>
      </c>
      <c r="F475" s="6">
        <f>EXP(D475)</f>
        <v>4.5419662976455566</v>
      </c>
    </row>
    <row r="476" spans="1:6" x14ac:dyDescent="0.2">
      <c r="A476" s="5" t="s">
        <v>94</v>
      </c>
      <c r="B476" s="5" t="s">
        <v>526</v>
      </c>
      <c r="C476" s="6">
        <v>0.66483193635940596</v>
      </c>
      <c r="D476" s="6">
        <v>1.6862610578537001</v>
      </c>
      <c r="E476" s="6">
        <v>0.31701919436454801</v>
      </c>
      <c r="F476" s="6">
        <f>EXP(D476)</f>
        <v>5.3992554144695024</v>
      </c>
    </row>
    <row r="477" spans="1:6" x14ac:dyDescent="0.2">
      <c r="A477" s="5" t="s">
        <v>94</v>
      </c>
      <c r="B477" s="5" t="s">
        <v>500</v>
      </c>
      <c r="C477" s="6">
        <v>0.66899746656417902</v>
      </c>
      <c r="D477" s="6">
        <v>2.3612132072448699</v>
      </c>
      <c r="E477" s="6">
        <v>0.32602590322494501</v>
      </c>
      <c r="F477" s="6">
        <f>EXP(D477)</f>
        <v>10.603808268880403</v>
      </c>
    </row>
    <row r="478" spans="1:6" x14ac:dyDescent="0.2">
      <c r="A478" s="5" t="s">
        <v>94</v>
      </c>
      <c r="B478" s="5" t="s">
        <v>542</v>
      </c>
      <c r="C478" s="6">
        <v>0.70560950040817305</v>
      </c>
      <c r="D478" s="6">
        <v>2.2513279914856001</v>
      </c>
      <c r="E478" s="6">
        <v>0.34665504097938499</v>
      </c>
      <c r="F478" s="6">
        <f>EXP(D478)</f>
        <v>9.5003438385737145</v>
      </c>
    </row>
    <row r="479" spans="1:6" x14ac:dyDescent="0.2">
      <c r="A479" s="5" t="s">
        <v>94</v>
      </c>
      <c r="B479" s="5" t="s">
        <v>85</v>
      </c>
      <c r="C479" s="6">
        <v>0.65745466947555498</v>
      </c>
      <c r="D479" s="6">
        <v>5.86308240890503E-2</v>
      </c>
      <c r="E479" s="6">
        <v>0.151201471686363</v>
      </c>
      <c r="F479" s="6">
        <f>EXP(D479)</f>
        <v>1.0603837003524326</v>
      </c>
    </row>
    <row r="480" spans="1:6" x14ac:dyDescent="0.2">
      <c r="A480" s="5" t="s">
        <v>96</v>
      </c>
      <c r="B480" s="5" t="s">
        <v>445</v>
      </c>
      <c r="C480" s="6">
        <v>0.56545126438140902</v>
      </c>
      <c r="D480" s="6">
        <v>-1.3450018167495701</v>
      </c>
      <c r="E480" s="6">
        <v>0.90527045726776101</v>
      </c>
      <c r="F480" s="6">
        <f>EXP(D480)</f>
        <v>0.26053923452500333</v>
      </c>
    </row>
    <row r="481" spans="1:6" x14ac:dyDescent="0.2">
      <c r="A481" s="5" t="s">
        <v>96</v>
      </c>
      <c r="B481" s="5" t="s">
        <v>527</v>
      </c>
      <c r="C481" s="6">
        <v>0.55531311035156306</v>
      </c>
      <c r="D481" s="6">
        <v>-1.1028407812118499</v>
      </c>
      <c r="E481" s="6">
        <v>0.77473676204681396</v>
      </c>
      <c r="F481" s="6">
        <f>EXP(D481)</f>
        <v>0.33192681164771753</v>
      </c>
    </row>
    <row r="482" spans="1:6" x14ac:dyDescent="0.2">
      <c r="A482" s="5" t="s">
        <v>96</v>
      </c>
      <c r="B482" s="5" t="s">
        <v>485</v>
      </c>
      <c r="C482" s="6">
        <v>0.56776374578475997</v>
      </c>
      <c r="D482" s="6">
        <v>-1.78053402900696</v>
      </c>
      <c r="E482" s="6">
        <v>0.93384373188018799</v>
      </c>
      <c r="F482" s="6">
        <f>EXP(D482)</f>
        <v>0.1685481136486961</v>
      </c>
    </row>
    <row r="483" spans="1:6" x14ac:dyDescent="0.2">
      <c r="A483" s="5" t="s">
        <v>103</v>
      </c>
      <c r="B483" s="5" t="s">
        <v>596</v>
      </c>
      <c r="C483" s="6">
        <v>0.87453430891036998</v>
      </c>
      <c r="D483" s="6">
        <v>1.40559482574463</v>
      </c>
      <c r="E483" s="6">
        <v>0.233313009142876</v>
      </c>
      <c r="F483" s="6">
        <f>EXP(D483)</f>
        <v>4.0779516906358175</v>
      </c>
    </row>
    <row r="484" spans="1:6" x14ac:dyDescent="0.2">
      <c r="A484" s="5" t="s">
        <v>103</v>
      </c>
      <c r="B484" s="5" t="s">
        <v>528</v>
      </c>
      <c r="C484" s="6">
        <v>0.60799115896224998</v>
      </c>
      <c r="D484" s="6">
        <v>1.0605006217956501</v>
      </c>
      <c r="E484" s="6">
        <v>0.28045314550399802</v>
      </c>
      <c r="F484" s="6">
        <f>EXP(D484)</f>
        <v>2.887816331250181</v>
      </c>
    </row>
    <row r="485" spans="1:6" x14ac:dyDescent="0.2">
      <c r="A485" s="5" t="s">
        <v>103</v>
      </c>
      <c r="B485" s="5" t="s">
        <v>597</v>
      </c>
      <c r="C485" s="6">
        <v>0.84560745954513605</v>
      </c>
      <c r="D485" s="6">
        <v>0.48168331384658802</v>
      </c>
      <c r="E485" s="6">
        <v>0.57785540819168102</v>
      </c>
      <c r="F485" s="6">
        <f>EXP(D485)</f>
        <v>1.6187970535066527</v>
      </c>
    </row>
    <row r="486" spans="1:6" x14ac:dyDescent="0.2">
      <c r="A486" s="5" t="s">
        <v>103</v>
      </c>
      <c r="B486" s="5" t="s">
        <v>598</v>
      </c>
      <c r="C486" s="6">
        <v>0.88806897401809703</v>
      </c>
      <c r="D486" s="6">
        <v>0.79723399877548196</v>
      </c>
      <c r="E486" s="6">
        <v>0.39871805906295799</v>
      </c>
      <c r="F486" s="6">
        <f>EXP(D486)</f>
        <v>2.219393585257821</v>
      </c>
    </row>
    <row r="487" spans="1:6" x14ac:dyDescent="0.2">
      <c r="A487" s="5" t="s">
        <v>103</v>
      </c>
      <c r="B487" s="5" t="s">
        <v>439</v>
      </c>
      <c r="C487" s="6">
        <v>0.871637463569641</v>
      </c>
      <c r="D487" s="6">
        <v>8.6550176143646199E-2</v>
      </c>
      <c r="E487" s="6">
        <v>0.40851432085037198</v>
      </c>
      <c r="F487" s="6">
        <f>EXP(D487)</f>
        <v>1.0904060787172127</v>
      </c>
    </row>
    <row r="488" spans="1:6" x14ac:dyDescent="0.2">
      <c r="A488" s="5" t="s">
        <v>103</v>
      </c>
      <c r="B488" s="5" t="s">
        <v>440</v>
      </c>
      <c r="C488" s="6">
        <v>0.87300264835357699</v>
      </c>
      <c r="D488" s="6">
        <v>2.18464183807373</v>
      </c>
      <c r="E488" s="6">
        <v>0.19977374374866499</v>
      </c>
      <c r="F488" s="6">
        <f>EXP(D488)</f>
        <v>8.8874648317376774</v>
      </c>
    </row>
    <row r="489" spans="1:6" x14ac:dyDescent="0.2">
      <c r="A489" s="5" t="s">
        <v>103</v>
      </c>
      <c r="B489" s="5" t="s">
        <v>599</v>
      </c>
      <c r="C489" s="6">
        <v>0.90240782499313399</v>
      </c>
      <c r="D489" s="6">
        <v>0.43043890595436102</v>
      </c>
      <c r="E489" s="6">
        <v>0.70080256462097201</v>
      </c>
      <c r="F489" s="6">
        <f>EXP(D489)</f>
        <v>1.5379323831178611</v>
      </c>
    </row>
    <row r="490" spans="1:6" x14ac:dyDescent="0.2">
      <c r="A490" s="5" t="s">
        <v>103</v>
      </c>
      <c r="B490" s="5" t="s">
        <v>529</v>
      </c>
      <c r="C490" s="6">
        <v>0.64927482604980502</v>
      </c>
      <c r="D490" s="6">
        <v>0.61435317993164096</v>
      </c>
      <c r="E490" s="6">
        <v>0.43725135922431901</v>
      </c>
      <c r="F490" s="6">
        <f>EXP(D490)</f>
        <v>1.8484605913929002</v>
      </c>
    </row>
    <row r="491" spans="1:6" x14ac:dyDescent="0.2">
      <c r="A491" s="5" t="s">
        <v>530</v>
      </c>
      <c r="B491" s="5" t="s">
        <v>596</v>
      </c>
      <c r="C491" s="6">
        <v>0.88502520322799705</v>
      </c>
      <c r="D491" s="6">
        <v>2.8100335597991899</v>
      </c>
      <c r="E491" s="6">
        <v>0.27938494086265597</v>
      </c>
      <c r="F491" s="6">
        <f>EXP(D491)</f>
        <v>16.61047565366033</v>
      </c>
    </row>
    <row r="492" spans="1:6" x14ac:dyDescent="0.2">
      <c r="A492" s="5" t="s">
        <v>530</v>
      </c>
      <c r="B492" s="5" t="s">
        <v>528</v>
      </c>
      <c r="C492" s="6">
        <v>0.86000740528106701</v>
      </c>
      <c r="D492" s="6">
        <v>1.7007484436035201</v>
      </c>
      <c r="E492" s="6">
        <v>0.29225191473960899</v>
      </c>
      <c r="F492" s="6">
        <f>EXP(D492)</f>
        <v>5.4780458661857203</v>
      </c>
    </row>
    <row r="493" spans="1:6" x14ac:dyDescent="0.2">
      <c r="A493" s="5" t="s">
        <v>530</v>
      </c>
      <c r="B493" s="5" t="s">
        <v>597</v>
      </c>
      <c r="C493" s="6">
        <v>0.85648155212402299</v>
      </c>
      <c r="D493" s="6">
        <v>0.56619596481323198</v>
      </c>
      <c r="E493" s="6">
        <v>0.72368127107620195</v>
      </c>
      <c r="F493" s="6">
        <f>EXP(D493)</f>
        <v>1.7615532791595332</v>
      </c>
    </row>
    <row r="494" spans="1:6" x14ac:dyDescent="0.2">
      <c r="A494" s="5" t="s">
        <v>530</v>
      </c>
      <c r="B494" s="5" t="s">
        <v>439</v>
      </c>
      <c r="C494" s="6">
        <v>0.89959186315536499</v>
      </c>
      <c r="D494" s="6">
        <v>1.79690289497375</v>
      </c>
      <c r="E494" s="6">
        <v>0.33706343173980702</v>
      </c>
      <c r="F494" s="6">
        <f>EXP(D494)</f>
        <v>6.0309400552029642</v>
      </c>
    </row>
    <row r="495" spans="1:6" x14ac:dyDescent="0.2">
      <c r="A495" s="5" t="s">
        <v>530</v>
      </c>
      <c r="B495" s="5" t="s">
        <v>531</v>
      </c>
      <c r="C495" s="6">
        <v>0.90181982517242398</v>
      </c>
      <c r="D495" s="6">
        <v>2.4798431396484402</v>
      </c>
      <c r="E495" s="6">
        <v>0.49656277894973799</v>
      </c>
      <c r="F495" s="6">
        <f>EXP(D495)</f>
        <v>11.939391453815189</v>
      </c>
    </row>
    <row r="496" spans="1:6" x14ac:dyDescent="0.2">
      <c r="A496" s="5" t="s">
        <v>293</v>
      </c>
      <c r="B496" s="5" t="s">
        <v>513</v>
      </c>
      <c r="C496" s="6">
        <v>0.72264045476913497</v>
      </c>
      <c r="D496" s="6">
        <v>1.23434793949127</v>
      </c>
      <c r="E496" s="6">
        <v>0.296682238578796</v>
      </c>
      <c r="F496" s="6">
        <f>EXP(D496)</f>
        <v>3.4361372206687419</v>
      </c>
    </row>
    <row r="497" spans="1:6" x14ac:dyDescent="0.2">
      <c r="A497" s="5" t="s">
        <v>532</v>
      </c>
      <c r="B497" s="5" t="s">
        <v>419</v>
      </c>
      <c r="C497" s="6">
        <v>0.890491962432861</v>
      </c>
      <c r="D497" s="6">
        <v>2.12782859802246</v>
      </c>
      <c r="E497" s="6">
        <v>0.35228812694549599</v>
      </c>
      <c r="F497" s="6">
        <f>EXP(D497)</f>
        <v>8.3966145766459821</v>
      </c>
    </row>
    <row r="498" spans="1:6" x14ac:dyDescent="0.2">
      <c r="A498" s="5" t="s">
        <v>532</v>
      </c>
      <c r="B498" s="5" t="s">
        <v>423</v>
      </c>
      <c r="C498" s="6">
        <v>0.88421565294265803</v>
      </c>
      <c r="D498" s="6">
        <v>1.75601589679718</v>
      </c>
      <c r="E498" s="6">
        <v>0.468032896518707</v>
      </c>
      <c r="F498" s="6">
        <f>EXP(D498)</f>
        <v>5.7893261133982836</v>
      </c>
    </row>
    <row r="499" spans="1:6" x14ac:dyDescent="0.2">
      <c r="A499" s="5" t="s">
        <v>106</v>
      </c>
      <c r="B499" s="5" t="s">
        <v>533</v>
      </c>
      <c r="C499" s="6">
        <v>0.89385932683944702</v>
      </c>
      <c r="D499" s="6">
        <v>-0.53976583480835005</v>
      </c>
      <c r="E499" s="6">
        <v>0.91892188787460305</v>
      </c>
      <c r="F499" s="6">
        <f>EXP(D499)</f>
        <v>0.58288472770845334</v>
      </c>
    </row>
    <row r="500" spans="1:6" x14ac:dyDescent="0.2">
      <c r="A500" s="5" t="s">
        <v>106</v>
      </c>
      <c r="B500" s="5" t="s">
        <v>72</v>
      </c>
      <c r="C500" s="6">
        <v>0.88303565979003895</v>
      </c>
      <c r="D500" s="6">
        <v>-0.60263442993164096</v>
      </c>
      <c r="E500" s="6">
        <v>0.69990807771682695</v>
      </c>
      <c r="F500" s="6">
        <f>EXP(D500)</f>
        <v>0.54736773305883835</v>
      </c>
    </row>
    <row r="501" spans="1:6" x14ac:dyDescent="0.2">
      <c r="A501" s="5" t="s">
        <v>106</v>
      </c>
      <c r="B501" s="5" t="s">
        <v>501</v>
      </c>
      <c r="C501" s="6">
        <v>0.88706743717193604</v>
      </c>
      <c r="D501" s="6">
        <v>0.35070767998695401</v>
      </c>
      <c r="E501" s="6">
        <v>0.82423299551010099</v>
      </c>
      <c r="F501" s="6">
        <f>EXP(D501)</f>
        <v>1.4200721497236637</v>
      </c>
    </row>
    <row r="502" spans="1:6" x14ac:dyDescent="0.2">
      <c r="A502" s="5" t="s">
        <v>106</v>
      </c>
      <c r="B502" s="5" t="s">
        <v>534</v>
      </c>
      <c r="C502" s="6">
        <v>0.90264528989791903</v>
      </c>
      <c r="D502" s="6">
        <v>0.18013662099838301</v>
      </c>
      <c r="E502" s="6">
        <v>0.90096813440322898</v>
      </c>
      <c r="F502" s="6">
        <f>EXP(D502)</f>
        <v>1.1973809393269592</v>
      </c>
    </row>
    <row r="503" spans="1:6" x14ac:dyDescent="0.2">
      <c r="A503" s="5" t="s">
        <v>106</v>
      </c>
      <c r="B503" s="5" t="s">
        <v>40</v>
      </c>
      <c r="C503" s="6">
        <v>0.89662903547286998</v>
      </c>
      <c r="D503" s="6">
        <v>-2.9565315693616898E-2</v>
      </c>
      <c r="E503" s="6">
        <v>0.86794388294220004</v>
      </c>
      <c r="F503" s="6">
        <f>EXP(D503)</f>
        <v>0.97086746268848545</v>
      </c>
    </row>
    <row r="504" spans="1:6" x14ac:dyDescent="0.2">
      <c r="A504" s="5" t="s">
        <v>106</v>
      </c>
      <c r="B504" s="5" t="s">
        <v>111</v>
      </c>
      <c r="C504" s="6">
        <v>0.902804315090179</v>
      </c>
      <c r="D504" s="6">
        <v>0.27940711379051197</v>
      </c>
      <c r="E504" s="6">
        <v>0.95902651548385598</v>
      </c>
      <c r="F504" s="6">
        <f>EXP(D504)</f>
        <v>1.3223455794217525</v>
      </c>
    </row>
    <row r="505" spans="1:6" x14ac:dyDescent="0.2">
      <c r="A505" s="5" t="s">
        <v>106</v>
      </c>
      <c r="B505" s="5" t="s">
        <v>535</v>
      </c>
      <c r="C505" s="6">
        <v>0.89334869384765603</v>
      </c>
      <c r="D505" s="6">
        <v>0.61152911186218295</v>
      </c>
      <c r="E505" s="6">
        <v>0.84712892770767201</v>
      </c>
      <c r="F505" s="6">
        <f>EXP(D505)</f>
        <v>1.8432477769949482</v>
      </c>
    </row>
    <row r="506" spans="1:6" x14ac:dyDescent="0.2">
      <c r="A506" s="5" t="s">
        <v>106</v>
      </c>
      <c r="B506" s="5" t="s">
        <v>13</v>
      </c>
      <c r="C506" s="6">
        <v>0.915288627147675</v>
      </c>
      <c r="D506" s="6">
        <v>-0.34973403811454801</v>
      </c>
      <c r="E506" s="6">
        <v>0.94992196559905995</v>
      </c>
      <c r="F506" s="6">
        <f>EXP(D506)</f>
        <v>0.70487553481723153</v>
      </c>
    </row>
    <row r="507" spans="1:6" x14ac:dyDescent="0.2">
      <c r="A507" s="5" t="s">
        <v>106</v>
      </c>
      <c r="B507" s="5" t="s">
        <v>73</v>
      </c>
      <c r="C507" s="6">
        <v>0.90183430910110496</v>
      </c>
      <c r="D507" s="6">
        <v>1.4520013332366899</v>
      </c>
      <c r="E507" s="6">
        <v>0.70294028520584095</v>
      </c>
      <c r="F507" s="6">
        <f>EXP(D507)</f>
        <v>4.2716549712385188</v>
      </c>
    </row>
    <row r="508" spans="1:6" x14ac:dyDescent="0.2">
      <c r="A508" s="5" t="s">
        <v>106</v>
      </c>
      <c r="B508" s="5" t="s">
        <v>476</v>
      </c>
      <c r="C508" s="6">
        <v>0.90336334705352805</v>
      </c>
      <c r="D508" s="6">
        <v>0.476031303405762</v>
      </c>
      <c r="E508" s="6">
        <v>0.79006093740463301</v>
      </c>
      <c r="F508" s="6">
        <f>EXP(D508)</f>
        <v>1.6096734034294748</v>
      </c>
    </row>
    <row r="509" spans="1:6" x14ac:dyDescent="0.2">
      <c r="A509" s="5" t="s">
        <v>106</v>
      </c>
      <c r="B509" s="5" t="s">
        <v>508</v>
      </c>
      <c r="C509" s="6">
        <v>0.90319645404815696</v>
      </c>
      <c r="D509" s="6">
        <v>1.04108691215515</v>
      </c>
      <c r="E509" s="6">
        <v>0.771442890167236</v>
      </c>
      <c r="F509" s="6">
        <f>EXP(D509)</f>
        <v>2.8322937965070736</v>
      </c>
    </row>
    <row r="510" spans="1:6" x14ac:dyDescent="0.2">
      <c r="A510" s="5" t="s">
        <v>107</v>
      </c>
      <c r="B510" s="5" t="s">
        <v>533</v>
      </c>
      <c r="C510" s="6">
        <v>0.88265544176101696</v>
      </c>
      <c r="D510" s="6">
        <v>0.20425398647785201</v>
      </c>
      <c r="E510" s="6">
        <v>0.87060129642486594</v>
      </c>
      <c r="F510" s="6">
        <f>EXP(D510)</f>
        <v>1.2266096561620663</v>
      </c>
    </row>
    <row r="511" spans="1:6" x14ac:dyDescent="0.2">
      <c r="A511" s="5" t="s">
        <v>107</v>
      </c>
      <c r="B511" s="5" t="s">
        <v>534</v>
      </c>
      <c r="C511" s="6">
        <v>0.87646359205246005</v>
      </c>
      <c r="D511" s="6">
        <v>0.63896286487579401</v>
      </c>
      <c r="E511" s="6">
        <v>0.831778764724731</v>
      </c>
      <c r="F511" s="6">
        <f>EXP(D511)</f>
        <v>1.8945149919942463</v>
      </c>
    </row>
    <row r="512" spans="1:6" x14ac:dyDescent="0.2">
      <c r="A512" s="5" t="s">
        <v>107</v>
      </c>
      <c r="B512" s="5" t="s">
        <v>40</v>
      </c>
      <c r="C512" s="6">
        <v>0.87744873762130704</v>
      </c>
      <c r="D512" s="6">
        <v>0.57311487197875999</v>
      </c>
      <c r="E512" s="6">
        <v>0.87089729309081998</v>
      </c>
      <c r="F512" s="6">
        <f>EXP(D512)</f>
        <v>1.7737835640782429</v>
      </c>
    </row>
    <row r="513" spans="1:6" x14ac:dyDescent="0.2">
      <c r="A513" s="5" t="s">
        <v>107</v>
      </c>
      <c r="B513" s="5" t="s">
        <v>111</v>
      </c>
      <c r="C513" s="6">
        <v>0.88413840532302901</v>
      </c>
      <c r="D513" s="6">
        <v>6.2352329492568997E-2</v>
      </c>
      <c r="E513" s="6">
        <v>0.96419751644134499</v>
      </c>
      <c r="F513" s="6">
        <f>EXP(D513)</f>
        <v>1.0643372760868735</v>
      </c>
    </row>
    <row r="514" spans="1:6" x14ac:dyDescent="0.2">
      <c r="A514" s="5" t="s">
        <v>107</v>
      </c>
      <c r="B514" s="5" t="s">
        <v>116</v>
      </c>
      <c r="C514" s="6">
        <v>0.83636820316314697</v>
      </c>
      <c r="D514" s="6">
        <v>-0.47906678915023798</v>
      </c>
      <c r="E514" s="6">
        <v>0.186141148209572</v>
      </c>
      <c r="F514" s="6">
        <f>EXP(D514)</f>
        <v>0.619361116708673</v>
      </c>
    </row>
    <row r="515" spans="1:6" x14ac:dyDescent="0.2">
      <c r="A515" s="5" t="s">
        <v>107</v>
      </c>
      <c r="B515" s="5" t="s">
        <v>57</v>
      </c>
      <c r="C515" s="6">
        <v>0.86534339189529397</v>
      </c>
      <c r="D515" s="6">
        <v>1.1942877769470199</v>
      </c>
      <c r="E515" s="6">
        <v>0.84360241889953602</v>
      </c>
      <c r="F515" s="6">
        <f>EXP(D515)</f>
        <v>3.3012057381859115</v>
      </c>
    </row>
    <row r="516" spans="1:6" x14ac:dyDescent="0.2">
      <c r="A516" s="5" t="s">
        <v>107</v>
      </c>
      <c r="B516" s="5" t="s">
        <v>516</v>
      </c>
      <c r="C516" s="6">
        <v>0.86268150806427002</v>
      </c>
      <c r="D516" s="6">
        <v>-9.8348215222358704E-2</v>
      </c>
      <c r="E516" s="6">
        <v>0.63655263185501099</v>
      </c>
      <c r="F516" s="6">
        <f>EXP(D516)</f>
        <v>0.90633324976525043</v>
      </c>
    </row>
    <row r="517" spans="1:6" x14ac:dyDescent="0.2">
      <c r="A517" s="5" t="s">
        <v>107</v>
      </c>
      <c r="B517" s="5" t="s">
        <v>476</v>
      </c>
      <c r="C517" s="6">
        <v>0.86630499362945601</v>
      </c>
      <c r="D517" s="6">
        <v>0.79602569341659601</v>
      </c>
      <c r="E517" s="6">
        <v>0.78509438037872303</v>
      </c>
      <c r="F517" s="6">
        <f>EXP(D517)</f>
        <v>2.2167134996022844</v>
      </c>
    </row>
    <row r="518" spans="1:6" x14ac:dyDescent="0.2">
      <c r="A518" s="5" t="s">
        <v>107</v>
      </c>
      <c r="B518" s="5" t="s">
        <v>508</v>
      </c>
      <c r="C518" s="6">
        <v>0.87292367219924905</v>
      </c>
      <c r="D518" s="6">
        <v>0.518907070159912</v>
      </c>
      <c r="E518" s="6">
        <v>0.80801242589950595</v>
      </c>
      <c r="F518" s="6">
        <f>EXP(D518)</f>
        <v>1.6801903157101392</v>
      </c>
    </row>
    <row r="519" spans="1:6" x14ac:dyDescent="0.2">
      <c r="A519" s="5" t="s">
        <v>107</v>
      </c>
      <c r="B519" s="5" t="s">
        <v>453</v>
      </c>
      <c r="C519" s="6">
        <v>0.88920909166336104</v>
      </c>
      <c r="D519" s="6">
        <v>-1.93975865840912E-5</v>
      </c>
      <c r="E519" s="6">
        <v>0.88532984256744396</v>
      </c>
      <c r="F519" s="6">
        <f>EXP(D519)</f>
        <v>0.99998060260154786</v>
      </c>
    </row>
    <row r="520" spans="1:6" x14ac:dyDescent="0.2">
      <c r="A520" s="5" t="s">
        <v>110</v>
      </c>
      <c r="B520" s="5" t="s">
        <v>479</v>
      </c>
      <c r="C520" s="6">
        <v>0.88669252395629905</v>
      </c>
      <c r="D520" s="6">
        <v>1.7814956903457599</v>
      </c>
      <c r="E520" s="6">
        <v>0.62970548868179299</v>
      </c>
      <c r="F520" s="6">
        <f>EXP(D520)</f>
        <v>5.9387322837063818</v>
      </c>
    </row>
    <row r="521" spans="1:6" x14ac:dyDescent="0.2">
      <c r="A521" s="5" t="s">
        <v>110</v>
      </c>
      <c r="B521" s="5" t="s">
        <v>533</v>
      </c>
      <c r="C521" s="6">
        <v>0.89660519361496005</v>
      </c>
      <c r="D521" s="6">
        <v>-1.2549804449081401</v>
      </c>
      <c r="E521" s="6">
        <v>0.89663571119308505</v>
      </c>
      <c r="F521" s="6">
        <f>EXP(D521)</f>
        <v>0.28508142296335975</v>
      </c>
    </row>
    <row r="522" spans="1:6" x14ac:dyDescent="0.2">
      <c r="A522" s="5" t="s">
        <v>110</v>
      </c>
      <c r="B522" s="5" t="s">
        <v>19</v>
      </c>
      <c r="C522" s="6">
        <v>0.89714014530181896</v>
      </c>
      <c r="D522" s="6">
        <v>1.31333303451538</v>
      </c>
      <c r="E522" s="6">
        <v>0.13306522369384799</v>
      </c>
      <c r="F522" s="6">
        <f>EXP(D522)</f>
        <v>3.7185471261660745</v>
      </c>
    </row>
    <row r="523" spans="1:6" x14ac:dyDescent="0.2">
      <c r="A523" s="5" t="s">
        <v>110</v>
      </c>
      <c r="B523" s="5" t="s">
        <v>501</v>
      </c>
      <c r="C523" s="6">
        <v>0.88624250888824496</v>
      </c>
      <c r="D523" s="6">
        <v>1.1676287651062001</v>
      </c>
      <c r="E523" s="6">
        <v>0.79992735385894798</v>
      </c>
      <c r="F523" s="6">
        <f>EXP(D523)</f>
        <v>3.2143615882384435</v>
      </c>
    </row>
    <row r="524" spans="1:6" x14ac:dyDescent="0.2">
      <c r="A524" s="5" t="s">
        <v>110</v>
      </c>
      <c r="B524" s="5" t="s">
        <v>20</v>
      </c>
      <c r="C524" s="6">
        <v>0.888410985469818</v>
      </c>
      <c r="D524" s="6">
        <v>-0.102603487670422</v>
      </c>
      <c r="E524" s="6">
        <v>0.94362813234329201</v>
      </c>
      <c r="F524" s="6">
        <f>EXP(D524)</f>
        <v>0.90248474887583674</v>
      </c>
    </row>
    <row r="525" spans="1:6" x14ac:dyDescent="0.2">
      <c r="A525" s="5" t="s">
        <v>110</v>
      </c>
      <c r="B525" s="5" t="s">
        <v>108</v>
      </c>
      <c r="C525" s="6">
        <v>0.90179347991943404</v>
      </c>
      <c r="D525" s="6">
        <v>-0.37393456697464</v>
      </c>
      <c r="E525" s="6">
        <v>0.98914110660553001</v>
      </c>
      <c r="F525" s="6">
        <f>EXP(D525)</f>
        <v>0.68802192971251031</v>
      </c>
    </row>
    <row r="526" spans="1:6" x14ac:dyDescent="0.2">
      <c r="A526" s="5" t="s">
        <v>110</v>
      </c>
      <c r="B526" s="5" t="s">
        <v>449</v>
      </c>
      <c r="C526" s="6">
        <v>0.89941781759262096</v>
      </c>
      <c r="D526" s="6">
        <v>1.05594658851624</v>
      </c>
      <c r="E526" s="6">
        <v>0.58476197719573997</v>
      </c>
      <c r="F526" s="6">
        <f>EXP(D526)</f>
        <v>2.8746950196947285</v>
      </c>
    </row>
    <row r="527" spans="1:6" x14ac:dyDescent="0.2">
      <c r="A527" s="5" t="s">
        <v>110</v>
      </c>
      <c r="B527" s="5" t="s">
        <v>73</v>
      </c>
      <c r="C527" s="6">
        <v>0.89641112089157104</v>
      </c>
      <c r="D527" s="6">
        <v>2.00886058807373</v>
      </c>
      <c r="E527" s="6">
        <v>0.60991066694259599</v>
      </c>
      <c r="F527" s="6">
        <f>EXP(D527)</f>
        <v>7.454818397346088</v>
      </c>
    </row>
    <row r="528" spans="1:6" x14ac:dyDescent="0.2">
      <c r="A528" s="5" t="s">
        <v>110</v>
      </c>
      <c r="B528" s="5" t="s">
        <v>480</v>
      </c>
      <c r="C528" s="6">
        <v>0.89163094758987405</v>
      </c>
      <c r="D528" s="6">
        <v>1.47982597351074</v>
      </c>
      <c r="E528" s="6">
        <v>0.73650133609771695</v>
      </c>
      <c r="F528" s="6">
        <f>EXP(D528)</f>
        <v>4.392181258521199</v>
      </c>
    </row>
    <row r="529" spans="1:6" x14ac:dyDescent="0.2">
      <c r="A529" s="5" t="s">
        <v>110</v>
      </c>
      <c r="B529" s="5" t="s">
        <v>476</v>
      </c>
      <c r="C529" s="6">
        <v>0.89299458265304599</v>
      </c>
      <c r="D529" s="6">
        <v>-1.0093632936477701</v>
      </c>
      <c r="E529" s="6">
        <v>0.94169658422470104</v>
      </c>
      <c r="F529" s="6">
        <f>EXP(D529)</f>
        <v>0.36445095395136301</v>
      </c>
    </row>
    <row r="530" spans="1:6" x14ac:dyDescent="0.2">
      <c r="A530" s="5" t="s">
        <v>110</v>
      </c>
      <c r="B530" s="5" t="s">
        <v>536</v>
      </c>
      <c r="C530" s="6">
        <v>0.89839214086532604</v>
      </c>
      <c r="D530" s="6">
        <v>0.50015157461166404</v>
      </c>
      <c r="E530" s="6">
        <v>0.36885550618171697</v>
      </c>
      <c r="F530" s="6">
        <f>EXP(D530)</f>
        <v>1.6489711939270062</v>
      </c>
    </row>
    <row r="531" spans="1:6" x14ac:dyDescent="0.2">
      <c r="A531" s="5" t="s">
        <v>110</v>
      </c>
      <c r="B531" s="5" t="s">
        <v>508</v>
      </c>
      <c r="C531" s="6">
        <v>0.90001928806304898</v>
      </c>
      <c r="D531" s="6">
        <v>-2.3511227220296901E-2</v>
      </c>
      <c r="E531" s="6">
        <v>0.86540454626083396</v>
      </c>
      <c r="F531" s="6">
        <f>EXP(D531)</f>
        <v>0.97676300827381113</v>
      </c>
    </row>
    <row r="532" spans="1:6" x14ac:dyDescent="0.2">
      <c r="A532" s="5" t="s">
        <v>110</v>
      </c>
      <c r="B532" s="5" t="s">
        <v>477</v>
      </c>
      <c r="C532" s="6">
        <v>0.89351969957351696</v>
      </c>
      <c r="D532" s="6">
        <v>-0.41542291641235402</v>
      </c>
      <c r="E532" s="6">
        <v>0.760081768035889</v>
      </c>
      <c r="F532" s="6">
        <f>EXP(D532)</f>
        <v>0.66006107100787759</v>
      </c>
    </row>
    <row r="533" spans="1:6" x14ac:dyDescent="0.2">
      <c r="A533" s="5" t="s">
        <v>112</v>
      </c>
      <c r="B533" s="5" t="s">
        <v>439</v>
      </c>
      <c r="C533" s="6">
        <v>0.83784133195877097</v>
      </c>
      <c r="D533" s="6">
        <v>-0.98739176988601696</v>
      </c>
      <c r="E533" s="6">
        <v>0.13771431148052199</v>
      </c>
      <c r="F533" s="6">
        <f>EXP(D533)</f>
        <v>0.37254711352968978</v>
      </c>
    </row>
    <row r="534" spans="1:6" x14ac:dyDescent="0.2">
      <c r="A534" s="5" t="s">
        <v>537</v>
      </c>
      <c r="B534" s="5" t="s">
        <v>538</v>
      </c>
      <c r="C534" s="6">
        <v>0.53013300895690896</v>
      </c>
      <c r="D534" s="6">
        <v>0.94866317510604903</v>
      </c>
      <c r="E534" s="6">
        <v>0.16967672109603901</v>
      </c>
      <c r="F534" s="6">
        <f>EXP(D534)</f>
        <v>2.5822553277074229</v>
      </c>
    </row>
    <row r="535" spans="1:6" x14ac:dyDescent="0.2">
      <c r="A535" s="5" t="s">
        <v>537</v>
      </c>
      <c r="B535" s="5" t="s">
        <v>539</v>
      </c>
      <c r="C535" s="6">
        <v>0.51700711250305198</v>
      </c>
      <c r="D535" s="6">
        <v>-0.61945438385009799</v>
      </c>
      <c r="E535" s="6">
        <v>0.71459257602691695</v>
      </c>
      <c r="F535" s="6">
        <f>EXP(D535)</f>
        <v>0.53823802885435901</v>
      </c>
    </row>
    <row r="536" spans="1:6" x14ac:dyDescent="0.2">
      <c r="A536" s="5" t="s">
        <v>537</v>
      </c>
      <c r="B536" s="5" t="s">
        <v>528</v>
      </c>
      <c r="C536" s="6">
        <v>0.56467396020889304</v>
      </c>
      <c r="D536" s="6">
        <v>1.4931935071945199</v>
      </c>
      <c r="E536" s="6">
        <v>0.235631883144379</v>
      </c>
      <c r="F536" s="6">
        <f>EXP(D536)</f>
        <v>4.4512880654040199</v>
      </c>
    </row>
    <row r="537" spans="1:6" x14ac:dyDescent="0.2">
      <c r="A537" s="5" t="s">
        <v>537</v>
      </c>
      <c r="B537" s="5" t="s">
        <v>540</v>
      </c>
      <c r="C537" s="6">
        <v>0.549824059009552</v>
      </c>
      <c r="D537" s="6">
        <v>1.17721199989319</v>
      </c>
      <c r="E537" s="6">
        <v>0.151533752679825</v>
      </c>
      <c r="F537" s="6">
        <f>EXP(D537)</f>
        <v>3.2453136435535481</v>
      </c>
    </row>
    <row r="538" spans="1:6" x14ac:dyDescent="0.2">
      <c r="A538" s="5" t="s">
        <v>537</v>
      </c>
      <c r="B538" s="5" t="s">
        <v>541</v>
      </c>
      <c r="C538" s="6">
        <v>0.55206215381622303</v>
      </c>
      <c r="D538" s="6">
        <v>1.5009003877639799</v>
      </c>
      <c r="E538" s="6">
        <v>0.37724649906158497</v>
      </c>
      <c r="F538" s="6">
        <f>EXP(D538)</f>
        <v>4.4857261455327766</v>
      </c>
    </row>
    <row r="539" spans="1:6" x14ac:dyDescent="0.2">
      <c r="A539" s="5" t="s">
        <v>537</v>
      </c>
      <c r="B539" s="5" t="s">
        <v>542</v>
      </c>
      <c r="C539" s="6">
        <v>0.57594072818756104</v>
      </c>
      <c r="D539" s="6">
        <v>1.25880599021912</v>
      </c>
      <c r="E539" s="6">
        <v>0.204812526702881</v>
      </c>
      <c r="F539" s="6">
        <f>EXP(D539)</f>
        <v>3.5212146116529146</v>
      </c>
    </row>
    <row r="540" spans="1:6" x14ac:dyDescent="0.2">
      <c r="A540" s="5" t="s">
        <v>537</v>
      </c>
      <c r="B540" s="5" t="s">
        <v>543</v>
      </c>
      <c r="C540" s="6">
        <v>0.55502891540527299</v>
      </c>
      <c r="D540" s="6">
        <v>0.91724777221679699</v>
      </c>
      <c r="E540" s="6">
        <v>0.13431799411773701</v>
      </c>
      <c r="F540" s="6">
        <f>EXP(D540)</f>
        <v>2.5023937461297048</v>
      </c>
    </row>
    <row r="542" spans="1:6" x14ac:dyDescent="0.2">
      <c r="A542" s="5" t="s">
        <v>774</v>
      </c>
      <c r="C542" s="21">
        <f>AVERAGE(C2:C540)</f>
        <v>0.77707061143885736</v>
      </c>
    </row>
    <row r="543" spans="1:6" x14ac:dyDescent="0.2">
      <c r="C543">
        <f>STDEV(C2:C540)</f>
        <v>8.6339041801011318E-2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D4B2-98DE-0645-9F26-3575228C1828}">
  <dimension ref="A1:J543"/>
  <sheetViews>
    <sheetView workbookViewId="0">
      <selection activeCell="D544" sqref="D544"/>
    </sheetView>
  </sheetViews>
  <sheetFormatPr baseColWidth="10" defaultRowHeight="16" x14ac:dyDescent="0.2"/>
  <sheetData>
    <row r="1" spans="1:10" x14ac:dyDescent="0.2">
      <c r="A1" t="s">
        <v>600</v>
      </c>
      <c r="B1" t="s">
        <v>601</v>
      </c>
      <c r="C1" t="s">
        <v>602</v>
      </c>
      <c r="D1" t="s">
        <v>603</v>
      </c>
      <c r="E1" t="s">
        <v>604</v>
      </c>
      <c r="F1" t="s">
        <v>605</v>
      </c>
      <c r="G1" t="s">
        <v>606</v>
      </c>
      <c r="H1" t="s">
        <v>607</v>
      </c>
      <c r="I1" t="s">
        <v>608</v>
      </c>
      <c r="J1" t="s">
        <v>778</v>
      </c>
    </row>
    <row r="2" spans="1:10" x14ac:dyDescent="0.2">
      <c r="A2" t="s">
        <v>416</v>
      </c>
      <c r="B2" t="s">
        <v>609</v>
      </c>
      <c r="C2" s="17">
        <v>3.3043385843E-115</v>
      </c>
      <c r="D2">
        <v>0.69744600000000001</v>
      </c>
      <c r="E2" t="s">
        <v>610</v>
      </c>
      <c r="F2">
        <v>0.10933147632312</v>
      </c>
      <c r="G2" t="s">
        <v>611</v>
      </c>
      <c r="H2">
        <v>134</v>
      </c>
      <c r="I2">
        <v>7</v>
      </c>
      <c r="J2">
        <f>-LOG10(C2)</f>
        <v>114.48091545839787</v>
      </c>
    </row>
    <row r="3" spans="1:10" x14ac:dyDescent="0.2">
      <c r="A3" t="s">
        <v>418</v>
      </c>
      <c r="B3" t="s">
        <v>609</v>
      </c>
      <c r="C3" s="17">
        <v>2.13723982893999E-53</v>
      </c>
      <c r="D3">
        <v>0.66307300000000002</v>
      </c>
      <c r="E3" t="s">
        <v>610</v>
      </c>
      <c r="F3">
        <v>0.81615598885793905</v>
      </c>
      <c r="G3" t="s">
        <v>611</v>
      </c>
      <c r="H3">
        <v>134</v>
      </c>
      <c r="I3">
        <v>32</v>
      </c>
      <c r="J3">
        <f t="shared" ref="J3:J66" si="0">-LOG10(C3)</f>
        <v>52.670146741036163</v>
      </c>
    </row>
    <row r="4" spans="1:10" x14ac:dyDescent="0.2">
      <c r="A4" t="s">
        <v>419</v>
      </c>
      <c r="B4" t="s">
        <v>609</v>
      </c>
      <c r="C4" s="17">
        <v>6.8006523001800001E-86</v>
      </c>
      <c r="D4">
        <v>0.706044</v>
      </c>
      <c r="E4" t="s">
        <v>610</v>
      </c>
      <c r="F4">
        <v>0.81615598885793905</v>
      </c>
      <c r="G4" t="s">
        <v>611</v>
      </c>
      <c r="H4">
        <v>134</v>
      </c>
      <c r="I4">
        <v>10</v>
      </c>
      <c r="J4">
        <f t="shared" si="0"/>
        <v>85.167449428943456</v>
      </c>
    </row>
    <row r="5" spans="1:10" x14ac:dyDescent="0.2">
      <c r="A5" t="s">
        <v>545</v>
      </c>
      <c r="B5" t="s">
        <v>609</v>
      </c>
      <c r="C5" s="17">
        <v>4.1470502920599997E-8</v>
      </c>
      <c r="D5">
        <v>0.358209</v>
      </c>
      <c r="E5" t="s">
        <v>610</v>
      </c>
      <c r="F5">
        <v>0.84815618221258104</v>
      </c>
      <c r="G5" t="s">
        <v>612</v>
      </c>
      <c r="H5">
        <v>134</v>
      </c>
      <c r="I5">
        <v>1903</v>
      </c>
      <c r="J5">
        <f t="shared" si="0"/>
        <v>7.3822606978330638</v>
      </c>
    </row>
    <row r="6" spans="1:10" x14ac:dyDescent="0.2">
      <c r="A6" t="s">
        <v>420</v>
      </c>
      <c r="B6" t="s">
        <v>609</v>
      </c>
      <c r="C6" s="17">
        <v>1.08661387443E-7</v>
      </c>
      <c r="D6">
        <v>0.63295900000000005</v>
      </c>
      <c r="E6" t="s">
        <v>610</v>
      </c>
      <c r="F6">
        <v>0.81615598885793905</v>
      </c>
      <c r="G6" t="s">
        <v>611</v>
      </c>
      <c r="H6">
        <v>134</v>
      </c>
      <c r="I6">
        <v>838</v>
      </c>
      <c r="J6">
        <f t="shared" si="0"/>
        <v>6.9639247539775058</v>
      </c>
    </row>
    <row r="7" spans="1:10" x14ac:dyDescent="0.2">
      <c r="A7" t="s">
        <v>421</v>
      </c>
      <c r="B7" t="s">
        <v>609</v>
      </c>
      <c r="C7" s="17">
        <v>4.3214291603699998E-18</v>
      </c>
      <c r="D7">
        <v>0.57635499999999995</v>
      </c>
      <c r="E7" t="s">
        <v>610</v>
      </c>
      <c r="F7">
        <v>0.81615598885793905</v>
      </c>
      <c r="G7" t="s">
        <v>611</v>
      </c>
      <c r="H7">
        <v>134</v>
      </c>
      <c r="I7">
        <v>123</v>
      </c>
      <c r="J7">
        <f t="shared" si="0"/>
        <v>17.364372601838397</v>
      </c>
    </row>
    <row r="8" spans="1:10" x14ac:dyDescent="0.2">
      <c r="A8" t="s">
        <v>422</v>
      </c>
      <c r="B8" t="s">
        <v>609</v>
      </c>
      <c r="C8" s="17">
        <v>1.1334843925E-86</v>
      </c>
      <c r="D8">
        <v>0.87341800000000003</v>
      </c>
      <c r="E8" t="s">
        <v>610</v>
      </c>
      <c r="F8">
        <v>0.81615598885793905</v>
      </c>
      <c r="G8" t="s">
        <v>611</v>
      </c>
      <c r="H8">
        <v>134</v>
      </c>
      <c r="I8">
        <v>55</v>
      </c>
      <c r="J8">
        <f t="shared" si="0"/>
        <v>85.945584455509049</v>
      </c>
    </row>
    <row r="9" spans="1:10" x14ac:dyDescent="0.2">
      <c r="A9" t="s">
        <v>423</v>
      </c>
      <c r="B9" t="s">
        <v>609</v>
      </c>
      <c r="C9" s="17">
        <v>1.31885341717E-42</v>
      </c>
      <c r="D9">
        <v>0.41509400000000002</v>
      </c>
      <c r="E9" t="s">
        <v>610</v>
      </c>
      <c r="F9">
        <v>0.81615598885793905</v>
      </c>
      <c r="G9" t="s">
        <v>611</v>
      </c>
      <c r="H9">
        <v>134</v>
      </c>
      <c r="I9">
        <v>62</v>
      </c>
      <c r="J9">
        <f t="shared" si="0"/>
        <v>41.879803471058487</v>
      </c>
    </row>
    <row r="10" spans="1:10" x14ac:dyDescent="0.2">
      <c r="A10" t="s">
        <v>424</v>
      </c>
      <c r="B10" t="s">
        <v>609</v>
      </c>
      <c r="C10" s="17">
        <v>3.5425177900000001E-20</v>
      </c>
      <c r="D10">
        <v>0.598916</v>
      </c>
      <c r="E10" t="s">
        <v>610</v>
      </c>
      <c r="F10">
        <v>0.81615598885793905</v>
      </c>
      <c r="G10" t="s">
        <v>611</v>
      </c>
      <c r="H10">
        <v>134</v>
      </c>
      <c r="I10">
        <v>91</v>
      </c>
      <c r="J10">
        <f t="shared" si="0"/>
        <v>19.450687960112418</v>
      </c>
    </row>
    <row r="11" spans="1:10" x14ac:dyDescent="0.2">
      <c r="A11" t="s">
        <v>546</v>
      </c>
      <c r="B11" t="s">
        <v>613</v>
      </c>
      <c r="C11" s="17">
        <v>5.5300265410200002E-6</v>
      </c>
      <c r="D11">
        <v>0.53496500000000002</v>
      </c>
      <c r="E11" t="s">
        <v>610</v>
      </c>
      <c r="F11">
        <v>0.85714285714285698</v>
      </c>
      <c r="G11" t="s">
        <v>614</v>
      </c>
      <c r="H11">
        <v>135</v>
      </c>
      <c r="I11">
        <v>2152</v>
      </c>
      <c r="J11">
        <f t="shared" si="0"/>
        <v>5.2572727843208229</v>
      </c>
    </row>
    <row r="12" spans="1:10" x14ac:dyDescent="0.2">
      <c r="A12" t="s">
        <v>416</v>
      </c>
      <c r="B12" t="s">
        <v>613</v>
      </c>
      <c r="C12" s="17">
        <v>4.8309472799700001E-62</v>
      </c>
      <c r="D12">
        <v>0.69364199999999998</v>
      </c>
      <c r="E12" t="s">
        <v>610</v>
      </c>
      <c r="F12">
        <v>0.14225941422594099</v>
      </c>
      <c r="G12" t="s">
        <v>615</v>
      </c>
      <c r="H12">
        <v>135</v>
      </c>
      <c r="I12">
        <v>230</v>
      </c>
      <c r="J12">
        <f t="shared" si="0"/>
        <v>61.315967701934518</v>
      </c>
    </row>
    <row r="13" spans="1:10" x14ac:dyDescent="0.2">
      <c r="A13" t="s">
        <v>418</v>
      </c>
      <c r="B13" t="s">
        <v>613</v>
      </c>
      <c r="C13" s="17">
        <v>4.5789297949699997E-36</v>
      </c>
      <c r="D13">
        <v>0.655914</v>
      </c>
      <c r="E13" t="s">
        <v>610</v>
      </c>
      <c r="F13">
        <v>0.69246861924686198</v>
      </c>
      <c r="G13" t="s">
        <v>615</v>
      </c>
      <c r="H13">
        <v>135</v>
      </c>
      <c r="I13">
        <v>58</v>
      </c>
      <c r="J13">
        <f t="shared" si="0"/>
        <v>35.339236015107566</v>
      </c>
    </row>
    <row r="14" spans="1:10" x14ac:dyDescent="0.2">
      <c r="A14" t="s">
        <v>419</v>
      </c>
      <c r="B14" t="s">
        <v>613</v>
      </c>
      <c r="C14" s="17">
        <v>6.7061518144399998E-58</v>
      </c>
      <c r="D14">
        <v>0.70557000000000003</v>
      </c>
      <c r="E14" t="s">
        <v>610</v>
      </c>
      <c r="F14">
        <v>0.69246861924686198</v>
      </c>
      <c r="G14" t="s">
        <v>615</v>
      </c>
      <c r="H14">
        <v>135</v>
      </c>
      <c r="I14">
        <v>22</v>
      </c>
      <c r="J14">
        <f t="shared" si="0"/>
        <v>57.173526619200182</v>
      </c>
    </row>
    <row r="15" spans="1:10" x14ac:dyDescent="0.2">
      <c r="A15" t="s">
        <v>420</v>
      </c>
      <c r="B15" t="s">
        <v>613</v>
      </c>
      <c r="C15" s="17">
        <v>2.1674478878400001E-9</v>
      </c>
      <c r="D15">
        <v>0.64615400000000001</v>
      </c>
      <c r="E15" t="s">
        <v>610</v>
      </c>
      <c r="F15">
        <v>0.69246861924686198</v>
      </c>
      <c r="G15" t="s">
        <v>615</v>
      </c>
      <c r="H15">
        <v>135</v>
      </c>
      <c r="I15">
        <v>1033</v>
      </c>
      <c r="J15">
        <f t="shared" si="0"/>
        <v>8.6640513355106208</v>
      </c>
    </row>
    <row r="16" spans="1:10" x14ac:dyDescent="0.2">
      <c r="A16" t="s">
        <v>421</v>
      </c>
      <c r="B16" t="s">
        <v>613</v>
      </c>
      <c r="C16" s="17">
        <v>2.7348518443500001E-17</v>
      </c>
      <c r="D16">
        <v>0.570025</v>
      </c>
      <c r="E16" t="s">
        <v>610</v>
      </c>
      <c r="F16">
        <v>0.69246861924686198</v>
      </c>
      <c r="G16" t="s">
        <v>615</v>
      </c>
      <c r="H16">
        <v>135</v>
      </c>
      <c r="I16">
        <v>170</v>
      </c>
      <c r="J16">
        <f t="shared" si="0"/>
        <v>16.563066195811011</v>
      </c>
    </row>
    <row r="17" spans="1:10" x14ac:dyDescent="0.2">
      <c r="A17" t="s">
        <v>422</v>
      </c>
      <c r="B17" t="s">
        <v>613</v>
      </c>
      <c r="C17" s="17">
        <v>2.31798876029E-42</v>
      </c>
      <c r="D17">
        <v>0.706897</v>
      </c>
      <c r="E17" t="s">
        <v>610</v>
      </c>
      <c r="F17">
        <v>0.69246861924686198</v>
      </c>
      <c r="G17" t="s">
        <v>615</v>
      </c>
      <c r="H17">
        <v>135</v>
      </c>
      <c r="I17">
        <v>68</v>
      </c>
      <c r="J17">
        <f t="shared" si="0"/>
        <v>41.634888674220512</v>
      </c>
    </row>
    <row r="18" spans="1:10" x14ac:dyDescent="0.2">
      <c r="A18" t="s">
        <v>423</v>
      </c>
      <c r="B18" t="s">
        <v>613</v>
      </c>
      <c r="C18" s="17">
        <v>1.6986670143099999E-27</v>
      </c>
      <c r="D18">
        <v>0.42592600000000003</v>
      </c>
      <c r="E18" t="s">
        <v>610</v>
      </c>
      <c r="F18">
        <v>0.69246861924686198</v>
      </c>
      <c r="G18" t="s">
        <v>615</v>
      </c>
      <c r="H18">
        <v>135</v>
      </c>
      <c r="I18">
        <v>119</v>
      </c>
      <c r="J18">
        <f t="shared" si="0"/>
        <v>26.769891746511149</v>
      </c>
    </row>
    <row r="19" spans="1:10" x14ac:dyDescent="0.2">
      <c r="A19" t="s">
        <v>424</v>
      </c>
      <c r="B19" t="s">
        <v>613</v>
      </c>
      <c r="C19" s="17">
        <v>3.67174718539E-22</v>
      </c>
      <c r="D19">
        <v>0.59189199999999997</v>
      </c>
      <c r="E19" t="s">
        <v>610</v>
      </c>
      <c r="F19">
        <v>0.69246861924686198</v>
      </c>
      <c r="G19" t="s">
        <v>615</v>
      </c>
      <c r="H19">
        <v>135</v>
      </c>
      <c r="I19">
        <v>160</v>
      </c>
      <c r="J19">
        <f t="shared" si="0"/>
        <v>21.435127229368923</v>
      </c>
    </row>
    <row r="20" spans="1:10" x14ac:dyDescent="0.2">
      <c r="A20" t="s">
        <v>116</v>
      </c>
      <c r="B20" t="s">
        <v>616</v>
      </c>
      <c r="C20" s="17">
        <v>1.4449652585599999E-10</v>
      </c>
      <c r="D20">
        <v>0.81628400000000001</v>
      </c>
      <c r="E20" t="s">
        <v>610</v>
      </c>
      <c r="F20">
        <v>0.93333333333333302</v>
      </c>
      <c r="G20" t="s">
        <v>617</v>
      </c>
      <c r="H20">
        <v>148</v>
      </c>
      <c r="I20">
        <v>1661</v>
      </c>
      <c r="J20">
        <f t="shared" si="0"/>
        <v>9.8401425945663021</v>
      </c>
    </row>
    <row r="21" spans="1:10" x14ac:dyDescent="0.2">
      <c r="A21" t="s">
        <v>65</v>
      </c>
      <c r="B21" t="s">
        <v>616</v>
      </c>
      <c r="C21" s="17">
        <v>2.8899305171099998E-10</v>
      </c>
      <c r="D21">
        <v>0.36507899999999999</v>
      </c>
      <c r="E21" t="s">
        <v>610</v>
      </c>
      <c r="F21">
        <v>0.90303030303030296</v>
      </c>
      <c r="G21" t="s">
        <v>618</v>
      </c>
      <c r="H21">
        <v>148</v>
      </c>
      <c r="I21">
        <v>1699</v>
      </c>
      <c r="J21">
        <f t="shared" si="0"/>
        <v>9.5391125989038237</v>
      </c>
    </row>
    <row r="22" spans="1:10" x14ac:dyDescent="0.2">
      <c r="A22" t="s">
        <v>474</v>
      </c>
      <c r="B22" t="s">
        <v>616</v>
      </c>
      <c r="C22" s="17">
        <v>2.1188239347399999E-12</v>
      </c>
      <c r="D22">
        <v>0.6</v>
      </c>
      <c r="E22" t="s">
        <v>610</v>
      </c>
      <c r="F22">
        <v>0.90303030303030296</v>
      </c>
      <c r="G22" t="s">
        <v>618</v>
      </c>
      <c r="H22">
        <v>148</v>
      </c>
      <c r="I22">
        <v>1529</v>
      </c>
      <c r="J22">
        <f t="shared" si="0"/>
        <v>11.673905129814788</v>
      </c>
    </row>
    <row r="23" spans="1:10" x14ac:dyDescent="0.2">
      <c r="A23" t="s">
        <v>505</v>
      </c>
      <c r="B23" t="s">
        <v>616</v>
      </c>
      <c r="C23" s="17">
        <v>3.0509574455300002E-5</v>
      </c>
      <c r="D23">
        <v>0.72834600000000005</v>
      </c>
      <c r="E23" t="s">
        <v>610</v>
      </c>
      <c r="F23">
        <v>0.90303030303030296</v>
      </c>
      <c r="G23" t="s">
        <v>618</v>
      </c>
      <c r="H23">
        <v>148</v>
      </c>
      <c r="I23">
        <v>2236</v>
      </c>
      <c r="J23">
        <f t="shared" si="0"/>
        <v>4.5155638498142912</v>
      </c>
    </row>
    <row r="24" spans="1:10" x14ac:dyDescent="0.2">
      <c r="A24" t="s">
        <v>8</v>
      </c>
      <c r="B24" t="s">
        <v>619</v>
      </c>
      <c r="C24" s="17">
        <v>6.5711445691900005E-11</v>
      </c>
      <c r="D24">
        <v>0.5</v>
      </c>
      <c r="E24" t="s">
        <v>610</v>
      </c>
      <c r="F24">
        <v>0.91818181818181799</v>
      </c>
      <c r="G24" t="s">
        <v>620</v>
      </c>
      <c r="H24">
        <v>150</v>
      </c>
      <c r="I24">
        <v>1651</v>
      </c>
      <c r="J24">
        <f t="shared" si="0"/>
        <v>10.182358977960785</v>
      </c>
    </row>
    <row r="25" spans="1:10" x14ac:dyDescent="0.2">
      <c r="A25" t="s">
        <v>72</v>
      </c>
      <c r="B25" t="s">
        <v>619</v>
      </c>
      <c r="C25" s="17">
        <v>4.76838535324E-9</v>
      </c>
      <c r="D25">
        <v>0.59235700000000002</v>
      </c>
      <c r="E25" t="s">
        <v>610</v>
      </c>
      <c r="F25">
        <v>0.87555555555555598</v>
      </c>
      <c r="G25" t="s">
        <v>621</v>
      </c>
      <c r="H25">
        <v>150</v>
      </c>
      <c r="I25">
        <v>1805</v>
      </c>
      <c r="J25">
        <f t="shared" si="0"/>
        <v>8.3216286546891425</v>
      </c>
    </row>
    <row r="26" spans="1:10" x14ac:dyDescent="0.2">
      <c r="A26" t="s">
        <v>116</v>
      </c>
      <c r="B26" t="s">
        <v>619</v>
      </c>
      <c r="C26" s="17">
        <v>2.3019887466199999E-31</v>
      </c>
      <c r="D26">
        <v>0.82424200000000003</v>
      </c>
      <c r="E26" t="s">
        <v>610</v>
      </c>
      <c r="F26">
        <v>0.89948453608247403</v>
      </c>
      <c r="G26" t="s">
        <v>622</v>
      </c>
      <c r="H26">
        <v>150</v>
      </c>
      <c r="I26">
        <v>199</v>
      </c>
      <c r="J26">
        <f t="shared" si="0"/>
        <v>30.637896803769991</v>
      </c>
    </row>
    <row r="27" spans="1:10" x14ac:dyDescent="0.2">
      <c r="A27" t="s">
        <v>426</v>
      </c>
      <c r="B27" t="s">
        <v>619</v>
      </c>
      <c r="C27" s="17">
        <v>5.4350923235399997E-6</v>
      </c>
      <c r="D27">
        <v>0.81300799999999995</v>
      </c>
      <c r="E27" t="s">
        <v>610</v>
      </c>
      <c r="F27">
        <v>0.89948453608247403</v>
      </c>
      <c r="G27" t="s">
        <v>622</v>
      </c>
      <c r="H27">
        <v>150</v>
      </c>
      <c r="I27">
        <v>997</v>
      </c>
      <c r="J27">
        <f t="shared" si="0"/>
        <v>5.2647930743443059</v>
      </c>
    </row>
    <row r="28" spans="1:10" x14ac:dyDescent="0.2">
      <c r="A28" t="s">
        <v>12</v>
      </c>
      <c r="B28" t="s">
        <v>619</v>
      </c>
      <c r="C28" s="17">
        <v>1.3582673430399999E-8</v>
      </c>
      <c r="D28">
        <v>0.45283000000000001</v>
      </c>
      <c r="E28" t="s">
        <v>610</v>
      </c>
      <c r="F28">
        <v>0.91818181818181799</v>
      </c>
      <c r="G28" t="s">
        <v>620</v>
      </c>
      <c r="H28">
        <v>150</v>
      </c>
      <c r="I28">
        <v>1853</v>
      </c>
      <c r="J28">
        <f t="shared" si="0"/>
        <v>7.8670147409686493</v>
      </c>
    </row>
    <row r="29" spans="1:10" x14ac:dyDescent="0.2">
      <c r="A29" t="s">
        <v>73</v>
      </c>
      <c r="B29" t="s">
        <v>619</v>
      </c>
      <c r="C29" s="17">
        <v>1.23793063631E-5</v>
      </c>
      <c r="D29">
        <v>0.84905699999999995</v>
      </c>
      <c r="E29" t="s">
        <v>610</v>
      </c>
      <c r="F29">
        <v>0.89948453608247403</v>
      </c>
      <c r="G29" t="s">
        <v>622</v>
      </c>
      <c r="H29">
        <v>150</v>
      </c>
      <c r="I29">
        <v>970</v>
      </c>
      <c r="J29">
        <f t="shared" si="0"/>
        <v>4.9073036890087574</v>
      </c>
    </row>
    <row r="30" spans="1:10" x14ac:dyDescent="0.2">
      <c r="A30" t="s">
        <v>475</v>
      </c>
      <c r="B30" t="s">
        <v>619</v>
      </c>
      <c r="C30" s="17">
        <v>4.3348957756699996E-9</v>
      </c>
      <c r="D30">
        <v>0.54852299999999998</v>
      </c>
      <c r="E30" t="s">
        <v>610</v>
      </c>
      <c r="F30">
        <v>0.87555555555555598</v>
      </c>
      <c r="G30" t="s">
        <v>621</v>
      </c>
      <c r="H30">
        <v>150</v>
      </c>
      <c r="I30">
        <v>1800</v>
      </c>
      <c r="J30">
        <f t="shared" si="0"/>
        <v>8.3630213398476414</v>
      </c>
    </row>
    <row r="31" spans="1:10" x14ac:dyDescent="0.2">
      <c r="A31" t="s">
        <v>15</v>
      </c>
      <c r="B31" t="s">
        <v>619</v>
      </c>
      <c r="C31" s="17">
        <v>5.0651812863499997E-30</v>
      </c>
      <c r="D31">
        <v>0.78671999999999997</v>
      </c>
      <c r="E31" t="s">
        <v>610</v>
      </c>
      <c r="F31">
        <v>0.89948453608247403</v>
      </c>
      <c r="G31" t="s">
        <v>622</v>
      </c>
      <c r="H31">
        <v>150</v>
      </c>
      <c r="I31">
        <v>211</v>
      </c>
      <c r="J31">
        <f t="shared" si="0"/>
        <v>29.295405006324923</v>
      </c>
    </row>
    <row r="32" spans="1:10" x14ac:dyDescent="0.2">
      <c r="A32" t="s">
        <v>16</v>
      </c>
      <c r="B32" t="s">
        <v>619</v>
      </c>
      <c r="C32" s="17">
        <v>1.82131075989E-30</v>
      </c>
      <c r="D32">
        <v>0.80473399999999995</v>
      </c>
      <c r="E32" t="s">
        <v>610</v>
      </c>
      <c r="F32">
        <v>0.89948453608247403</v>
      </c>
      <c r="G32" t="s">
        <v>622</v>
      </c>
      <c r="H32">
        <v>150</v>
      </c>
      <c r="I32">
        <v>208</v>
      </c>
      <c r="J32">
        <f t="shared" si="0"/>
        <v>29.739615946686722</v>
      </c>
    </row>
    <row r="33" spans="1:10" x14ac:dyDescent="0.2">
      <c r="C33" s="17"/>
    </row>
    <row r="34" spans="1:10" x14ac:dyDescent="0.2">
      <c r="A34" t="s">
        <v>428</v>
      </c>
      <c r="B34" t="s">
        <v>619</v>
      </c>
      <c r="C34" s="17">
        <v>5.5074017562800001E-17</v>
      </c>
      <c r="D34">
        <v>0.73228300000000002</v>
      </c>
      <c r="E34" t="s">
        <v>610</v>
      </c>
      <c r="F34">
        <v>0.87555555555555598</v>
      </c>
      <c r="G34" t="s">
        <v>621</v>
      </c>
      <c r="H34">
        <v>150</v>
      </c>
      <c r="I34">
        <v>1220</v>
      </c>
      <c r="J34">
        <f t="shared" si="0"/>
        <v>16.25905324126499</v>
      </c>
    </row>
    <row r="35" spans="1:10" x14ac:dyDescent="0.2">
      <c r="A35" t="s">
        <v>196</v>
      </c>
      <c r="B35" t="s">
        <v>619</v>
      </c>
      <c r="C35" s="17">
        <v>6.4318149092399996E-5</v>
      </c>
      <c r="D35">
        <v>0.66489399999999999</v>
      </c>
      <c r="E35" t="s">
        <v>610</v>
      </c>
      <c r="F35">
        <v>0.87555555555555598</v>
      </c>
      <c r="G35" t="s">
        <v>621</v>
      </c>
      <c r="H35">
        <v>150</v>
      </c>
      <c r="I35">
        <v>2280</v>
      </c>
      <c r="J35">
        <f t="shared" si="0"/>
        <v>4.1916664619356512</v>
      </c>
    </row>
    <row r="36" spans="1:10" x14ac:dyDescent="0.2">
      <c r="A36" t="s">
        <v>17</v>
      </c>
      <c r="B36" t="s">
        <v>619</v>
      </c>
      <c r="C36" s="17">
        <v>6.2356981855500001E-19</v>
      </c>
      <c r="D36">
        <v>0.68778300000000003</v>
      </c>
      <c r="E36" t="s">
        <v>610</v>
      </c>
      <c r="F36">
        <v>0.91818181818181799</v>
      </c>
      <c r="G36" t="s">
        <v>620</v>
      </c>
      <c r="H36">
        <v>150</v>
      </c>
      <c r="I36">
        <v>1090</v>
      </c>
      <c r="J36">
        <f t="shared" si="0"/>
        <v>18.205114913291126</v>
      </c>
    </row>
    <row r="37" spans="1:10" x14ac:dyDescent="0.2">
      <c r="A37" t="s">
        <v>8</v>
      </c>
      <c r="B37" t="s">
        <v>623</v>
      </c>
      <c r="C37" s="17">
        <v>3.2727224634799999E-11</v>
      </c>
      <c r="D37">
        <v>0.39583299999999999</v>
      </c>
      <c r="E37" t="s">
        <v>610</v>
      </c>
      <c r="F37">
        <v>0.94871794871794901</v>
      </c>
      <c r="G37" t="s">
        <v>624</v>
      </c>
      <c r="H37">
        <v>151</v>
      </c>
      <c r="I37">
        <v>1635</v>
      </c>
      <c r="J37">
        <f t="shared" si="0"/>
        <v>10.48509082258377</v>
      </c>
    </row>
    <row r="38" spans="1:10" x14ac:dyDescent="0.2">
      <c r="A38" t="s">
        <v>72</v>
      </c>
      <c r="B38" t="s">
        <v>623</v>
      </c>
      <c r="C38" s="17">
        <v>3.6124131463899999E-9</v>
      </c>
      <c r="D38">
        <v>0.59235700000000002</v>
      </c>
      <c r="E38" t="s">
        <v>610</v>
      </c>
      <c r="F38">
        <v>0.87256371814093003</v>
      </c>
      <c r="G38" t="s">
        <v>625</v>
      </c>
      <c r="H38">
        <v>151</v>
      </c>
      <c r="I38">
        <v>1791</v>
      </c>
      <c r="J38">
        <f t="shared" si="0"/>
        <v>8.4422025858954672</v>
      </c>
    </row>
    <row r="39" spans="1:10" x14ac:dyDescent="0.2">
      <c r="A39" t="s">
        <v>116</v>
      </c>
      <c r="B39" t="s">
        <v>623</v>
      </c>
      <c r="C39" s="17">
        <v>4.7752202972799897E-43</v>
      </c>
      <c r="D39">
        <v>0.81628400000000001</v>
      </c>
      <c r="E39" t="s">
        <v>610</v>
      </c>
      <c r="F39">
        <v>0.91964285714285698</v>
      </c>
      <c r="G39" t="s">
        <v>626</v>
      </c>
      <c r="H39">
        <v>151</v>
      </c>
      <c r="I39">
        <v>200</v>
      </c>
      <c r="J39">
        <f t="shared" si="0"/>
        <v>42.321006588125016</v>
      </c>
    </row>
    <row r="40" spans="1:10" x14ac:dyDescent="0.2">
      <c r="A40" t="s">
        <v>547</v>
      </c>
      <c r="B40" t="s">
        <v>623</v>
      </c>
      <c r="C40" s="17">
        <v>8.0688593996099998E-5</v>
      </c>
      <c r="D40">
        <v>0.63636400000000004</v>
      </c>
      <c r="E40" t="s">
        <v>610</v>
      </c>
      <c r="F40">
        <v>0.87256371814093003</v>
      </c>
      <c r="G40" t="s">
        <v>625</v>
      </c>
      <c r="H40">
        <v>151</v>
      </c>
      <c r="I40">
        <v>2304</v>
      </c>
      <c r="J40">
        <f t="shared" si="0"/>
        <v>4.0931878520765865</v>
      </c>
    </row>
    <row r="41" spans="1:10" x14ac:dyDescent="0.2">
      <c r="A41" t="s">
        <v>21</v>
      </c>
      <c r="B41" t="s">
        <v>623</v>
      </c>
      <c r="C41" s="17">
        <v>5.0384376671399997E-23</v>
      </c>
      <c r="D41">
        <v>0.71192100000000003</v>
      </c>
      <c r="E41" t="s">
        <v>610</v>
      </c>
      <c r="F41">
        <v>0.87256371814093003</v>
      </c>
      <c r="G41" t="s">
        <v>625</v>
      </c>
      <c r="H41">
        <v>151</v>
      </c>
      <c r="I41">
        <v>908</v>
      </c>
      <c r="J41">
        <f t="shared" si="0"/>
        <v>22.297704109928812</v>
      </c>
    </row>
    <row r="42" spans="1:10" x14ac:dyDescent="0.2">
      <c r="A42" t="s">
        <v>426</v>
      </c>
      <c r="B42" t="s">
        <v>623</v>
      </c>
      <c r="C42" s="17">
        <v>1.58946178441E-9</v>
      </c>
      <c r="D42">
        <v>0.81300799999999995</v>
      </c>
      <c r="E42" t="s">
        <v>610</v>
      </c>
      <c r="F42">
        <v>0.91964285714285698</v>
      </c>
      <c r="G42" t="s">
        <v>626</v>
      </c>
      <c r="H42">
        <v>151</v>
      </c>
      <c r="I42">
        <v>983</v>
      </c>
      <c r="J42">
        <f t="shared" si="0"/>
        <v>8.7987499094097164</v>
      </c>
    </row>
    <row r="43" spans="1:10" x14ac:dyDescent="0.2">
      <c r="A43" t="s">
        <v>24</v>
      </c>
      <c r="B43" t="s">
        <v>623</v>
      </c>
      <c r="C43" s="17">
        <v>6.6687071650099996E-16</v>
      </c>
      <c r="D43">
        <v>0.703704</v>
      </c>
      <c r="E43" t="s">
        <v>610</v>
      </c>
      <c r="F43">
        <v>0.87256371814093003</v>
      </c>
      <c r="G43" t="s">
        <v>625</v>
      </c>
      <c r="H43">
        <v>151</v>
      </c>
      <c r="I43">
        <v>1291</v>
      </c>
      <c r="J43">
        <f t="shared" si="0"/>
        <v>15.17595835281864</v>
      </c>
    </row>
    <row r="44" spans="1:10" x14ac:dyDescent="0.2">
      <c r="A44" t="s">
        <v>73</v>
      </c>
      <c r="B44" t="s">
        <v>623</v>
      </c>
      <c r="C44" s="17">
        <v>7.2248262927799997E-9</v>
      </c>
      <c r="D44">
        <v>0.84905699999999995</v>
      </c>
      <c r="E44" t="s">
        <v>610</v>
      </c>
      <c r="F44">
        <v>0.91964285714285698</v>
      </c>
      <c r="G44" t="s">
        <v>626</v>
      </c>
      <c r="H44">
        <v>151</v>
      </c>
      <c r="I44">
        <v>952</v>
      </c>
      <c r="J44">
        <f t="shared" si="0"/>
        <v>8.141172590231486</v>
      </c>
    </row>
    <row r="45" spans="1:10" x14ac:dyDescent="0.2">
      <c r="A45" t="s">
        <v>475</v>
      </c>
      <c r="B45" t="s">
        <v>623</v>
      </c>
      <c r="C45" s="17">
        <v>3.46791662054E-9</v>
      </c>
      <c r="D45">
        <v>0.54852299999999998</v>
      </c>
      <c r="E45" t="s">
        <v>610</v>
      </c>
      <c r="F45">
        <v>0.87256371814093003</v>
      </c>
      <c r="G45" t="s">
        <v>625</v>
      </c>
      <c r="H45">
        <v>151</v>
      </c>
      <c r="I45">
        <v>1790</v>
      </c>
      <c r="J45">
        <f t="shared" si="0"/>
        <v>8.4599313528551967</v>
      </c>
    </row>
    <row r="46" spans="1:10" x14ac:dyDescent="0.2">
      <c r="A46" t="s">
        <v>15</v>
      </c>
      <c r="B46" t="s">
        <v>623</v>
      </c>
      <c r="C46" s="17">
        <v>1.9496708057500001E-41</v>
      </c>
      <c r="D46">
        <v>0.78671999999999997</v>
      </c>
      <c r="E46" t="s">
        <v>610</v>
      </c>
      <c r="F46">
        <v>0.91964285714285698</v>
      </c>
      <c r="G46" t="s">
        <v>626</v>
      </c>
      <c r="H46">
        <v>151</v>
      </c>
      <c r="I46">
        <v>212</v>
      </c>
      <c r="J46">
        <f t="shared" si="0"/>
        <v>40.710038711363275</v>
      </c>
    </row>
    <row r="47" spans="1:10" x14ac:dyDescent="0.2">
      <c r="A47" t="s">
        <v>16</v>
      </c>
      <c r="B47" t="s">
        <v>623</v>
      </c>
      <c r="C47" s="17">
        <v>6.3212082775999995E-42</v>
      </c>
      <c r="D47">
        <v>0.79633399999999999</v>
      </c>
      <c r="E47" t="s">
        <v>610</v>
      </c>
      <c r="F47">
        <v>0.91964285714285698</v>
      </c>
      <c r="G47" t="s">
        <v>626</v>
      </c>
      <c r="H47">
        <v>151</v>
      </c>
      <c r="I47">
        <v>209</v>
      </c>
      <c r="J47">
        <f t="shared" si="0"/>
        <v>41.199199899860155</v>
      </c>
    </row>
    <row r="48" spans="1:10" x14ac:dyDescent="0.2">
      <c r="A48" t="s">
        <v>427</v>
      </c>
      <c r="B48" t="s">
        <v>623</v>
      </c>
      <c r="C48" s="17">
        <v>4.6932471597900002E-7</v>
      </c>
      <c r="D48">
        <v>0.76229499999999994</v>
      </c>
      <c r="E48" t="s">
        <v>610</v>
      </c>
      <c r="F48">
        <v>0.91964285714285698</v>
      </c>
      <c r="G48" t="s">
        <v>626</v>
      </c>
      <c r="H48">
        <v>151</v>
      </c>
      <c r="I48">
        <v>1093</v>
      </c>
      <c r="J48">
        <f t="shared" si="0"/>
        <v>6.3285265739983565</v>
      </c>
    </row>
    <row r="49" spans="1:10" x14ac:dyDescent="0.2">
      <c r="A49" t="s">
        <v>428</v>
      </c>
      <c r="B49" t="s">
        <v>623</v>
      </c>
      <c r="C49" s="17">
        <v>7.3818940163900001E-6</v>
      </c>
      <c r="D49">
        <v>0.73228300000000002</v>
      </c>
      <c r="E49" t="s">
        <v>610</v>
      </c>
      <c r="F49">
        <v>0.91964285714285698</v>
      </c>
      <c r="G49" t="s">
        <v>626</v>
      </c>
      <c r="H49">
        <v>151</v>
      </c>
      <c r="I49">
        <v>1212</v>
      </c>
      <c r="J49">
        <f t="shared" si="0"/>
        <v>5.1318321943648826</v>
      </c>
    </row>
    <row r="50" spans="1:10" x14ac:dyDescent="0.2">
      <c r="A50" t="s">
        <v>548</v>
      </c>
      <c r="B50" t="s">
        <v>627</v>
      </c>
      <c r="C50" s="17">
        <v>2.2175249930300001E-12</v>
      </c>
      <c r="D50">
        <v>0.61356900000000003</v>
      </c>
      <c r="E50" t="s">
        <v>610</v>
      </c>
      <c r="F50">
        <v>0.90453460620525095</v>
      </c>
      <c r="G50" t="s">
        <v>628</v>
      </c>
      <c r="H50">
        <v>152</v>
      </c>
      <c r="I50">
        <v>1531</v>
      </c>
      <c r="J50">
        <f t="shared" si="0"/>
        <v>11.654131476671502</v>
      </c>
    </row>
    <row r="51" spans="1:10" x14ac:dyDescent="0.2">
      <c r="A51" t="s">
        <v>547</v>
      </c>
      <c r="B51" t="s">
        <v>627</v>
      </c>
      <c r="C51" s="17">
        <v>9.1954121137899998E-5</v>
      </c>
      <c r="D51">
        <v>0.63636400000000004</v>
      </c>
      <c r="E51" t="s">
        <v>610</v>
      </c>
      <c r="F51">
        <v>0.86929133858267704</v>
      </c>
      <c r="G51" t="s">
        <v>629</v>
      </c>
      <c r="H51">
        <v>152</v>
      </c>
      <c r="I51">
        <v>2314</v>
      </c>
      <c r="J51">
        <f t="shared" si="0"/>
        <v>4.0364288020719963</v>
      </c>
    </row>
    <row r="52" spans="1:10" x14ac:dyDescent="0.2">
      <c r="A52" t="s">
        <v>426</v>
      </c>
      <c r="B52" t="s">
        <v>627</v>
      </c>
      <c r="C52" s="17">
        <v>1.3190654355799999E-5</v>
      </c>
      <c r="D52">
        <v>0.81300799999999995</v>
      </c>
      <c r="E52" t="s">
        <v>610</v>
      </c>
      <c r="F52">
        <v>0.90453460620525095</v>
      </c>
      <c r="G52" t="s">
        <v>628</v>
      </c>
      <c r="H52">
        <v>152</v>
      </c>
      <c r="I52">
        <v>969</v>
      </c>
      <c r="J52">
        <f t="shared" si="0"/>
        <v>4.8797336596420946</v>
      </c>
    </row>
    <row r="53" spans="1:10" x14ac:dyDescent="0.2">
      <c r="A53" t="s">
        <v>24</v>
      </c>
      <c r="B53" t="s">
        <v>627</v>
      </c>
      <c r="C53" s="17">
        <v>1.4149296015499999E-16</v>
      </c>
      <c r="D53">
        <v>0.703704</v>
      </c>
      <c r="E53" t="s">
        <v>610</v>
      </c>
      <c r="F53">
        <v>0.86929133858267704</v>
      </c>
      <c r="G53" t="s">
        <v>629</v>
      </c>
      <c r="H53">
        <v>152</v>
      </c>
      <c r="I53">
        <v>1249</v>
      </c>
      <c r="J53">
        <f t="shared" si="0"/>
        <v>15.849265167502898</v>
      </c>
    </row>
    <row r="54" spans="1:10" x14ac:dyDescent="0.2">
      <c r="A54" t="s">
        <v>73</v>
      </c>
      <c r="B54" t="s">
        <v>627</v>
      </c>
      <c r="C54" s="17">
        <v>2.9267771312100001E-5</v>
      </c>
      <c r="D54">
        <v>0.84905699999999995</v>
      </c>
      <c r="E54" t="s">
        <v>610</v>
      </c>
      <c r="F54">
        <v>0.90453460620525095</v>
      </c>
      <c r="G54" t="s">
        <v>628</v>
      </c>
      <c r="H54">
        <v>152</v>
      </c>
      <c r="I54">
        <v>944</v>
      </c>
      <c r="J54">
        <f t="shared" si="0"/>
        <v>4.5336103470471816</v>
      </c>
    </row>
    <row r="55" spans="1:10" x14ac:dyDescent="0.2">
      <c r="A55" t="s">
        <v>475</v>
      </c>
      <c r="B55" t="s">
        <v>627</v>
      </c>
      <c r="C55" s="17">
        <v>1.1559722068500001E-9</v>
      </c>
      <c r="D55">
        <v>0.54852299999999998</v>
      </c>
      <c r="E55" t="s">
        <v>610</v>
      </c>
      <c r="F55">
        <v>0.86929133858267704</v>
      </c>
      <c r="G55" t="s">
        <v>629</v>
      </c>
      <c r="H55">
        <v>152</v>
      </c>
      <c r="I55">
        <v>1749</v>
      </c>
      <c r="J55">
        <f t="shared" si="0"/>
        <v>8.937052607573607</v>
      </c>
    </row>
    <row r="56" spans="1:10" x14ac:dyDescent="0.2">
      <c r="A56" t="s">
        <v>549</v>
      </c>
      <c r="B56" t="s">
        <v>627</v>
      </c>
      <c r="C56" s="17">
        <v>8.0346960007799998E-21</v>
      </c>
      <c r="D56">
        <v>0.62121199999999999</v>
      </c>
      <c r="E56" t="s">
        <v>610</v>
      </c>
      <c r="F56">
        <v>0.90453460620525095</v>
      </c>
      <c r="G56" t="s">
        <v>628</v>
      </c>
      <c r="H56">
        <v>152</v>
      </c>
      <c r="I56">
        <v>1011</v>
      </c>
      <c r="J56">
        <f t="shared" si="0"/>
        <v>20.095030550472678</v>
      </c>
    </row>
    <row r="57" spans="1:10" x14ac:dyDescent="0.2">
      <c r="A57" t="s">
        <v>15</v>
      </c>
      <c r="B57" t="s">
        <v>627</v>
      </c>
      <c r="C57" s="17">
        <v>6.1583184213799999E-28</v>
      </c>
      <c r="D57">
        <v>0.78671999999999997</v>
      </c>
      <c r="E57" t="s">
        <v>610</v>
      </c>
      <c r="F57">
        <v>0.90453460620525095</v>
      </c>
      <c r="G57" t="s">
        <v>628</v>
      </c>
      <c r="H57">
        <v>152</v>
      </c>
      <c r="I57">
        <v>213</v>
      </c>
      <c r="J57">
        <f t="shared" si="0"/>
        <v>27.210537859266367</v>
      </c>
    </row>
    <row r="58" spans="1:10" x14ac:dyDescent="0.2">
      <c r="A58" t="s">
        <v>16</v>
      </c>
      <c r="B58" t="s">
        <v>627</v>
      </c>
      <c r="C58" s="17">
        <v>2.2050228085799998E-28</v>
      </c>
      <c r="D58">
        <v>0.80473399999999995</v>
      </c>
      <c r="E58" t="s">
        <v>610</v>
      </c>
      <c r="F58">
        <v>0.90453460620525095</v>
      </c>
      <c r="G58" t="s">
        <v>628</v>
      </c>
      <c r="H58">
        <v>152</v>
      </c>
      <c r="I58">
        <v>210</v>
      </c>
      <c r="J58">
        <f t="shared" si="0"/>
        <v>27.656586913865439</v>
      </c>
    </row>
    <row r="59" spans="1:10" x14ac:dyDescent="0.2">
      <c r="A59" t="s">
        <v>427</v>
      </c>
      <c r="B59" t="s">
        <v>627</v>
      </c>
      <c r="C59" s="17">
        <v>3.82727126568E-19</v>
      </c>
      <c r="D59">
        <v>0.79508199999999996</v>
      </c>
      <c r="E59" t="s">
        <v>610</v>
      </c>
      <c r="F59">
        <v>0.86929133858267704</v>
      </c>
      <c r="G59" t="s">
        <v>629</v>
      </c>
      <c r="H59">
        <v>152</v>
      </c>
      <c r="I59">
        <v>1085</v>
      </c>
      <c r="J59">
        <f t="shared" si="0"/>
        <v>18.417110755174804</v>
      </c>
    </row>
    <row r="60" spans="1:10" x14ac:dyDescent="0.2">
      <c r="A60" t="s">
        <v>428</v>
      </c>
      <c r="B60" t="s">
        <v>627</v>
      </c>
      <c r="C60" s="17">
        <v>2.1844728348699999E-17</v>
      </c>
      <c r="D60">
        <v>0.73228300000000002</v>
      </c>
      <c r="E60" t="s">
        <v>610</v>
      </c>
      <c r="F60">
        <v>0.86929133858267704</v>
      </c>
      <c r="G60" t="s">
        <v>629</v>
      </c>
      <c r="H60">
        <v>152</v>
      </c>
      <c r="I60">
        <v>1201</v>
      </c>
      <c r="J60">
        <f t="shared" si="0"/>
        <v>16.660653351613334</v>
      </c>
    </row>
    <row r="61" spans="1:10" x14ac:dyDescent="0.2">
      <c r="A61" t="s">
        <v>196</v>
      </c>
      <c r="B61" t="s">
        <v>627</v>
      </c>
      <c r="C61" s="17">
        <v>7.7116928869999998E-5</v>
      </c>
      <c r="D61">
        <v>0.586538</v>
      </c>
      <c r="E61" t="s">
        <v>610</v>
      </c>
      <c r="F61">
        <v>0.86929133858267704</v>
      </c>
      <c r="G61" t="s">
        <v>629</v>
      </c>
      <c r="H61">
        <v>152</v>
      </c>
      <c r="I61">
        <v>2299</v>
      </c>
      <c r="J61">
        <f t="shared" si="0"/>
        <v>4.1128502742474744</v>
      </c>
    </row>
    <row r="62" spans="1:10" x14ac:dyDescent="0.2">
      <c r="A62" t="s">
        <v>429</v>
      </c>
      <c r="B62" t="s">
        <v>28</v>
      </c>
      <c r="C62" s="17">
        <v>2.7802160045899999E-13</v>
      </c>
      <c r="D62">
        <v>0.64634100000000005</v>
      </c>
      <c r="E62" t="s">
        <v>610</v>
      </c>
      <c r="F62">
        <v>0.54945054945054905</v>
      </c>
      <c r="G62" t="s">
        <v>630</v>
      </c>
      <c r="H62">
        <v>153</v>
      </c>
      <c r="I62">
        <v>1460</v>
      </c>
      <c r="J62">
        <f t="shared" si="0"/>
        <v>12.555921460931847</v>
      </c>
    </row>
    <row r="63" spans="1:10" x14ac:dyDescent="0.2">
      <c r="A63" t="s">
        <v>430</v>
      </c>
      <c r="B63" t="s">
        <v>28</v>
      </c>
      <c r="C63" s="17">
        <v>6.5997776708899995E-5</v>
      </c>
      <c r="D63">
        <v>0.61594199999999999</v>
      </c>
      <c r="E63" t="s">
        <v>610</v>
      </c>
      <c r="F63">
        <v>0.41758241758241799</v>
      </c>
      <c r="G63" t="s">
        <v>630</v>
      </c>
      <c r="H63">
        <v>153</v>
      </c>
      <c r="I63">
        <v>2282</v>
      </c>
      <c r="J63">
        <f t="shared" si="0"/>
        <v>4.180470694447826</v>
      </c>
    </row>
    <row r="64" spans="1:10" x14ac:dyDescent="0.2">
      <c r="A64" t="s">
        <v>431</v>
      </c>
      <c r="B64" t="s">
        <v>28</v>
      </c>
      <c r="C64" s="17">
        <v>2.38419267662E-8</v>
      </c>
      <c r="D64">
        <v>0.59016400000000002</v>
      </c>
      <c r="E64" t="s">
        <v>610</v>
      </c>
      <c r="F64">
        <v>0.41758241758241799</v>
      </c>
      <c r="G64" t="s">
        <v>630</v>
      </c>
      <c r="H64">
        <v>153</v>
      </c>
      <c r="I64">
        <v>1880</v>
      </c>
      <c r="J64">
        <f t="shared" si="0"/>
        <v>7.6226586503531246</v>
      </c>
    </row>
    <row r="65" spans="1:10" x14ac:dyDescent="0.2">
      <c r="A65" t="s">
        <v>547</v>
      </c>
      <c r="B65" t="s">
        <v>28</v>
      </c>
      <c r="C65" s="17">
        <v>9.0454825185699995E-8</v>
      </c>
      <c r="D65">
        <v>0.538462</v>
      </c>
      <c r="E65" t="s">
        <v>610</v>
      </c>
      <c r="F65">
        <v>0.98275862068965503</v>
      </c>
      <c r="G65" t="s">
        <v>631</v>
      </c>
      <c r="H65">
        <v>153</v>
      </c>
      <c r="I65">
        <v>1943</v>
      </c>
      <c r="J65">
        <f t="shared" si="0"/>
        <v>7.0435682613566213</v>
      </c>
    </row>
    <row r="66" spans="1:10" x14ac:dyDescent="0.2">
      <c r="A66" t="s">
        <v>432</v>
      </c>
      <c r="B66" t="s">
        <v>28</v>
      </c>
      <c r="C66" s="17">
        <v>5.7726940065500001E-5</v>
      </c>
      <c r="D66">
        <v>0.61111099999999996</v>
      </c>
      <c r="E66" t="s">
        <v>610</v>
      </c>
      <c r="F66">
        <v>0.54945054945054905</v>
      </c>
      <c r="G66" t="s">
        <v>630</v>
      </c>
      <c r="H66">
        <v>153</v>
      </c>
      <c r="I66">
        <v>2275</v>
      </c>
      <c r="J66">
        <f t="shared" si="0"/>
        <v>4.2386214625583341</v>
      </c>
    </row>
    <row r="67" spans="1:10" x14ac:dyDescent="0.2">
      <c r="A67" t="s">
        <v>433</v>
      </c>
      <c r="B67" t="s">
        <v>28</v>
      </c>
      <c r="C67" s="17">
        <v>1.1148284441200001E-18</v>
      </c>
      <c r="D67">
        <v>0.77227699999999999</v>
      </c>
      <c r="E67" t="s">
        <v>610</v>
      </c>
      <c r="F67">
        <v>0.41758241758241799</v>
      </c>
      <c r="G67" t="s">
        <v>630</v>
      </c>
      <c r="H67">
        <v>153</v>
      </c>
      <c r="I67">
        <v>1112</v>
      </c>
      <c r="J67">
        <f t="shared" ref="J67:J130" si="1">-LOG10(C67)</f>
        <v>17.952791959077171</v>
      </c>
    </row>
    <row r="68" spans="1:10" x14ac:dyDescent="0.2">
      <c r="A68" t="s">
        <v>434</v>
      </c>
      <c r="B68" t="s">
        <v>28</v>
      </c>
      <c r="C68" s="17">
        <v>3.2283431938899999E-14</v>
      </c>
      <c r="D68">
        <v>0.71929799999999999</v>
      </c>
      <c r="E68" t="s">
        <v>610</v>
      </c>
      <c r="F68">
        <v>0.41758241758241799</v>
      </c>
      <c r="G68" t="s">
        <v>630</v>
      </c>
      <c r="H68">
        <v>153</v>
      </c>
      <c r="I68">
        <v>1386</v>
      </c>
      <c r="J68">
        <f t="shared" si="1"/>
        <v>13.491020303166193</v>
      </c>
    </row>
    <row r="69" spans="1:10" x14ac:dyDescent="0.2">
      <c r="A69" t="s">
        <v>435</v>
      </c>
      <c r="B69" t="s">
        <v>28</v>
      </c>
      <c r="C69" s="17">
        <v>6.3289478324800003E-8</v>
      </c>
      <c r="D69">
        <v>0.68548399999999998</v>
      </c>
      <c r="E69" t="s">
        <v>610</v>
      </c>
      <c r="F69">
        <v>0.41758241758241799</v>
      </c>
      <c r="G69" t="s">
        <v>630</v>
      </c>
      <c r="H69">
        <v>153</v>
      </c>
      <c r="I69">
        <v>1924</v>
      </c>
      <c r="J69">
        <f t="shared" si="1"/>
        <v>7.1986684840630808</v>
      </c>
    </row>
    <row r="70" spans="1:10" x14ac:dyDescent="0.2">
      <c r="A70" t="s">
        <v>436</v>
      </c>
      <c r="B70" t="s">
        <v>28</v>
      </c>
      <c r="C70" s="17">
        <v>9.5223210538900002E-8</v>
      </c>
      <c r="D70">
        <v>0.67460299999999995</v>
      </c>
      <c r="E70" t="s">
        <v>610</v>
      </c>
      <c r="F70">
        <v>0.41758241758241799</v>
      </c>
      <c r="G70" t="s">
        <v>630</v>
      </c>
      <c r="H70">
        <v>153</v>
      </c>
      <c r="I70">
        <v>1945</v>
      </c>
      <c r="J70">
        <f t="shared" si="1"/>
        <v>7.0212571799732224</v>
      </c>
    </row>
    <row r="71" spans="1:10" x14ac:dyDescent="0.2">
      <c r="A71" t="s">
        <v>437</v>
      </c>
      <c r="B71" t="s">
        <v>28</v>
      </c>
      <c r="C71" s="17">
        <v>5.7798610342300002E-10</v>
      </c>
      <c r="D71">
        <v>0.69523800000000002</v>
      </c>
      <c r="E71" t="s">
        <v>610</v>
      </c>
      <c r="F71">
        <v>0.54945054945054905</v>
      </c>
      <c r="G71" t="s">
        <v>630</v>
      </c>
      <c r="H71">
        <v>153</v>
      </c>
      <c r="I71">
        <v>1078</v>
      </c>
      <c r="J71">
        <f t="shared" si="1"/>
        <v>9.238082603239091</v>
      </c>
    </row>
    <row r="72" spans="1:10" x14ac:dyDescent="0.2">
      <c r="A72" t="s">
        <v>550</v>
      </c>
      <c r="B72" t="s">
        <v>28</v>
      </c>
      <c r="C72" s="17">
        <v>2.2748088065499999E-6</v>
      </c>
      <c r="D72">
        <v>0.52830200000000005</v>
      </c>
      <c r="E72" t="s">
        <v>610</v>
      </c>
      <c r="F72">
        <v>0.98275862068965503</v>
      </c>
      <c r="G72" t="s">
        <v>631</v>
      </c>
      <c r="H72">
        <v>153</v>
      </c>
      <c r="I72">
        <v>2101</v>
      </c>
      <c r="J72">
        <f t="shared" si="1"/>
        <v>5.6430550991166051</v>
      </c>
    </row>
    <row r="73" spans="1:10" x14ac:dyDescent="0.2">
      <c r="A73" t="s">
        <v>427</v>
      </c>
      <c r="B73" t="s">
        <v>28</v>
      </c>
      <c r="C73" s="17">
        <v>2.31969266221999E-46</v>
      </c>
      <c r="D73">
        <v>0.82786899999999997</v>
      </c>
      <c r="E73" t="s">
        <v>610</v>
      </c>
      <c r="F73">
        <v>0.54945054945054905</v>
      </c>
      <c r="G73" t="s">
        <v>630</v>
      </c>
      <c r="H73">
        <v>153</v>
      </c>
      <c r="I73">
        <v>358</v>
      </c>
      <c r="J73">
        <f t="shared" si="1"/>
        <v>45.634569551291712</v>
      </c>
    </row>
    <row r="74" spans="1:10" x14ac:dyDescent="0.2">
      <c r="A74" t="s">
        <v>8</v>
      </c>
      <c r="B74" t="s">
        <v>30</v>
      </c>
      <c r="C74" s="17">
        <v>1.0560690224E-17</v>
      </c>
      <c r="D74">
        <v>0.56989199999999995</v>
      </c>
      <c r="E74" t="s">
        <v>610</v>
      </c>
      <c r="F74">
        <v>1</v>
      </c>
      <c r="G74" t="s">
        <v>632</v>
      </c>
      <c r="H74">
        <v>154</v>
      </c>
      <c r="I74">
        <v>1175</v>
      </c>
      <c r="J74">
        <f t="shared" si="1"/>
        <v>16.976307696321296</v>
      </c>
    </row>
    <row r="75" spans="1:10" x14ac:dyDescent="0.2">
      <c r="A75" t="s">
        <v>429</v>
      </c>
      <c r="B75" t="s">
        <v>30</v>
      </c>
      <c r="C75" s="17">
        <v>1.7090961201500001E-20</v>
      </c>
      <c r="D75">
        <v>0.66423399999999999</v>
      </c>
      <c r="E75" t="s">
        <v>610</v>
      </c>
      <c r="F75">
        <v>1</v>
      </c>
      <c r="G75" t="s">
        <v>633</v>
      </c>
      <c r="H75">
        <v>154</v>
      </c>
      <c r="I75">
        <v>1028</v>
      </c>
      <c r="J75">
        <f t="shared" si="1"/>
        <v>19.767233511722292</v>
      </c>
    </row>
    <row r="76" spans="1:10" x14ac:dyDescent="0.2">
      <c r="A76" t="s">
        <v>430</v>
      </c>
      <c r="B76" t="s">
        <v>30</v>
      </c>
      <c r="C76" s="17">
        <v>1.08372394392E-8</v>
      </c>
      <c r="D76">
        <v>0.59354799999999996</v>
      </c>
      <c r="E76" t="s">
        <v>610</v>
      </c>
      <c r="F76">
        <v>0.203125</v>
      </c>
      <c r="G76" t="s">
        <v>634</v>
      </c>
      <c r="H76">
        <v>154</v>
      </c>
      <c r="I76">
        <v>1836</v>
      </c>
      <c r="J76">
        <f t="shared" si="1"/>
        <v>7.965081331174602</v>
      </c>
    </row>
    <row r="77" spans="1:10" x14ac:dyDescent="0.2">
      <c r="A77" t="s">
        <v>534</v>
      </c>
      <c r="B77" t="s">
        <v>30</v>
      </c>
      <c r="C77" s="17">
        <v>4.39085738360999E-14</v>
      </c>
      <c r="D77">
        <v>0.60135099999999997</v>
      </c>
      <c r="E77" t="s">
        <v>610</v>
      </c>
      <c r="F77">
        <v>1</v>
      </c>
      <c r="G77" t="s">
        <v>633</v>
      </c>
      <c r="H77">
        <v>154</v>
      </c>
      <c r="I77">
        <v>1023</v>
      </c>
      <c r="J77">
        <f t="shared" si="1"/>
        <v>13.357450668684059</v>
      </c>
    </row>
    <row r="78" spans="1:10" x14ac:dyDescent="0.2">
      <c r="A78" t="s">
        <v>431</v>
      </c>
      <c r="B78" t="s">
        <v>30</v>
      </c>
      <c r="C78" s="17">
        <v>4.1470502920599998E-6</v>
      </c>
      <c r="D78">
        <v>0.59016400000000002</v>
      </c>
      <c r="E78" t="s">
        <v>610</v>
      </c>
      <c r="F78">
        <v>0.203125</v>
      </c>
      <c r="G78" t="s">
        <v>634</v>
      </c>
      <c r="H78">
        <v>154</v>
      </c>
      <c r="I78">
        <v>2134</v>
      </c>
      <c r="J78">
        <f t="shared" si="1"/>
        <v>5.3822606978330638</v>
      </c>
    </row>
    <row r="79" spans="1:10" x14ac:dyDescent="0.2">
      <c r="A79" t="s">
        <v>551</v>
      </c>
      <c r="B79" t="s">
        <v>30</v>
      </c>
      <c r="C79" s="17">
        <v>1.04397336846E-18</v>
      </c>
      <c r="D79">
        <v>0.63247900000000001</v>
      </c>
      <c r="E79" t="s">
        <v>610</v>
      </c>
      <c r="F79">
        <v>1</v>
      </c>
      <c r="G79" t="s">
        <v>633</v>
      </c>
      <c r="H79">
        <v>154</v>
      </c>
      <c r="I79">
        <v>1106</v>
      </c>
      <c r="J79">
        <f t="shared" si="1"/>
        <v>17.9813105799529</v>
      </c>
    </row>
    <row r="80" spans="1:10" x14ac:dyDescent="0.2">
      <c r="A80" t="s">
        <v>111</v>
      </c>
      <c r="B80" t="s">
        <v>30</v>
      </c>
      <c r="C80" s="17">
        <v>1.41301692104E-13</v>
      </c>
      <c r="D80">
        <v>0.56115099999999996</v>
      </c>
      <c r="E80" t="s">
        <v>610</v>
      </c>
      <c r="F80">
        <v>1</v>
      </c>
      <c r="G80" t="s">
        <v>633</v>
      </c>
      <c r="H80">
        <v>154</v>
      </c>
      <c r="I80">
        <v>1434</v>
      </c>
      <c r="J80">
        <f t="shared" si="1"/>
        <v>12.849852637393976</v>
      </c>
    </row>
    <row r="81" spans="1:10" x14ac:dyDescent="0.2">
      <c r="A81" t="s">
        <v>552</v>
      </c>
      <c r="B81" t="s">
        <v>30</v>
      </c>
      <c r="C81" s="17">
        <v>1.50144476078E-31</v>
      </c>
      <c r="D81">
        <v>0.62857099999999999</v>
      </c>
      <c r="E81" t="s">
        <v>610</v>
      </c>
      <c r="F81">
        <v>1</v>
      </c>
      <c r="G81" t="s">
        <v>632</v>
      </c>
      <c r="H81">
        <v>154</v>
      </c>
      <c r="I81">
        <v>684</v>
      </c>
      <c r="J81">
        <f t="shared" si="1"/>
        <v>30.82349064117378</v>
      </c>
    </row>
    <row r="82" spans="1:10" x14ac:dyDescent="0.2">
      <c r="A82" t="s">
        <v>547</v>
      </c>
      <c r="B82" t="s">
        <v>30</v>
      </c>
      <c r="C82" s="17">
        <v>1.16112897750999E-25</v>
      </c>
      <c r="D82">
        <v>0.59</v>
      </c>
      <c r="E82" t="s">
        <v>610</v>
      </c>
      <c r="F82">
        <v>1</v>
      </c>
      <c r="G82" t="s">
        <v>633</v>
      </c>
      <c r="H82">
        <v>154</v>
      </c>
      <c r="I82">
        <v>840</v>
      </c>
      <c r="J82">
        <f t="shared" si="1"/>
        <v>24.935119536411513</v>
      </c>
    </row>
    <row r="83" spans="1:10" x14ac:dyDescent="0.2">
      <c r="A83" t="s">
        <v>432</v>
      </c>
      <c r="B83" t="s">
        <v>30</v>
      </c>
      <c r="C83" s="17">
        <v>3.5101096060900002E-6</v>
      </c>
      <c r="D83">
        <v>0.56521699999999997</v>
      </c>
      <c r="E83" t="s">
        <v>610</v>
      </c>
      <c r="F83">
        <v>0.73828125</v>
      </c>
      <c r="G83" t="s">
        <v>634</v>
      </c>
      <c r="H83">
        <v>154</v>
      </c>
      <c r="I83">
        <v>360</v>
      </c>
      <c r="J83">
        <f t="shared" si="1"/>
        <v>5.4546793221162648</v>
      </c>
    </row>
    <row r="84" spans="1:10" x14ac:dyDescent="0.2">
      <c r="A84" t="s">
        <v>514</v>
      </c>
      <c r="B84" t="s">
        <v>30</v>
      </c>
      <c r="C84" s="17">
        <v>2.8562481758199899E-15</v>
      </c>
      <c r="D84">
        <v>0.51075300000000001</v>
      </c>
      <c r="E84" t="s">
        <v>610</v>
      </c>
      <c r="F84">
        <v>1</v>
      </c>
      <c r="G84" t="s">
        <v>632</v>
      </c>
      <c r="H84">
        <v>154</v>
      </c>
      <c r="I84">
        <v>1324</v>
      </c>
      <c r="J84">
        <f t="shared" si="1"/>
        <v>14.544204059953801</v>
      </c>
    </row>
    <row r="85" spans="1:10" x14ac:dyDescent="0.2">
      <c r="A85" t="s">
        <v>433</v>
      </c>
      <c r="B85" t="s">
        <v>30</v>
      </c>
      <c r="C85" s="17">
        <v>3.2024765297099899E-21</v>
      </c>
      <c r="D85">
        <v>0.77227699999999999</v>
      </c>
      <c r="E85" t="s">
        <v>610</v>
      </c>
      <c r="F85">
        <v>0.203125</v>
      </c>
      <c r="G85" t="s">
        <v>634</v>
      </c>
      <c r="H85">
        <v>154</v>
      </c>
      <c r="I85">
        <v>993</v>
      </c>
      <c r="J85">
        <f t="shared" si="1"/>
        <v>20.494514044426303</v>
      </c>
    </row>
    <row r="86" spans="1:10" x14ac:dyDescent="0.2">
      <c r="A86" t="s">
        <v>553</v>
      </c>
      <c r="B86" t="s">
        <v>30</v>
      </c>
      <c r="C86" s="17">
        <v>1.90735660081E-57</v>
      </c>
      <c r="D86">
        <v>1</v>
      </c>
      <c r="E86" t="s">
        <v>610</v>
      </c>
      <c r="F86">
        <v>1</v>
      </c>
      <c r="G86" t="s">
        <v>632</v>
      </c>
      <c r="H86">
        <v>154</v>
      </c>
      <c r="I86">
        <v>254</v>
      </c>
      <c r="J86">
        <f t="shared" si="1"/>
        <v>56.719568103343171</v>
      </c>
    </row>
    <row r="87" spans="1:10" x14ac:dyDescent="0.2">
      <c r="A87" t="s">
        <v>438</v>
      </c>
      <c r="B87" t="s">
        <v>30</v>
      </c>
      <c r="C87" s="17">
        <v>2.8899305171100001E-9</v>
      </c>
      <c r="D87">
        <v>0.62087899999999996</v>
      </c>
      <c r="E87" t="s">
        <v>610</v>
      </c>
      <c r="F87">
        <v>0.73828125</v>
      </c>
      <c r="G87" t="s">
        <v>634</v>
      </c>
      <c r="H87">
        <v>154</v>
      </c>
      <c r="I87">
        <v>903</v>
      </c>
      <c r="J87">
        <f t="shared" si="1"/>
        <v>8.5391125989038237</v>
      </c>
    </row>
    <row r="88" spans="1:10" x14ac:dyDescent="0.2">
      <c r="A88" t="s">
        <v>434</v>
      </c>
      <c r="B88" t="s">
        <v>30</v>
      </c>
      <c r="C88" s="17">
        <v>4.25835789389999E-20</v>
      </c>
      <c r="D88">
        <v>0.5</v>
      </c>
      <c r="E88" t="s">
        <v>610</v>
      </c>
      <c r="F88">
        <v>0.203125</v>
      </c>
      <c r="G88" t="s">
        <v>634</v>
      </c>
      <c r="H88">
        <v>154</v>
      </c>
      <c r="I88">
        <v>1042</v>
      </c>
      <c r="J88">
        <f t="shared" si="1"/>
        <v>19.370757841062545</v>
      </c>
    </row>
    <row r="89" spans="1:10" x14ac:dyDescent="0.2">
      <c r="A89" t="s">
        <v>554</v>
      </c>
      <c r="B89" t="s">
        <v>30</v>
      </c>
      <c r="C89" s="17">
        <v>2.0186164662E-7</v>
      </c>
      <c r="D89">
        <v>0.57534200000000002</v>
      </c>
      <c r="E89" t="s">
        <v>610</v>
      </c>
      <c r="F89">
        <v>1</v>
      </c>
      <c r="G89" t="s">
        <v>633</v>
      </c>
      <c r="H89">
        <v>154</v>
      </c>
      <c r="I89">
        <v>1971</v>
      </c>
      <c r="J89">
        <f t="shared" si="1"/>
        <v>6.6949461884539101</v>
      </c>
    </row>
    <row r="90" spans="1:10" x14ac:dyDescent="0.2">
      <c r="A90" t="s">
        <v>555</v>
      </c>
      <c r="B90" t="s">
        <v>30</v>
      </c>
      <c r="C90" s="17">
        <v>1.8938406943899999E-71</v>
      </c>
      <c r="D90">
        <v>1</v>
      </c>
      <c r="E90" t="s">
        <v>610</v>
      </c>
      <c r="F90">
        <v>1</v>
      </c>
      <c r="G90" t="s">
        <v>632</v>
      </c>
      <c r="H90">
        <v>154</v>
      </c>
      <c r="I90">
        <v>184</v>
      </c>
      <c r="J90">
        <f t="shared" si="1"/>
        <v>70.722656555669147</v>
      </c>
    </row>
    <row r="91" spans="1:10" x14ac:dyDescent="0.2">
      <c r="A91" t="s">
        <v>556</v>
      </c>
      <c r="B91" t="s">
        <v>30</v>
      </c>
      <c r="C91" s="17">
        <v>3.5245528471200002E-11</v>
      </c>
      <c r="D91">
        <v>0.36956499999999998</v>
      </c>
      <c r="E91" t="s">
        <v>610</v>
      </c>
      <c r="F91">
        <v>1</v>
      </c>
      <c r="G91" t="s">
        <v>632</v>
      </c>
      <c r="H91">
        <v>154</v>
      </c>
      <c r="I91">
        <v>1636</v>
      </c>
      <c r="J91">
        <f t="shared" si="1"/>
        <v>10.452895973238954</v>
      </c>
    </row>
    <row r="92" spans="1:10" x14ac:dyDescent="0.2">
      <c r="A92" t="s">
        <v>12</v>
      </c>
      <c r="B92" t="s">
        <v>30</v>
      </c>
      <c r="C92" s="17">
        <v>2.1140863785999899E-15</v>
      </c>
      <c r="D92">
        <v>0.512903</v>
      </c>
      <c r="E92" t="s">
        <v>610</v>
      </c>
      <c r="F92">
        <v>1</v>
      </c>
      <c r="G92" t="s">
        <v>632</v>
      </c>
      <c r="H92">
        <v>154</v>
      </c>
      <c r="I92">
        <v>1311</v>
      </c>
      <c r="J92">
        <f t="shared" si="1"/>
        <v>14.674877272003551</v>
      </c>
    </row>
    <row r="93" spans="1:10" x14ac:dyDescent="0.2">
      <c r="A93" t="s">
        <v>435</v>
      </c>
      <c r="B93" t="s">
        <v>30</v>
      </c>
      <c r="C93" s="17">
        <v>1.9477818181399999E-16</v>
      </c>
      <c r="D93">
        <v>0.65248200000000001</v>
      </c>
      <c r="E93" t="s">
        <v>610</v>
      </c>
      <c r="F93">
        <v>0.203125</v>
      </c>
      <c r="G93" t="s">
        <v>634</v>
      </c>
      <c r="H93">
        <v>154</v>
      </c>
      <c r="I93">
        <v>1261</v>
      </c>
      <c r="J93">
        <f t="shared" si="1"/>
        <v>15.710459692470073</v>
      </c>
    </row>
    <row r="94" spans="1:10" x14ac:dyDescent="0.2">
      <c r="A94" t="s">
        <v>439</v>
      </c>
      <c r="B94" t="s">
        <v>30</v>
      </c>
      <c r="C94" s="17">
        <v>1.31000893906E-23</v>
      </c>
      <c r="D94">
        <v>0.69199999999999995</v>
      </c>
      <c r="E94" t="s">
        <v>610</v>
      </c>
      <c r="F94">
        <v>0.203125</v>
      </c>
      <c r="G94" t="s">
        <v>634</v>
      </c>
      <c r="H94">
        <v>154</v>
      </c>
      <c r="I94">
        <v>892</v>
      </c>
      <c r="J94">
        <f t="shared" si="1"/>
        <v>22.882725740854781</v>
      </c>
    </row>
    <row r="95" spans="1:10" x14ac:dyDescent="0.2">
      <c r="A95" t="s">
        <v>440</v>
      </c>
      <c r="B95" t="s">
        <v>30</v>
      </c>
      <c r="C95" s="17">
        <v>7.2593920767699997E-20</v>
      </c>
      <c r="D95">
        <v>0.5</v>
      </c>
      <c r="E95" t="s">
        <v>610</v>
      </c>
      <c r="F95">
        <v>0.203125</v>
      </c>
      <c r="G95" t="s">
        <v>634</v>
      </c>
      <c r="H95">
        <v>154</v>
      </c>
      <c r="I95">
        <v>1055</v>
      </c>
      <c r="J95">
        <f t="shared" si="1"/>
        <v>19.139099746897525</v>
      </c>
    </row>
    <row r="96" spans="1:10" x14ac:dyDescent="0.2">
      <c r="A96" t="s">
        <v>436</v>
      </c>
      <c r="B96" t="s">
        <v>30</v>
      </c>
      <c r="C96" s="17">
        <v>1.54264774287E-15</v>
      </c>
      <c r="D96">
        <v>0.64335699999999996</v>
      </c>
      <c r="E96" t="s">
        <v>610</v>
      </c>
      <c r="F96">
        <v>0.203125</v>
      </c>
      <c r="G96" t="s">
        <v>634</v>
      </c>
      <c r="H96">
        <v>154</v>
      </c>
      <c r="I96">
        <v>1305</v>
      </c>
      <c r="J96">
        <f t="shared" si="1"/>
        <v>14.811733231936199</v>
      </c>
    </row>
    <row r="97" spans="1:10" x14ac:dyDescent="0.2">
      <c r="A97" t="s">
        <v>437</v>
      </c>
      <c r="B97" t="s">
        <v>30</v>
      </c>
      <c r="C97" s="17">
        <v>2.82208606768E-16</v>
      </c>
      <c r="D97">
        <v>0.66942100000000004</v>
      </c>
      <c r="E97" t="s">
        <v>610</v>
      </c>
      <c r="F97">
        <v>0.73828125</v>
      </c>
      <c r="G97" t="s">
        <v>634</v>
      </c>
      <c r="H97">
        <v>154</v>
      </c>
      <c r="I97">
        <v>214</v>
      </c>
      <c r="J97">
        <f t="shared" si="1"/>
        <v>15.549429745312889</v>
      </c>
    </row>
    <row r="98" spans="1:10" x14ac:dyDescent="0.2">
      <c r="A98" t="s">
        <v>441</v>
      </c>
      <c r="B98" t="s">
        <v>30</v>
      </c>
      <c r="C98" s="17">
        <v>1.86516115575E-6</v>
      </c>
      <c r="D98">
        <v>0.55294100000000002</v>
      </c>
      <c r="E98" t="s">
        <v>610</v>
      </c>
      <c r="F98">
        <v>0.73828125</v>
      </c>
      <c r="G98" t="s">
        <v>634</v>
      </c>
      <c r="H98">
        <v>154</v>
      </c>
      <c r="I98">
        <v>444</v>
      </c>
      <c r="J98">
        <f t="shared" si="1"/>
        <v>5.7292836378342598</v>
      </c>
    </row>
    <row r="99" spans="1:10" x14ac:dyDescent="0.2">
      <c r="A99" t="s">
        <v>550</v>
      </c>
      <c r="B99" t="s">
        <v>30</v>
      </c>
      <c r="C99" s="17">
        <v>1.09307708794999E-31</v>
      </c>
      <c r="D99">
        <v>0.57843100000000003</v>
      </c>
      <c r="E99" t="s">
        <v>610</v>
      </c>
      <c r="F99">
        <v>1</v>
      </c>
      <c r="G99" t="s">
        <v>633</v>
      </c>
      <c r="H99">
        <v>154</v>
      </c>
      <c r="I99">
        <v>681</v>
      </c>
      <c r="J99">
        <f t="shared" si="1"/>
        <v>30.961349208873038</v>
      </c>
    </row>
    <row r="100" spans="1:10" x14ac:dyDescent="0.2">
      <c r="A100" t="s">
        <v>442</v>
      </c>
      <c r="B100" t="s">
        <v>30</v>
      </c>
      <c r="C100" s="17">
        <v>3.81095137292E-6</v>
      </c>
      <c r="D100">
        <v>0.56488499999999997</v>
      </c>
      <c r="E100" t="s">
        <v>610</v>
      </c>
      <c r="F100">
        <v>0.73828125</v>
      </c>
      <c r="G100" t="s">
        <v>634</v>
      </c>
      <c r="H100">
        <v>154</v>
      </c>
      <c r="I100">
        <v>413</v>
      </c>
      <c r="J100">
        <f t="shared" si="1"/>
        <v>5.4189665927149093</v>
      </c>
    </row>
    <row r="101" spans="1:10" x14ac:dyDescent="0.2">
      <c r="A101" t="s">
        <v>92</v>
      </c>
      <c r="B101" t="s">
        <v>30</v>
      </c>
      <c r="C101" s="17">
        <v>7.2248262927799997E-9</v>
      </c>
      <c r="D101">
        <v>0.55555600000000005</v>
      </c>
      <c r="E101" t="s">
        <v>610</v>
      </c>
      <c r="F101">
        <v>1</v>
      </c>
      <c r="G101" t="s">
        <v>635</v>
      </c>
      <c r="H101">
        <v>154</v>
      </c>
      <c r="I101">
        <v>1826</v>
      </c>
      <c r="J101">
        <f t="shared" si="1"/>
        <v>8.141172590231486</v>
      </c>
    </row>
    <row r="102" spans="1:10" x14ac:dyDescent="0.2">
      <c r="A102" t="s">
        <v>453</v>
      </c>
      <c r="B102" t="s">
        <v>30</v>
      </c>
      <c r="C102" s="17">
        <v>3.4390173153700002E-8</v>
      </c>
      <c r="D102">
        <v>0.52879600000000004</v>
      </c>
      <c r="E102" t="s">
        <v>610</v>
      </c>
      <c r="F102">
        <v>1</v>
      </c>
      <c r="G102" t="s">
        <v>635</v>
      </c>
      <c r="H102">
        <v>154</v>
      </c>
      <c r="I102">
        <v>1898</v>
      </c>
      <c r="J102">
        <f t="shared" si="1"/>
        <v>7.4635656375101433</v>
      </c>
    </row>
    <row r="103" spans="1:10" x14ac:dyDescent="0.2">
      <c r="A103" t="s">
        <v>117</v>
      </c>
      <c r="B103" t="s">
        <v>30</v>
      </c>
      <c r="C103" s="17">
        <v>2.15299823525E-8</v>
      </c>
      <c r="D103">
        <v>0.61111099999999996</v>
      </c>
      <c r="E103" t="s">
        <v>610</v>
      </c>
      <c r="F103">
        <v>0.73828125</v>
      </c>
      <c r="G103" t="s">
        <v>634</v>
      </c>
      <c r="H103">
        <v>154</v>
      </c>
      <c r="I103">
        <v>1251</v>
      </c>
      <c r="J103">
        <f t="shared" si="1"/>
        <v>7.6669563261549154</v>
      </c>
    </row>
    <row r="104" spans="1:10" x14ac:dyDescent="0.2">
      <c r="A104" t="s">
        <v>557</v>
      </c>
      <c r="B104" t="s">
        <v>443</v>
      </c>
      <c r="C104" s="17">
        <v>1.13877712027E-6</v>
      </c>
      <c r="D104">
        <v>1</v>
      </c>
      <c r="E104" t="s">
        <v>610</v>
      </c>
      <c r="F104">
        <v>0.97959183673469397</v>
      </c>
      <c r="G104" t="s">
        <v>636</v>
      </c>
      <c r="H104">
        <v>155</v>
      </c>
      <c r="I104">
        <v>2053</v>
      </c>
      <c r="J104">
        <f t="shared" si="1"/>
        <v>5.9435612670610025</v>
      </c>
    </row>
    <row r="105" spans="1:10" x14ac:dyDescent="0.2">
      <c r="A105" t="s">
        <v>429</v>
      </c>
      <c r="B105" t="s">
        <v>443</v>
      </c>
      <c r="C105" s="17">
        <v>8.7881775062499994E-15</v>
      </c>
      <c r="D105">
        <v>0.64634100000000005</v>
      </c>
      <c r="E105" t="s">
        <v>610</v>
      </c>
      <c r="F105">
        <v>0.53578336557060002</v>
      </c>
      <c r="G105" t="s">
        <v>637</v>
      </c>
      <c r="H105">
        <v>155</v>
      </c>
      <c r="I105">
        <v>1356</v>
      </c>
      <c r="J105">
        <f t="shared" si="1"/>
        <v>14.056101179652492</v>
      </c>
    </row>
    <row r="106" spans="1:10" x14ac:dyDescent="0.2">
      <c r="A106" t="s">
        <v>430</v>
      </c>
      <c r="B106" t="s">
        <v>443</v>
      </c>
      <c r="C106" s="17">
        <v>4.1496512295199997E-6</v>
      </c>
      <c r="D106">
        <v>0.61594199999999999</v>
      </c>
      <c r="E106" t="s">
        <v>610</v>
      </c>
      <c r="F106">
        <v>0.43326885880077398</v>
      </c>
      <c r="G106" t="s">
        <v>637</v>
      </c>
      <c r="H106">
        <v>155</v>
      </c>
      <c r="I106">
        <v>2135</v>
      </c>
      <c r="J106">
        <f t="shared" si="1"/>
        <v>5.381988403398771</v>
      </c>
    </row>
    <row r="107" spans="1:10" x14ac:dyDescent="0.2">
      <c r="A107" t="s">
        <v>432</v>
      </c>
      <c r="B107" t="s">
        <v>443</v>
      </c>
      <c r="C107" s="17">
        <v>6.0486245723199999E-7</v>
      </c>
      <c r="D107">
        <v>0.61111099999999996</v>
      </c>
      <c r="E107" t="s">
        <v>610</v>
      </c>
      <c r="F107">
        <v>0.53578336557060002</v>
      </c>
      <c r="G107" t="s">
        <v>637</v>
      </c>
      <c r="H107">
        <v>155</v>
      </c>
      <c r="I107">
        <v>2019</v>
      </c>
      <c r="J107">
        <f t="shared" si="1"/>
        <v>6.218343370564507</v>
      </c>
    </row>
    <row r="108" spans="1:10" x14ac:dyDescent="0.2">
      <c r="A108" t="s">
        <v>433</v>
      </c>
      <c r="B108" t="s">
        <v>443</v>
      </c>
      <c r="C108" s="17">
        <v>7.3616886093400002E-48</v>
      </c>
      <c r="D108">
        <v>0.77227699999999999</v>
      </c>
      <c r="E108" t="s">
        <v>610</v>
      </c>
      <c r="F108">
        <v>0.43326885880077398</v>
      </c>
      <c r="G108" t="s">
        <v>637</v>
      </c>
      <c r="H108">
        <v>155</v>
      </c>
      <c r="I108">
        <v>342</v>
      </c>
      <c r="J108">
        <f t="shared" si="1"/>
        <v>47.133022556640164</v>
      </c>
    </row>
    <row r="109" spans="1:10" x14ac:dyDescent="0.2">
      <c r="A109" t="s">
        <v>555</v>
      </c>
      <c r="B109" t="s">
        <v>443</v>
      </c>
      <c r="C109" s="17">
        <v>1.46122111772E-5</v>
      </c>
      <c r="D109">
        <v>1</v>
      </c>
      <c r="E109" t="s">
        <v>610</v>
      </c>
      <c r="F109">
        <v>0.97959183673469397</v>
      </c>
      <c r="G109" t="s">
        <v>636</v>
      </c>
      <c r="H109">
        <v>155</v>
      </c>
      <c r="I109">
        <v>2204</v>
      </c>
      <c r="J109">
        <f t="shared" si="1"/>
        <v>4.8352840599456171</v>
      </c>
    </row>
    <row r="110" spans="1:10" x14ac:dyDescent="0.2">
      <c r="A110" t="s">
        <v>435</v>
      </c>
      <c r="B110" t="s">
        <v>443</v>
      </c>
      <c r="C110" s="17">
        <v>4.8146805341099998E-11</v>
      </c>
      <c r="D110">
        <v>0.68548399999999998</v>
      </c>
      <c r="E110" t="s">
        <v>610</v>
      </c>
      <c r="F110">
        <v>0.43326885880077398</v>
      </c>
      <c r="G110" t="s">
        <v>637</v>
      </c>
      <c r="H110">
        <v>155</v>
      </c>
      <c r="I110">
        <v>1646</v>
      </c>
      <c r="J110">
        <f t="shared" si="1"/>
        <v>10.317432524090023</v>
      </c>
    </row>
    <row r="111" spans="1:10" x14ac:dyDescent="0.2">
      <c r="C111" s="17"/>
    </row>
    <row r="112" spans="1:10" x14ac:dyDescent="0.2">
      <c r="A112" t="s">
        <v>444</v>
      </c>
      <c r="B112" t="s">
        <v>443</v>
      </c>
      <c r="C112" s="17">
        <v>4.6374337149499899E-14</v>
      </c>
      <c r="D112">
        <v>0.69523800000000002</v>
      </c>
      <c r="E112" t="s">
        <v>610</v>
      </c>
      <c r="F112">
        <v>0.53578336557060002</v>
      </c>
      <c r="G112" t="s">
        <v>637</v>
      </c>
      <c r="H112">
        <v>155</v>
      </c>
      <c r="I112">
        <v>1397</v>
      </c>
      <c r="J112">
        <f t="shared" si="1"/>
        <v>13.333722284910523</v>
      </c>
    </row>
    <row r="113" spans="1:10" x14ac:dyDescent="0.2">
      <c r="A113" t="s">
        <v>559</v>
      </c>
      <c r="B113" t="s">
        <v>638</v>
      </c>
      <c r="C113" s="17">
        <v>3.2834259732299999E-19</v>
      </c>
      <c r="D113">
        <v>0.38461499999999998</v>
      </c>
      <c r="E113" t="s">
        <v>610</v>
      </c>
      <c r="F113">
        <v>0.25773195876288701</v>
      </c>
      <c r="G113" t="s">
        <v>639</v>
      </c>
      <c r="H113">
        <v>367</v>
      </c>
      <c r="I113">
        <v>1081</v>
      </c>
      <c r="J113">
        <f t="shared" si="1"/>
        <v>18.483672770690575</v>
      </c>
    </row>
    <row r="114" spans="1:10" x14ac:dyDescent="0.2">
      <c r="A114" t="s">
        <v>560</v>
      </c>
      <c r="B114" t="s">
        <v>638</v>
      </c>
      <c r="C114" s="17">
        <v>2.9208630048599899E-127</v>
      </c>
      <c r="D114">
        <v>0.49275400000000003</v>
      </c>
      <c r="E114" t="s">
        <v>610</v>
      </c>
      <c r="F114">
        <v>0.58128469468675703</v>
      </c>
      <c r="G114" t="s">
        <v>639</v>
      </c>
      <c r="H114">
        <v>367</v>
      </c>
      <c r="I114">
        <v>43</v>
      </c>
      <c r="J114">
        <f t="shared" si="1"/>
        <v>126.53448881195099</v>
      </c>
    </row>
    <row r="115" spans="1:10" x14ac:dyDescent="0.2">
      <c r="A115" t="s">
        <v>561</v>
      </c>
      <c r="B115" t="s">
        <v>638</v>
      </c>
      <c r="C115" s="17">
        <v>1.83943985369E-119</v>
      </c>
      <c r="D115">
        <v>1</v>
      </c>
      <c r="E115" t="s">
        <v>610</v>
      </c>
      <c r="F115">
        <v>0.58128469468675703</v>
      </c>
      <c r="G115" t="s">
        <v>639</v>
      </c>
      <c r="H115">
        <v>367</v>
      </c>
      <c r="I115">
        <v>50</v>
      </c>
      <c r="J115">
        <f t="shared" si="1"/>
        <v>118.73531440823383</v>
      </c>
    </row>
    <row r="116" spans="1:10" x14ac:dyDescent="0.2">
      <c r="A116" t="s">
        <v>545</v>
      </c>
      <c r="B116" t="s">
        <v>558</v>
      </c>
      <c r="C116" s="17">
        <v>1.89546921992E-20</v>
      </c>
      <c r="D116">
        <v>0.62619800000000003</v>
      </c>
      <c r="E116" t="s">
        <v>610</v>
      </c>
      <c r="F116">
        <v>0.105633802816901</v>
      </c>
      <c r="G116" t="s">
        <v>640</v>
      </c>
      <c r="H116">
        <v>185</v>
      </c>
      <c r="I116">
        <v>1030</v>
      </c>
      <c r="J116">
        <f t="shared" si="1"/>
        <v>19.722283263586494</v>
      </c>
    </row>
    <row r="117" spans="1:10" x14ac:dyDescent="0.2">
      <c r="A117" t="s">
        <v>562</v>
      </c>
      <c r="B117" t="s">
        <v>638</v>
      </c>
      <c r="C117" s="17">
        <v>2.05537653206E-105</v>
      </c>
      <c r="D117">
        <v>1</v>
      </c>
      <c r="E117" t="s">
        <v>610</v>
      </c>
      <c r="F117">
        <v>0.58128469468675703</v>
      </c>
      <c r="G117" t="s">
        <v>639</v>
      </c>
      <c r="H117">
        <v>367</v>
      </c>
      <c r="I117">
        <v>66</v>
      </c>
      <c r="J117">
        <f t="shared" si="1"/>
        <v>104.68710860648059</v>
      </c>
    </row>
    <row r="118" spans="1:10" x14ac:dyDescent="0.2">
      <c r="A118" t="s">
        <v>563</v>
      </c>
      <c r="B118" t="s">
        <v>638</v>
      </c>
      <c r="C118" s="17">
        <v>7.4001447324699999E-205</v>
      </c>
      <c r="D118">
        <v>1</v>
      </c>
      <c r="E118" t="s">
        <v>610</v>
      </c>
      <c r="F118">
        <v>0.58128469468675703</v>
      </c>
      <c r="G118" t="s">
        <v>639</v>
      </c>
      <c r="H118">
        <v>367</v>
      </c>
      <c r="I118">
        <v>14</v>
      </c>
      <c r="J118">
        <f t="shared" si="1"/>
        <v>204.13075978622871</v>
      </c>
    </row>
    <row r="119" spans="1:10" x14ac:dyDescent="0.2">
      <c r="A119" t="s">
        <v>564</v>
      </c>
      <c r="B119" t="s">
        <v>638</v>
      </c>
      <c r="C119" s="17">
        <v>1.5244366745100001E-105</v>
      </c>
      <c r="D119">
        <v>0.45555600000000002</v>
      </c>
      <c r="E119" t="s">
        <v>610</v>
      </c>
      <c r="F119">
        <v>0.25773195876288701</v>
      </c>
      <c r="G119" t="s">
        <v>639</v>
      </c>
      <c r="H119">
        <v>367</v>
      </c>
      <c r="I119">
        <v>65</v>
      </c>
      <c r="J119">
        <f t="shared" si="1"/>
        <v>104.81689061162794</v>
      </c>
    </row>
    <row r="120" spans="1:10" x14ac:dyDescent="0.2">
      <c r="A120" t="s">
        <v>565</v>
      </c>
      <c r="B120" t="s">
        <v>638</v>
      </c>
      <c r="C120" s="17">
        <v>2.05706081565E-151</v>
      </c>
      <c r="D120">
        <v>1</v>
      </c>
      <c r="E120" t="s">
        <v>610</v>
      </c>
      <c r="F120">
        <v>0.25773195876288701</v>
      </c>
      <c r="G120" t="s">
        <v>639</v>
      </c>
      <c r="H120">
        <v>367</v>
      </c>
      <c r="I120">
        <v>29</v>
      </c>
      <c r="J120">
        <f t="shared" si="1"/>
        <v>150.68675286848477</v>
      </c>
    </row>
    <row r="121" spans="1:10" x14ac:dyDescent="0.2">
      <c r="A121" t="s">
        <v>543</v>
      </c>
      <c r="B121" t="s">
        <v>641</v>
      </c>
      <c r="C121" s="17">
        <v>4.3882438930199998E-5</v>
      </c>
      <c r="D121">
        <v>0.38028200000000001</v>
      </c>
      <c r="E121" t="s">
        <v>610</v>
      </c>
      <c r="F121">
        <v>0.56739811912225702</v>
      </c>
      <c r="G121" t="s">
        <v>642</v>
      </c>
      <c r="H121">
        <v>185</v>
      </c>
      <c r="I121">
        <v>2260</v>
      </c>
      <c r="J121">
        <f t="shared" si="1"/>
        <v>4.3577092428910325</v>
      </c>
    </row>
    <row r="122" spans="1:10" x14ac:dyDescent="0.2">
      <c r="A122" t="s">
        <v>566</v>
      </c>
      <c r="B122" t="s">
        <v>638</v>
      </c>
      <c r="C122" s="17">
        <v>2.9355616807799999E-40</v>
      </c>
      <c r="D122">
        <v>0.730159</v>
      </c>
      <c r="E122" t="s">
        <v>610</v>
      </c>
      <c r="F122">
        <v>0.11181601903251399</v>
      </c>
      <c r="G122" t="s">
        <v>639</v>
      </c>
      <c r="H122">
        <v>367</v>
      </c>
      <c r="I122">
        <v>469</v>
      </c>
      <c r="J122">
        <f t="shared" si="1"/>
        <v>39.532308789978543</v>
      </c>
    </row>
    <row r="123" spans="1:10" x14ac:dyDescent="0.2">
      <c r="A123" t="s">
        <v>567</v>
      </c>
      <c r="B123" t="s">
        <v>641</v>
      </c>
      <c r="C123" s="17">
        <v>2.5426475668699999E-5</v>
      </c>
      <c r="D123">
        <v>0.34615400000000002</v>
      </c>
      <c r="E123" t="s">
        <v>610</v>
      </c>
      <c r="F123">
        <v>0.56739811912225702</v>
      </c>
      <c r="G123" t="s">
        <v>642</v>
      </c>
      <c r="H123">
        <v>185</v>
      </c>
      <c r="I123">
        <v>2228</v>
      </c>
      <c r="J123">
        <f t="shared" si="1"/>
        <v>4.5947138326559145</v>
      </c>
    </row>
    <row r="124" spans="1:10" x14ac:dyDescent="0.2">
      <c r="A124" t="s">
        <v>445</v>
      </c>
      <c r="B124" t="s">
        <v>643</v>
      </c>
      <c r="C124" s="17">
        <v>2.91556947713E-22</v>
      </c>
      <c r="D124">
        <v>0.78977299999999995</v>
      </c>
      <c r="E124" t="s">
        <v>610</v>
      </c>
      <c r="F124">
        <v>0.86676875957121002</v>
      </c>
      <c r="G124" t="s">
        <v>644</v>
      </c>
      <c r="H124">
        <v>367</v>
      </c>
      <c r="I124">
        <v>451</v>
      </c>
      <c r="J124">
        <f t="shared" si="1"/>
        <v>21.53527660501479</v>
      </c>
    </row>
    <row r="125" spans="1:10" x14ac:dyDescent="0.2">
      <c r="A125" t="s">
        <v>568</v>
      </c>
      <c r="B125" t="s">
        <v>643</v>
      </c>
      <c r="C125" s="17">
        <v>1.9387873058499998E-21</v>
      </c>
      <c r="D125">
        <v>0.57009299999999996</v>
      </c>
      <c r="E125" t="s">
        <v>610</v>
      </c>
      <c r="F125">
        <v>0.8</v>
      </c>
      <c r="G125" t="s">
        <v>645</v>
      </c>
      <c r="H125">
        <v>367</v>
      </c>
      <c r="I125">
        <v>981</v>
      </c>
      <c r="J125">
        <f t="shared" si="1"/>
        <v>20.712469832469676</v>
      </c>
    </row>
    <row r="126" spans="1:10" x14ac:dyDescent="0.2">
      <c r="A126" t="s">
        <v>446</v>
      </c>
      <c r="B126" t="s">
        <v>643</v>
      </c>
      <c r="C126" s="17">
        <v>2.9527896299499999E-16</v>
      </c>
      <c r="D126">
        <v>0.75294099999999997</v>
      </c>
      <c r="E126" t="s">
        <v>610</v>
      </c>
      <c r="F126">
        <v>0.86676875957121002</v>
      </c>
      <c r="G126" t="s">
        <v>644</v>
      </c>
      <c r="H126">
        <v>367</v>
      </c>
      <c r="I126">
        <v>1268</v>
      </c>
      <c r="J126">
        <f t="shared" si="1"/>
        <v>15.529767493030294</v>
      </c>
    </row>
    <row r="127" spans="1:10" x14ac:dyDescent="0.2">
      <c r="A127" t="s">
        <v>569</v>
      </c>
      <c r="B127" t="s">
        <v>643</v>
      </c>
      <c r="C127" s="17">
        <v>1.6515990648000001E-21</v>
      </c>
      <c r="D127">
        <v>0.56830599999999998</v>
      </c>
      <c r="E127" t="s">
        <v>610</v>
      </c>
      <c r="F127">
        <v>0.8</v>
      </c>
      <c r="G127" t="s">
        <v>645</v>
      </c>
      <c r="H127">
        <v>367</v>
      </c>
      <c r="I127">
        <v>976</v>
      </c>
      <c r="J127">
        <f t="shared" si="1"/>
        <v>20.78209537171179</v>
      </c>
    </row>
    <row r="128" spans="1:10" x14ac:dyDescent="0.2">
      <c r="A128" t="s">
        <v>99</v>
      </c>
      <c r="B128" t="s">
        <v>643</v>
      </c>
      <c r="C128" s="17">
        <v>1.81643252062999E-25</v>
      </c>
      <c r="D128">
        <v>0.65333300000000005</v>
      </c>
      <c r="E128" t="s">
        <v>610</v>
      </c>
      <c r="F128">
        <v>0.86676875957121002</v>
      </c>
      <c r="G128" t="s">
        <v>644</v>
      </c>
      <c r="H128">
        <v>367</v>
      </c>
      <c r="I128">
        <v>737</v>
      </c>
      <c r="J128">
        <f t="shared" si="1"/>
        <v>24.740780731279042</v>
      </c>
    </row>
    <row r="129" spans="1:10" x14ac:dyDescent="0.2">
      <c r="A129" t="s">
        <v>100</v>
      </c>
      <c r="B129" t="s">
        <v>643</v>
      </c>
      <c r="C129" s="17">
        <v>1.1309187632499999E-22</v>
      </c>
      <c r="D129">
        <v>0.65333300000000005</v>
      </c>
      <c r="E129" t="s">
        <v>610</v>
      </c>
      <c r="F129">
        <v>0.86676875957121002</v>
      </c>
      <c r="G129" t="s">
        <v>644</v>
      </c>
      <c r="H129">
        <v>367</v>
      </c>
      <c r="I129">
        <v>738</v>
      </c>
      <c r="J129">
        <f t="shared" si="1"/>
        <v>21.946568590423237</v>
      </c>
    </row>
    <row r="130" spans="1:10" x14ac:dyDescent="0.2">
      <c r="A130" t="s">
        <v>101</v>
      </c>
      <c r="B130" t="s">
        <v>643</v>
      </c>
      <c r="C130" s="17">
        <v>3.1500751182099999E-23</v>
      </c>
      <c r="D130">
        <v>0.65753399999999995</v>
      </c>
      <c r="E130" t="s">
        <v>610</v>
      </c>
      <c r="F130">
        <v>0.86676875957121002</v>
      </c>
      <c r="G130" t="s">
        <v>644</v>
      </c>
      <c r="H130">
        <v>367</v>
      </c>
      <c r="I130">
        <v>740</v>
      </c>
      <c r="J130">
        <f t="shared" si="1"/>
        <v>22.501679089691315</v>
      </c>
    </row>
    <row r="131" spans="1:10" x14ac:dyDescent="0.2">
      <c r="A131" t="s">
        <v>512</v>
      </c>
      <c r="B131" t="s">
        <v>643</v>
      </c>
      <c r="C131" s="17">
        <v>4.2573652723800001E-21</v>
      </c>
      <c r="D131">
        <v>0.57065200000000005</v>
      </c>
      <c r="E131" t="s">
        <v>610</v>
      </c>
      <c r="F131">
        <v>0.8</v>
      </c>
      <c r="G131" t="s">
        <v>645</v>
      </c>
      <c r="H131">
        <v>367</v>
      </c>
      <c r="I131">
        <v>1000</v>
      </c>
      <c r="J131">
        <f t="shared" ref="J131:J194" si="2">-LOG10(C131)</f>
        <v>20.370859086733002</v>
      </c>
    </row>
    <row r="132" spans="1:10" x14ac:dyDescent="0.2">
      <c r="A132" t="s">
        <v>447</v>
      </c>
      <c r="B132" t="s">
        <v>643</v>
      </c>
      <c r="C132" s="17">
        <v>2.2179650037699999E-15</v>
      </c>
      <c r="D132">
        <v>0.72413799999999995</v>
      </c>
      <c r="E132" t="s">
        <v>610</v>
      </c>
      <c r="F132">
        <v>0.86676875957121002</v>
      </c>
      <c r="G132" t="s">
        <v>644</v>
      </c>
      <c r="H132">
        <v>367</v>
      </c>
      <c r="I132">
        <v>1312</v>
      </c>
      <c r="J132">
        <f t="shared" si="2"/>
        <v>14.654045310661829</v>
      </c>
    </row>
    <row r="133" spans="1:10" x14ac:dyDescent="0.2">
      <c r="A133" t="s">
        <v>571</v>
      </c>
      <c r="B133" t="s">
        <v>646</v>
      </c>
      <c r="C133" s="17">
        <v>1.89246705187E-29</v>
      </c>
      <c r="D133">
        <v>0.62322900000000003</v>
      </c>
      <c r="E133" t="s">
        <v>610</v>
      </c>
      <c r="F133">
        <v>0.40425531914893598</v>
      </c>
      <c r="G133" t="s">
        <v>647</v>
      </c>
      <c r="H133">
        <v>552</v>
      </c>
      <c r="I133">
        <v>735</v>
      </c>
      <c r="J133">
        <f t="shared" si="2"/>
        <v>28.722971672892943</v>
      </c>
    </row>
    <row r="134" spans="1:10" x14ac:dyDescent="0.2">
      <c r="A134" t="s">
        <v>449</v>
      </c>
      <c r="B134" t="s">
        <v>646</v>
      </c>
      <c r="C134" s="17">
        <v>3.0329394629399998E-15</v>
      </c>
      <c r="D134">
        <v>0.4375</v>
      </c>
      <c r="E134" t="s">
        <v>610</v>
      </c>
      <c r="F134">
        <v>0.40425531914893598</v>
      </c>
      <c r="G134" t="s">
        <v>647</v>
      </c>
      <c r="H134">
        <v>552</v>
      </c>
      <c r="I134">
        <v>1325</v>
      </c>
      <c r="J134">
        <f t="shared" si="2"/>
        <v>14.518136258061736</v>
      </c>
    </row>
    <row r="135" spans="1:10" x14ac:dyDescent="0.2">
      <c r="A135" t="s">
        <v>90</v>
      </c>
      <c r="B135" t="s">
        <v>646</v>
      </c>
      <c r="C135" s="17">
        <v>3.5608215722499898E-21</v>
      </c>
      <c r="D135">
        <v>0.53571400000000002</v>
      </c>
      <c r="E135" t="s">
        <v>610</v>
      </c>
      <c r="F135">
        <v>0.40425531914893598</v>
      </c>
      <c r="G135" t="s">
        <v>647</v>
      </c>
      <c r="H135">
        <v>552</v>
      </c>
      <c r="I135">
        <v>996</v>
      </c>
      <c r="J135">
        <f t="shared" si="2"/>
        <v>20.448449787664888</v>
      </c>
    </row>
    <row r="136" spans="1:10" x14ac:dyDescent="0.2">
      <c r="A136" t="s">
        <v>572</v>
      </c>
      <c r="B136" t="s">
        <v>646</v>
      </c>
      <c r="C136" s="17">
        <v>7.9660356718099998E-5</v>
      </c>
      <c r="D136">
        <v>0.32467499999999999</v>
      </c>
      <c r="E136" t="s">
        <v>610</v>
      </c>
      <c r="F136">
        <v>0.55851063829787195</v>
      </c>
      <c r="G136" t="s">
        <v>647</v>
      </c>
      <c r="H136">
        <v>552</v>
      </c>
      <c r="I136">
        <v>2302</v>
      </c>
      <c r="J136">
        <f t="shared" si="2"/>
        <v>4.098757753156975</v>
      </c>
    </row>
    <row r="137" spans="1:10" x14ac:dyDescent="0.2">
      <c r="A137" t="s">
        <v>456</v>
      </c>
      <c r="B137" t="s">
        <v>648</v>
      </c>
      <c r="C137" s="17">
        <v>4.3348957756699997E-10</v>
      </c>
      <c r="D137">
        <v>0.53886000000000001</v>
      </c>
      <c r="E137" t="s">
        <v>610</v>
      </c>
      <c r="F137">
        <v>0.59609120521172598</v>
      </c>
      <c r="G137" t="s">
        <v>649</v>
      </c>
      <c r="H137">
        <v>554</v>
      </c>
      <c r="I137">
        <v>1348</v>
      </c>
      <c r="J137">
        <f t="shared" si="2"/>
        <v>9.3630213398476414</v>
      </c>
    </row>
    <row r="138" spans="1:10" x14ac:dyDescent="0.2">
      <c r="A138" t="s">
        <v>517</v>
      </c>
      <c r="B138" t="s">
        <v>648</v>
      </c>
      <c r="C138" s="17">
        <v>1.69494424829E-6</v>
      </c>
      <c r="D138">
        <v>0.61371799999999999</v>
      </c>
      <c r="E138" t="s">
        <v>610</v>
      </c>
      <c r="F138">
        <v>0.60526315789473695</v>
      </c>
      <c r="G138" t="s">
        <v>650</v>
      </c>
      <c r="H138">
        <v>554</v>
      </c>
      <c r="I138">
        <v>2082</v>
      </c>
      <c r="J138">
        <f t="shared" si="2"/>
        <v>5.770844582450998</v>
      </c>
    </row>
    <row r="139" spans="1:10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10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10" x14ac:dyDescent="0.2">
      <c r="A141" t="s">
        <v>20</v>
      </c>
      <c r="B141" t="s">
        <v>651</v>
      </c>
      <c r="C141" s="17">
        <v>3.01997739038E-8</v>
      </c>
      <c r="D141">
        <v>0.54807700000000004</v>
      </c>
      <c r="E141" t="s">
        <v>610</v>
      </c>
      <c r="F141">
        <v>0.4</v>
      </c>
      <c r="G141" t="s">
        <v>652</v>
      </c>
      <c r="H141">
        <v>774</v>
      </c>
      <c r="I141">
        <v>1893</v>
      </c>
      <c r="J141">
        <f t="shared" si="2"/>
        <v>7.5199963084567436</v>
      </c>
    </row>
    <row r="142" spans="1:10" x14ac:dyDescent="0.2">
      <c r="A142" t="s">
        <v>449</v>
      </c>
      <c r="B142" t="s">
        <v>651</v>
      </c>
      <c r="C142" s="17">
        <v>2.99275526377E-26</v>
      </c>
      <c r="D142">
        <v>0.57613199999999998</v>
      </c>
      <c r="E142" t="s">
        <v>610</v>
      </c>
      <c r="F142">
        <v>0.4</v>
      </c>
      <c r="G142" t="s">
        <v>652</v>
      </c>
      <c r="H142">
        <v>774</v>
      </c>
      <c r="I142">
        <v>821</v>
      </c>
      <c r="J142">
        <f t="shared" si="2"/>
        <v>25.523928796671331</v>
      </c>
    </row>
    <row r="143" spans="1:10" x14ac:dyDescent="0.2">
      <c r="A143" t="s">
        <v>72</v>
      </c>
      <c r="B143" t="s">
        <v>653</v>
      </c>
      <c r="C143" s="17">
        <v>1.30079970322E-12</v>
      </c>
      <c r="D143">
        <v>0.59278399999999998</v>
      </c>
      <c r="E143" t="s">
        <v>610</v>
      </c>
      <c r="F143">
        <v>0.32530120481927699</v>
      </c>
      <c r="G143" t="s">
        <v>654</v>
      </c>
      <c r="H143">
        <v>775</v>
      </c>
      <c r="I143">
        <v>1507</v>
      </c>
      <c r="J143">
        <f t="shared" si="2"/>
        <v>11.885789570835133</v>
      </c>
    </row>
    <row r="144" spans="1:10" x14ac:dyDescent="0.2">
      <c r="A144" s="18" t="s">
        <v>21</v>
      </c>
      <c r="B144" s="18" t="s">
        <v>653</v>
      </c>
      <c r="C144" s="19">
        <v>7.9500000000000004E-8</v>
      </c>
      <c r="D144" s="18">
        <v>0.50320500000000001</v>
      </c>
      <c r="E144" s="18" t="s">
        <v>610</v>
      </c>
      <c r="F144" s="18">
        <v>0.32530120499999998</v>
      </c>
      <c r="G144" s="18" t="s">
        <v>654</v>
      </c>
      <c r="H144" s="18">
        <v>775</v>
      </c>
      <c r="I144" s="18">
        <v>1935</v>
      </c>
      <c r="J144">
        <f t="shared" si="2"/>
        <v>7.0996328713435295</v>
      </c>
    </row>
    <row r="145" spans="1:10" x14ac:dyDescent="0.2">
      <c r="A145" t="s">
        <v>451</v>
      </c>
      <c r="B145" t="s">
        <v>653</v>
      </c>
      <c r="C145" s="17">
        <v>3.5410295638799999E-13</v>
      </c>
      <c r="D145">
        <v>0.62427699999999997</v>
      </c>
      <c r="E145" t="s">
        <v>610</v>
      </c>
      <c r="F145">
        <v>0.32530120481927699</v>
      </c>
      <c r="G145" t="s">
        <v>654</v>
      </c>
      <c r="H145">
        <v>775</v>
      </c>
      <c r="I145">
        <v>1466</v>
      </c>
      <c r="J145">
        <f t="shared" si="2"/>
        <v>12.450870447323688</v>
      </c>
    </row>
    <row r="146" spans="1:10" x14ac:dyDescent="0.2">
      <c r="A146" t="s">
        <v>452</v>
      </c>
      <c r="B146" t="s">
        <v>653</v>
      </c>
      <c r="C146" s="17">
        <v>1.6875893751199998E-5</v>
      </c>
      <c r="D146">
        <v>0.53370799999999996</v>
      </c>
      <c r="E146" t="s">
        <v>610</v>
      </c>
      <c r="F146">
        <v>0.71428571428571397</v>
      </c>
      <c r="G146" t="s">
        <v>655</v>
      </c>
      <c r="H146">
        <v>775</v>
      </c>
      <c r="I146">
        <v>2212</v>
      </c>
      <c r="J146">
        <f t="shared" si="2"/>
        <v>4.7727332175525889</v>
      </c>
    </row>
    <row r="147" spans="1:10" x14ac:dyDescent="0.2">
      <c r="A147" t="s">
        <v>453</v>
      </c>
      <c r="B147" t="s">
        <v>653</v>
      </c>
      <c r="C147" s="17">
        <v>3.6484445758099998E-13</v>
      </c>
      <c r="D147">
        <v>0.57333299999999998</v>
      </c>
      <c r="E147" t="s">
        <v>610</v>
      </c>
      <c r="F147">
        <v>0.32530120481927699</v>
      </c>
      <c r="G147" t="s">
        <v>654</v>
      </c>
      <c r="H147">
        <v>775</v>
      </c>
      <c r="I147">
        <v>1468</v>
      </c>
      <c r="J147">
        <f t="shared" si="2"/>
        <v>12.437892246808246</v>
      </c>
    </row>
    <row r="148" spans="1:10" x14ac:dyDescent="0.2">
      <c r="A148" t="s">
        <v>454</v>
      </c>
      <c r="B148" t="s">
        <v>653</v>
      </c>
      <c r="C148" s="17">
        <v>6.0992178682399998E-16</v>
      </c>
      <c r="D148">
        <v>0.66341499999999998</v>
      </c>
      <c r="E148" t="s">
        <v>610</v>
      </c>
      <c r="F148">
        <v>0.32530120481927699</v>
      </c>
      <c r="G148" t="s">
        <v>654</v>
      </c>
      <c r="H148">
        <v>775</v>
      </c>
      <c r="I148">
        <v>1289</v>
      </c>
      <c r="J148">
        <f t="shared" si="2"/>
        <v>15.214725853068849</v>
      </c>
    </row>
    <row r="149" spans="1:10" x14ac:dyDescent="0.2">
      <c r="A149" t="s">
        <v>456</v>
      </c>
      <c r="B149" t="s">
        <v>455</v>
      </c>
      <c r="C149" s="17">
        <v>8.3341144152200006E-28</v>
      </c>
      <c r="D149">
        <v>0.72237200000000001</v>
      </c>
      <c r="E149" t="s">
        <v>610</v>
      </c>
      <c r="F149">
        <v>0.63849765258215996</v>
      </c>
      <c r="G149" t="s">
        <v>656</v>
      </c>
      <c r="H149">
        <v>886</v>
      </c>
      <c r="I149">
        <v>765</v>
      </c>
      <c r="J149">
        <f t="shared" si="2"/>
        <v>27.079140541608808</v>
      </c>
    </row>
    <row r="150" spans="1:10" x14ac:dyDescent="0.2">
      <c r="A150" t="s">
        <v>457</v>
      </c>
      <c r="B150" t="s">
        <v>455</v>
      </c>
      <c r="C150" s="17">
        <v>6.2986035620500005E-7</v>
      </c>
      <c r="D150">
        <v>0.550562</v>
      </c>
      <c r="E150" t="s">
        <v>610</v>
      </c>
      <c r="F150">
        <v>0.63849765258215996</v>
      </c>
      <c r="G150" t="s">
        <v>656</v>
      </c>
      <c r="H150">
        <v>886</v>
      </c>
      <c r="I150">
        <v>107</v>
      </c>
      <c r="J150">
        <f t="shared" si="2"/>
        <v>6.2007557255495174</v>
      </c>
    </row>
    <row r="151" spans="1:10" x14ac:dyDescent="0.2">
      <c r="A151" t="s">
        <v>458</v>
      </c>
      <c r="B151" t="s">
        <v>455</v>
      </c>
      <c r="C151" s="17">
        <v>6.8491353255599998E-8</v>
      </c>
      <c r="D151">
        <v>0.41428599999999999</v>
      </c>
      <c r="E151" t="s">
        <v>610</v>
      </c>
      <c r="F151">
        <v>0.63849765258215996</v>
      </c>
      <c r="G151" t="s">
        <v>656</v>
      </c>
      <c r="H151">
        <v>886</v>
      </c>
      <c r="I151">
        <v>126</v>
      </c>
      <c r="J151">
        <f t="shared" si="2"/>
        <v>7.1643642528931304</v>
      </c>
    </row>
    <row r="152" spans="1:10" x14ac:dyDescent="0.2">
      <c r="A152" t="s">
        <v>576</v>
      </c>
      <c r="B152" t="s">
        <v>455</v>
      </c>
      <c r="C152" s="17">
        <v>6.2650666031399995E-17</v>
      </c>
      <c r="D152">
        <v>0.31914900000000002</v>
      </c>
      <c r="E152" t="s">
        <v>610</v>
      </c>
      <c r="F152">
        <v>0.21212121212121199</v>
      </c>
      <c r="G152" t="s">
        <v>657</v>
      </c>
      <c r="H152">
        <v>886</v>
      </c>
      <c r="I152">
        <v>1227</v>
      </c>
      <c r="J152">
        <f t="shared" si="2"/>
        <v>16.203074307714935</v>
      </c>
    </row>
    <row r="153" spans="1:10" x14ac:dyDescent="0.2">
      <c r="A153" t="s">
        <v>466</v>
      </c>
      <c r="B153" t="s">
        <v>455</v>
      </c>
      <c r="C153" s="17">
        <v>7.6773894117600005E-6</v>
      </c>
      <c r="D153">
        <v>0.542601</v>
      </c>
      <c r="E153" t="s">
        <v>610</v>
      </c>
      <c r="F153">
        <v>0.48484848484848497</v>
      </c>
      <c r="G153" t="s">
        <v>657</v>
      </c>
      <c r="H153">
        <v>886</v>
      </c>
      <c r="I153">
        <v>2172</v>
      </c>
      <c r="J153">
        <f t="shared" si="2"/>
        <v>5.1147864305942132</v>
      </c>
    </row>
    <row r="154" spans="1:10" x14ac:dyDescent="0.2">
      <c r="C154" s="17"/>
    </row>
    <row r="155" spans="1:10" x14ac:dyDescent="0.2">
      <c r="A155" t="s">
        <v>439</v>
      </c>
      <c r="B155" t="s">
        <v>455</v>
      </c>
      <c r="C155" s="17">
        <v>4.4390404114699997E-20</v>
      </c>
      <c r="D155">
        <v>0.56603800000000004</v>
      </c>
      <c r="E155" t="s">
        <v>610</v>
      </c>
      <c r="F155">
        <v>0.63849765258215996</v>
      </c>
      <c r="G155" t="s">
        <v>656</v>
      </c>
      <c r="H155">
        <v>886</v>
      </c>
      <c r="I155">
        <v>1044</v>
      </c>
      <c r="J155">
        <f t="shared" si="2"/>
        <v>19.352710901291701</v>
      </c>
    </row>
    <row r="156" spans="1:10" x14ac:dyDescent="0.2">
      <c r="A156" t="s">
        <v>459</v>
      </c>
      <c r="B156" t="s">
        <v>455</v>
      </c>
      <c r="C156" s="17">
        <v>6.3578471376499997E-9</v>
      </c>
      <c r="D156">
        <v>0.63363400000000003</v>
      </c>
      <c r="E156" t="s">
        <v>610</v>
      </c>
      <c r="F156">
        <v>0.63849765258215996</v>
      </c>
      <c r="G156" t="s">
        <v>656</v>
      </c>
      <c r="H156">
        <v>886</v>
      </c>
      <c r="I156">
        <v>61</v>
      </c>
      <c r="J156">
        <f t="shared" si="2"/>
        <v>8.1966899180810717</v>
      </c>
    </row>
    <row r="157" spans="1:10" x14ac:dyDescent="0.2">
      <c r="A157" t="s">
        <v>460</v>
      </c>
      <c r="B157" t="s">
        <v>455</v>
      </c>
      <c r="C157" s="17">
        <v>3.4573947011299998E-11</v>
      </c>
      <c r="D157">
        <v>0.66987200000000002</v>
      </c>
      <c r="E157" t="s">
        <v>610</v>
      </c>
      <c r="F157">
        <v>0.63849765258215996</v>
      </c>
      <c r="G157" t="s">
        <v>656</v>
      </c>
      <c r="H157">
        <v>886</v>
      </c>
      <c r="I157">
        <v>42</v>
      </c>
      <c r="J157">
        <f t="shared" si="2"/>
        <v>10.461251037947379</v>
      </c>
    </row>
    <row r="158" spans="1:10" x14ac:dyDescent="0.2">
      <c r="A158" t="s">
        <v>461</v>
      </c>
      <c r="B158" t="s">
        <v>455</v>
      </c>
      <c r="C158" s="17">
        <v>8.3807984996299998E-9</v>
      </c>
      <c r="D158">
        <v>0.62017800000000001</v>
      </c>
      <c r="E158" t="s">
        <v>610</v>
      </c>
      <c r="F158">
        <v>0.63849765258215996</v>
      </c>
      <c r="G158" t="s">
        <v>656</v>
      </c>
      <c r="H158">
        <v>886</v>
      </c>
      <c r="I158">
        <v>59</v>
      </c>
      <c r="J158">
        <f t="shared" si="2"/>
        <v>8.0767146010042978</v>
      </c>
    </row>
    <row r="159" spans="1:10" x14ac:dyDescent="0.2">
      <c r="A159" t="s">
        <v>462</v>
      </c>
      <c r="B159" t="s">
        <v>455</v>
      </c>
      <c r="C159" s="17">
        <v>5.3463714566599997E-9</v>
      </c>
      <c r="D159">
        <v>0.58387100000000003</v>
      </c>
      <c r="E159" t="s">
        <v>610</v>
      </c>
      <c r="F159">
        <v>0.63690476190476197</v>
      </c>
      <c r="G159" t="s">
        <v>658</v>
      </c>
      <c r="H159">
        <v>886</v>
      </c>
      <c r="I159">
        <v>1812</v>
      </c>
      <c r="J159">
        <f t="shared" si="2"/>
        <v>8.2719408705002824</v>
      </c>
    </row>
    <row r="160" spans="1:10" x14ac:dyDescent="0.2">
      <c r="A160" t="s">
        <v>463</v>
      </c>
      <c r="B160" t="s">
        <v>455</v>
      </c>
      <c r="C160" s="17">
        <v>5.7498547376100002E-11</v>
      </c>
      <c r="D160">
        <v>0.64792899999999998</v>
      </c>
      <c r="E160" t="s">
        <v>610</v>
      </c>
      <c r="F160">
        <v>0.63849765258215996</v>
      </c>
      <c r="G160" t="s">
        <v>656</v>
      </c>
      <c r="H160">
        <v>886</v>
      </c>
      <c r="I160">
        <v>47</v>
      </c>
      <c r="J160">
        <f t="shared" si="2"/>
        <v>10.240343127041029</v>
      </c>
    </row>
    <row r="161" spans="1:10" x14ac:dyDescent="0.2">
      <c r="A161" t="s">
        <v>464</v>
      </c>
      <c r="B161" t="s">
        <v>455</v>
      </c>
      <c r="C161" s="17">
        <v>2.5292868178900001E-54</v>
      </c>
      <c r="D161">
        <v>0.73943700000000001</v>
      </c>
      <c r="E161" t="s">
        <v>610</v>
      </c>
      <c r="F161">
        <v>0.323943661971831</v>
      </c>
      <c r="G161" t="s">
        <v>656</v>
      </c>
      <c r="H161">
        <v>886</v>
      </c>
      <c r="I161">
        <v>196</v>
      </c>
      <c r="J161">
        <f t="shared" si="2"/>
        <v>53.597001919424279</v>
      </c>
    </row>
    <row r="162" spans="1:10" x14ac:dyDescent="0.2">
      <c r="A162" t="s">
        <v>456</v>
      </c>
      <c r="B162" t="s">
        <v>659</v>
      </c>
      <c r="C162" s="17">
        <v>3.4290561114400001E-32</v>
      </c>
      <c r="D162">
        <v>0.78070200000000001</v>
      </c>
      <c r="E162" t="s">
        <v>610</v>
      </c>
      <c r="F162">
        <v>0.41980198019802001</v>
      </c>
      <c r="G162" t="s">
        <v>660</v>
      </c>
      <c r="H162">
        <v>887</v>
      </c>
      <c r="I162">
        <v>671</v>
      </c>
      <c r="J162">
        <f t="shared" si="2"/>
        <v>31.464825408238983</v>
      </c>
    </row>
    <row r="163" spans="1:10" x14ac:dyDescent="0.2">
      <c r="A163" t="s">
        <v>458</v>
      </c>
      <c r="B163" t="s">
        <v>659</v>
      </c>
      <c r="C163" s="17">
        <v>2.32983837691E-101</v>
      </c>
      <c r="D163">
        <v>0.492537</v>
      </c>
      <c r="E163" t="s">
        <v>610</v>
      </c>
      <c r="F163">
        <v>0.41980198019802001</v>
      </c>
      <c r="G163" t="s">
        <v>660</v>
      </c>
      <c r="H163">
        <v>887</v>
      </c>
      <c r="I163">
        <v>80</v>
      </c>
      <c r="J163">
        <f t="shared" si="2"/>
        <v>100.63267420534768</v>
      </c>
    </row>
    <row r="164" spans="1:10" x14ac:dyDescent="0.2">
      <c r="A164" t="s">
        <v>466</v>
      </c>
      <c r="B164" t="s">
        <v>659</v>
      </c>
      <c r="C164" s="17">
        <v>1.11001141256999E-129</v>
      </c>
      <c r="D164">
        <v>0.74492800000000003</v>
      </c>
      <c r="E164" t="s">
        <v>610</v>
      </c>
      <c r="F164">
        <v>0.16831683168316799</v>
      </c>
      <c r="G164" t="s">
        <v>660</v>
      </c>
      <c r="H164">
        <v>887</v>
      </c>
      <c r="I164">
        <v>41</v>
      </c>
      <c r="J164">
        <f t="shared" si="2"/>
        <v>128.9546725559965</v>
      </c>
    </row>
    <row r="165" spans="1:10" x14ac:dyDescent="0.2">
      <c r="A165" t="s">
        <v>467</v>
      </c>
      <c r="B165" t="s">
        <v>659</v>
      </c>
      <c r="C165" s="17">
        <v>1.93739472465999E-89</v>
      </c>
      <c r="D165">
        <v>0.66369</v>
      </c>
      <c r="E165" t="s">
        <v>610</v>
      </c>
      <c r="F165">
        <v>0.41980198019802001</v>
      </c>
      <c r="G165" t="s">
        <v>660</v>
      </c>
      <c r="H165">
        <v>887</v>
      </c>
      <c r="I165">
        <v>118</v>
      </c>
      <c r="J165">
        <f t="shared" si="2"/>
        <v>88.712781887139798</v>
      </c>
    </row>
    <row r="166" spans="1:10" x14ac:dyDescent="0.2">
      <c r="A166" t="s">
        <v>439</v>
      </c>
      <c r="B166" t="s">
        <v>659</v>
      </c>
      <c r="C166" s="17">
        <v>1.4565764540400001E-17</v>
      </c>
      <c r="D166">
        <v>0.583596</v>
      </c>
      <c r="E166" t="s">
        <v>610</v>
      </c>
      <c r="F166">
        <v>0.41980198019802001</v>
      </c>
      <c r="G166" t="s">
        <v>660</v>
      </c>
      <c r="H166">
        <v>887</v>
      </c>
      <c r="I166">
        <v>800</v>
      </c>
      <c r="J166">
        <f t="shared" si="2"/>
        <v>16.836666714815053</v>
      </c>
    </row>
    <row r="167" spans="1:10" x14ac:dyDescent="0.2">
      <c r="A167" t="s">
        <v>460</v>
      </c>
      <c r="B167" t="s">
        <v>659</v>
      </c>
      <c r="C167" s="17">
        <v>7.5218868851599998E-113</v>
      </c>
      <c r="D167">
        <v>0.74581900000000001</v>
      </c>
      <c r="E167" t="s">
        <v>610</v>
      </c>
      <c r="F167">
        <v>0.41980198019802001</v>
      </c>
      <c r="G167" t="s">
        <v>660</v>
      </c>
      <c r="H167">
        <v>887</v>
      </c>
      <c r="I167">
        <v>57</v>
      </c>
      <c r="J167">
        <f t="shared" si="2"/>
        <v>112.12367320182564</v>
      </c>
    </row>
    <row r="168" spans="1:10" x14ac:dyDescent="0.2">
      <c r="A168" t="s">
        <v>461</v>
      </c>
      <c r="B168" t="s">
        <v>659</v>
      </c>
      <c r="C168" s="17">
        <v>2.3149455109800002E-101</v>
      </c>
      <c r="D168">
        <v>0.68827199999999999</v>
      </c>
      <c r="E168" t="s">
        <v>610</v>
      </c>
      <c r="F168">
        <v>0.41980198019802001</v>
      </c>
      <c r="G168" t="s">
        <v>660</v>
      </c>
      <c r="H168">
        <v>887</v>
      </c>
      <c r="I168">
        <v>79</v>
      </c>
      <c r="J168">
        <f t="shared" si="2"/>
        <v>100.63545922691783</v>
      </c>
    </row>
    <row r="169" spans="1:10" x14ac:dyDescent="0.2">
      <c r="A169" t="s">
        <v>468</v>
      </c>
      <c r="B169" t="s">
        <v>659</v>
      </c>
      <c r="C169" s="17">
        <v>1.8849336898699999E-12</v>
      </c>
      <c r="D169">
        <v>0.62623799999999996</v>
      </c>
      <c r="E169" t="s">
        <v>610</v>
      </c>
      <c r="F169">
        <v>0.16831683168316799</v>
      </c>
      <c r="G169" t="s">
        <v>660</v>
      </c>
      <c r="H169">
        <v>887</v>
      </c>
      <c r="I169">
        <v>1523</v>
      </c>
      <c r="J169">
        <f t="shared" si="2"/>
        <v>11.724703923246036</v>
      </c>
    </row>
    <row r="170" spans="1:10" x14ac:dyDescent="0.2">
      <c r="A170" t="s">
        <v>463</v>
      </c>
      <c r="B170" t="s">
        <v>659</v>
      </c>
      <c r="C170" s="17">
        <v>2.5919908839300001E-114</v>
      </c>
      <c r="D170">
        <v>0.69760500000000003</v>
      </c>
      <c r="E170" t="s">
        <v>610</v>
      </c>
      <c r="F170">
        <v>0.41980198019802001</v>
      </c>
      <c r="G170" t="s">
        <v>660</v>
      </c>
      <c r="H170">
        <v>887</v>
      </c>
      <c r="I170">
        <v>56</v>
      </c>
      <c r="J170">
        <f t="shared" si="2"/>
        <v>113.58636653021883</v>
      </c>
    </row>
    <row r="171" spans="1:10" x14ac:dyDescent="0.2">
      <c r="A171" t="s">
        <v>469</v>
      </c>
      <c r="B171" t="s">
        <v>659</v>
      </c>
      <c r="C171" s="17">
        <v>1.1157732733499999E-5</v>
      </c>
      <c r="D171">
        <v>0.55363300000000004</v>
      </c>
      <c r="E171" t="s">
        <v>610</v>
      </c>
      <c r="F171">
        <v>0.41980198019802001</v>
      </c>
      <c r="G171" t="s">
        <v>660</v>
      </c>
      <c r="H171">
        <v>887</v>
      </c>
      <c r="I171">
        <v>2188</v>
      </c>
      <c r="J171">
        <f t="shared" si="2"/>
        <v>4.9524240456641602</v>
      </c>
    </row>
    <row r="172" spans="1:10" x14ac:dyDescent="0.2">
      <c r="A172" t="s">
        <v>13</v>
      </c>
      <c r="B172" t="s">
        <v>661</v>
      </c>
      <c r="C172" s="17">
        <v>2.01907061384E-12</v>
      </c>
      <c r="D172">
        <v>0.67142900000000005</v>
      </c>
      <c r="E172" t="s">
        <v>610</v>
      </c>
      <c r="F172">
        <v>0.92803030303030298</v>
      </c>
      <c r="G172" t="s">
        <v>662</v>
      </c>
      <c r="H172">
        <v>1128</v>
      </c>
      <c r="I172">
        <v>163</v>
      </c>
      <c r="J172">
        <f t="shared" si="2"/>
        <v>11.694848492019817</v>
      </c>
    </row>
    <row r="173" spans="1:10" x14ac:dyDescent="0.2">
      <c r="A173" t="s">
        <v>577</v>
      </c>
      <c r="B173" t="s">
        <v>661</v>
      </c>
      <c r="C173" s="17">
        <v>1.9989649386900002E-6</v>
      </c>
      <c r="D173">
        <v>0.37681199999999998</v>
      </c>
      <c r="E173" t="s">
        <v>610</v>
      </c>
      <c r="F173">
        <v>0.66666666666666696</v>
      </c>
      <c r="G173" t="s">
        <v>663</v>
      </c>
      <c r="H173">
        <v>1128</v>
      </c>
      <c r="I173">
        <v>2092</v>
      </c>
      <c r="J173">
        <f t="shared" si="2"/>
        <v>5.6991948232240537</v>
      </c>
    </row>
    <row r="174" spans="1:10" x14ac:dyDescent="0.2">
      <c r="A174" t="s">
        <v>13</v>
      </c>
      <c r="B174" t="s">
        <v>664</v>
      </c>
      <c r="C174" s="17">
        <v>7.4877996648499998E-12</v>
      </c>
      <c r="D174">
        <v>0.67142900000000005</v>
      </c>
      <c r="E174" t="s">
        <v>610</v>
      </c>
      <c r="F174">
        <v>0.97237569060773499</v>
      </c>
      <c r="G174" t="s">
        <v>665</v>
      </c>
      <c r="H174">
        <v>1129</v>
      </c>
      <c r="I174">
        <v>1082</v>
      </c>
      <c r="J174">
        <f t="shared" si="2"/>
        <v>11.125645783609436</v>
      </c>
    </row>
    <row r="175" spans="1:10" x14ac:dyDescent="0.2">
      <c r="A175" t="s">
        <v>577</v>
      </c>
      <c r="B175" t="s">
        <v>664</v>
      </c>
      <c r="C175" s="17">
        <v>2.8451365940999998E-7</v>
      </c>
      <c r="D175">
        <v>0.37681199999999998</v>
      </c>
      <c r="E175" t="s">
        <v>610</v>
      </c>
      <c r="F175">
        <v>0.57142857142857095</v>
      </c>
      <c r="G175" t="s">
        <v>666</v>
      </c>
      <c r="H175">
        <v>1129</v>
      </c>
      <c r="I175">
        <v>1980</v>
      </c>
      <c r="J175">
        <f t="shared" si="2"/>
        <v>6.5458968784288922</v>
      </c>
    </row>
    <row r="176" spans="1:10" x14ac:dyDescent="0.2">
      <c r="A176" t="s">
        <v>8</v>
      </c>
      <c r="B176" t="s">
        <v>667</v>
      </c>
      <c r="C176" s="17">
        <v>7.2248262927799995E-10</v>
      </c>
      <c r="D176">
        <v>0.5</v>
      </c>
      <c r="E176" t="s">
        <v>610</v>
      </c>
      <c r="F176">
        <v>0.95842613214550898</v>
      </c>
      <c r="G176" t="s">
        <v>668</v>
      </c>
      <c r="H176">
        <v>1131</v>
      </c>
      <c r="I176">
        <v>1738</v>
      </c>
      <c r="J176">
        <f t="shared" si="2"/>
        <v>9.141172590231486</v>
      </c>
    </row>
    <row r="177" spans="1:10" x14ac:dyDescent="0.2">
      <c r="A177" t="s">
        <v>40</v>
      </c>
      <c r="B177" t="s">
        <v>667</v>
      </c>
      <c r="C177" s="17">
        <v>5.3391466303700001E-7</v>
      </c>
      <c r="D177">
        <v>0.55905499999999997</v>
      </c>
      <c r="E177" t="s">
        <v>610</v>
      </c>
      <c r="F177">
        <v>0.95842613214550898</v>
      </c>
      <c r="G177" t="s">
        <v>668</v>
      </c>
      <c r="H177">
        <v>1131</v>
      </c>
      <c r="I177">
        <v>2012</v>
      </c>
      <c r="J177">
        <f t="shared" si="2"/>
        <v>6.2725281518362062</v>
      </c>
    </row>
    <row r="178" spans="1:10" x14ac:dyDescent="0.2">
      <c r="A178" t="s">
        <v>57</v>
      </c>
      <c r="B178" t="s">
        <v>667</v>
      </c>
      <c r="C178" s="17">
        <v>7.3982221238099997E-8</v>
      </c>
      <c r="D178">
        <v>0.41935499999999998</v>
      </c>
      <c r="E178" t="s">
        <v>610</v>
      </c>
      <c r="F178">
        <v>0.95043370508054503</v>
      </c>
      <c r="G178" t="s">
        <v>669</v>
      </c>
      <c r="H178">
        <v>1131</v>
      </c>
      <c r="I178">
        <v>1930</v>
      </c>
      <c r="J178">
        <f t="shared" si="2"/>
        <v>7.1308726335914807</v>
      </c>
    </row>
    <row r="179" spans="1:10" x14ac:dyDescent="0.2">
      <c r="A179" t="s">
        <v>13</v>
      </c>
      <c r="B179" t="s">
        <v>667</v>
      </c>
      <c r="C179" s="17">
        <v>4.0300093439899998E-16</v>
      </c>
      <c r="D179">
        <v>0.67142900000000005</v>
      </c>
      <c r="E179" t="s">
        <v>610</v>
      </c>
      <c r="F179">
        <v>0.95043370508054503</v>
      </c>
      <c r="G179" t="s">
        <v>669</v>
      </c>
      <c r="H179">
        <v>1131</v>
      </c>
      <c r="I179">
        <v>1274</v>
      </c>
      <c r="J179">
        <f t="shared" si="2"/>
        <v>15.394693946901423</v>
      </c>
    </row>
    <row r="180" spans="1:10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10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10" x14ac:dyDescent="0.2">
      <c r="A182" t="s">
        <v>579</v>
      </c>
      <c r="B182" t="s">
        <v>470</v>
      </c>
      <c r="C182" s="17">
        <v>1.29685631955E-6</v>
      </c>
      <c r="D182">
        <v>0.53148600000000001</v>
      </c>
      <c r="E182" t="s">
        <v>610</v>
      </c>
      <c r="F182">
        <v>0.79644588045234199</v>
      </c>
      <c r="G182" t="s">
        <v>670</v>
      </c>
      <c r="H182">
        <v>1268</v>
      </c>
      <c r="I182">
        <v>2066</v>
      </c>
      <c r="J182">
        <f t="shared" si="2"/>
        <v>5.8871081373184904</v>
      </c>
    </row>
    <row r="183" spans="1:10" x14ac:dyDescent="0.2">
      <c r="A183" t="s">
        <v>471</v>
      </c>
      <c r="B183" t="s">
        <v>470</v>
      </c>
      <c r="C183" s="17">
        <v>9.1579647850399999E-17</v>
      </c>
      <c r="D183">
        <v>0.46</v>
      </c>
      <c r="E183" t="s">
        <v>610</v>
      </c>
      <c r="F183">
        <v>0.91351805205709502</v>
      </c>
      <c r="G183" t="s">
        <v>671</v>
      </c>
      <c r="H183">
        <v>1268</v>
      </c>
      <c r="I183">
        <v>1236</v>
      </c>
      <c r="J183">
        <f t="shared" si="2"/>
        <v>16.038201030789999</v>
      </c>
    </row>
    <row r="184" spans="1:10" x14ac:dyDescent="0.2">
      <c r="A184" t="s">
        <v>533</v>
      </c>
      <c r="B184" t="s">
        <v>46</v>
      </c>
      <c r="C184" s="17">
        <v>6.3792470731299997E-5</v>
      </c>
      <c r="D184">
        <v>0.59836100000000003</v>
      </c>
      <c r="E184" t="s">
        <v>610</v>
      </c>
      <c r="F184">
        <v>0.87926829268292706</v>
      </c>
      <c r="G184" t="s">
        <v>672</v>
      </c>
      <c r="H184">
        <v>1812</v>
      </c>
      <c r="I184">
        <v>2279</v>
      </c>
      <c r="J184">
        <f t="shared" si="2"/>
        <v>4.1952305769655442</v>
      </c>
    </row>
    <row r="185" spans="1:10" x14ac:dyDescent="0.2">
      <c r="A185" t="s">
        <v>8</v>
      </c>
      <c r="B185" t="s">
        <v>46</v>
      </c>
      <c r="C185" s="17">
        <v>2.36974302403E-8</v>
      </c>
      <c r="D185">
        <v>0.4</v>
      </c>
      <c r="E185" t="s">
        <v>610</v>
      </c>
      <c r="F185">
        <v>0.82767624020887698</v>
      </c>
      <c r="G185" t="s">
        <v>673</v>
      </c>
      <c r="H185">
        <v>1812</v>
      </c>
      <c r="I185">
        <v>1879</v>
      </c>
      <c r="J185">
        <f t="shared" si="2"/>
        <v>7.6252987465201434</v>
      </c>
    </row>
    <row r="186" spans="1:10" x14ac:dyDescent="0.2">
      <c r="A186" t="s">
        <v>20</v>
      </c>
      <c r="B186" t="s">
        <v>46</v>
      </c>
      <c r="C186" s="17">
        <v>8.7420398142699997E-8</v>
      </c>
      <c r="D186">
        <v>0.64028799999999997</v>
      </c>
      <c r="E186" t="s">
        <v>610</v>
      </c>
      <c r="F186">
        <v>0.82767624020887698</v>
      </c>
      <c r="G186" t="s">
        <v>673</v>
      </c>
      <c r="H186">
        <v>1812</v>
      </c>
      <c r="I186">
        <v>664</v>
      </c>
      <c r="J186">
        <f t="shared" si="2"/>
        <v>7.0583872199147271</v>
      </c>
    </row>
    <row r="187" spans="1:10" x14ac:dyDescent="0.2">
      <c r="A187" t="s">
        <v>111</v>
      </c>
      <c r="B187" t="s">
        <v>46</v>
      </c>
      <c r="C187" s="17">
        <v>1.2761355177500001E-5</v>
      </c>
      <c r="D187">
        <v>0.55319099999999999</v>
      </c>
      <c r="E187" t="s">
        <v>610</v>
      </c>
      <c r="F187">
        <v>0.87926829268292706</v>
      </c>
      <c r="G187" t="s">
        <v>672</v>
      </c>
      <c r="H187">
        <v>1812</v>
      </c>
      <c r="I187">
        <v>2196</v>
      </c>
      <c r="J187">
        <f t="shared" si="2"/>
        <v>4.8941032037606904</v>
      </c>
    </row>
    <row r="188" spans="1:10" x14ac:dyDescent="0.2">
      <c r="A188" t="s">
        <v>580</v>
      </c>
      <c r="B188" t="s">
        <v>46</v>
      </c>
      <c r="C188" s="17">
        <v>2.0778600418E-7</v>
      </c>
      <c r="D188">
        <v>0.75</v>
      </c>
      <c r="E188" t="s">
        <v>610</v>
      </c>
      <c r="F188">
        <v>0.87926829268292706</v>
      </c>
      <c r="G188" t="s">
        <v>672</v>
      </c>
      <c r="H188">
        <v>1812</v>
      </c>
      <c r="I188">
        <v>1972</v>
      </c>
      <c r="J188">
        <f t="shared" si="2"/>
        <v>6.6823837085213782</v>
      </c>
    </row>
    <row r="189" spans="1:10" x14ac:dyDescent="0.2">
      <c r="A189" t="s">
        <v>21</v>
      </c>
      <c r="B189" t="s">
        <v>46</v>
      </c>
      <c r="C189" s="17">
        <v>5.2764133312699998E-55</v>
      </c>
      <c r="D189">
        <v>0.63444100000000003</v>
      </c>
      <c r="E189" t="s">
        <v>610</v>
      </c>
      <c r="F189">
        <v>0.971830985915493</v>
      </c>
      <c r="G189" t="s">
        <v>674</v>
      </c>
      <c r="H189">
        <v>1812</v>
      </c>
      <c r="I189">
        <v>278</v>
      </c>
      <c r="J189">
        <f t="shared" si="2"/>
        <v>54.277661191052388</v>
      </c>
    </row>
    <row r="190" spans="1:10" x14ac:dyDescent="0.2">
      <c r="A190" t="s">
        <v>472</v>
      </c>
      <c r="B190" t="s">
        <v>46</v>
      </c>
      <c r="C190" s="17">
        <v>1.3004687326999999E-9</v>
      </c>
      <c r="D190">
        <v>0.33898299999999998</v>
      </c>
      <c r="E190" t="s">
        <v>610</v>
      </c>
      <c r="F190">
        <v>0.14099216710182799</v>
      </c>
      <c r="G190" t="s">
        <v>673</v>
      </c>
      <c r="H190">
        <v>1812</v>
      </c>
      <c r="I190">
        <v>1753</v>
      </c>
      <c r="J190">
        <f t="shared" si="2"/>
        <v>8.8859000851283128</v>
      </c>
    </row>
    <row r="191" spans="1:10" x14ac:dyDescent="0.2">
      <c r="A191" t="s">
        <v>478</v>
      </c>
      <c r="B191" t="s">
        <v>46</v>
      </c>
      <c r="C191" s="17">
        <v>3.6147250908099999E-6</v>
      </c>
      <c r="D191">
        <v>0.46376800000000001</v>
      </c>
      <c r="E191" t="s">
        <v>610</v>
      </c>
      <c r="F191">
        <v>0.87926829268292706</v>
      </c>
      <c r="G191" t="s">
        <v>672</v>
      </c>
      <c r="H191">
        <v>1812</v>
      </c>
      <c r="I191">
        <v>2127</v>
      </c>
      <c r="J191">
        <f t="shared" si="2"/>
        <v>5.4419247263318695</v>
      </c>
    </row>
    <row r="192" spans="1:10" x14ac:dyDescent="0.2">
      <c r="A192" t="s">
        <v>426</v>
      </c>
      <c r="B192" t="s">
        <v>46</v>
      </c>
      <c r="C192" s="17">
        <v>3.1810023652699999E-13</v>
      </c>
      <c r="D192">
        <v>0.71093799999999996</v>
      </c>
      <c r="E192" t="s">
        <v>610</v>
      </c>
      <c r="F192">
        <v>0.82767624020887698</v>
      </c>
      <c r="G192" t="s">
        <v>673</v>
      </c>
      <c r="H192">
        <v>1812</v>
      </c>
      <c r="I192">
        <v>1464</v>
      </c>
      <c r="J192">
        <f t="shared" si="2"/>
        <v>12.497436007967982</v>
      </c>
    </row>
    <row r="193" spans="1:10" x14ac:dyDescent="0.2">
      <c r="A193" t="s">
        <v>495</v>
      </c>
      <c r="B193" t="s">
        <v>46</v>
      </c>
      <c r="C193" s="17">
        <v>2.07849967372E-13</v>
      </c>
      <c r="D193">
        <v>0.592391</v>
      </c>
      <c r="E193" t="s">
        <v>610</v>
      </c>
      <c r="F193">
        <v>0.10243902439024399</v>
      </c>
      <c r="G193" t="s">
        <v>672</v>
      </c>
      <c r="H193">
        <v>1812</v>
      </c>
      <c r="I193">
        <v>1446</v>
      </c>
      <c r="J193">
        <f t="shared" si="2"/>
        <v>12.682250039332708</v>
      </c>
    </row>
    <row r="194" spans="1:10" x14ac:dyDescent="0.2">
      <c r="A194" t="s">
        <v>496</v>
      </c>
      <c r="B194" t="s">
        <v>46</v>
      </c>
      <c r="C194" s="17">
        <v>7.0803297669300003E-9</v>
      </c>
      <c r="D194">
        <v>0.65957399999999999</v>
      </c>
      <c r="E194" t="s">
        <v>610</v>
      </c>
      <c r="F194">
        <v>0.10243902439024399</v>
      </c>
      <c r="G194" t="s">
        <v>672</v>
      </c>
      <c r="H194">
        <v>1812</v>
      </c>
      <c r="I194">
        <v>1824</v>
      </c>
      <c r="J194">
        <f t="shared" si="2"/>
        <v>8.1499465145386463</v>
      </c>
    </row>
    <row r="195" spans="1:10" x14ac:dyDescent="0.2">
      <c r="A195" t="s">
        <v>12</v>
      </c>
      <c r="B195" t="s">
        <v>46</v>
      </c>
      <c r="C195" s="17">
        <v>6.9481743830500004E-11</v>
      </c>
      <c r="D195">
        <v>0.42</v>
      </c>
      <c r="E195" t="s">
        <v>610</v>
      </c>
      <c r="F195">
        <v>0.82767624020887698</v>
      </c>
      <c r="G195" t="s">
        <v>673</v>
      </c>
      <c r="H195">
        <v>1812</v>
      </c>
      <c r="I195">
        <v>1654</v>
      </c>
      <c r="J195">
        <f t="shared" ref="J195:J258" si="3">-LOG10(C195)</f>
        <v>10.158129290304677</v>
      </c>
    </row>
    <row r="196" spans="1:10" x14ac:dyDescent="0.2">
      <c r="A196" t="s">
        <v>24</v>
      </c>
      <c r="B196" t="s">
        <v>46</v>
      </c>
      <c r="C196" s="17">
        <v>3.01322940263E-5</v>
      </c>
      <c r="D196">
        <v>0.74216000000000004</v>
      </c>
      <c r="E196" t="s">
        <v>610</v>
      </c>
      <c r="F196">
        <v>0.82767624020887698</v>
      </c>
      <c r="G196" t="s">
        <v>673</v>
      </c>
      <c r="H196">
        <v>1812</v>
      </c>
      <c r="I196">
        <v>229</v>
      </c>
      <c r="J196">
        <f t="shared" si="3"/>
        <v>4.5209678034398841</v>
      </c>
    </row>
    <row r="197" spans="1:10" x14ac:dyDescent="0.2">
      <c r="A197" t="s">
        <v>13</v>
      </c>
      <c r="B197" t="s">
        <v>46</v>
      </c>
      <c r="C197" s="17">
        <v>8.6697915513399995E-10</v>
      </c>
      <c r="D197">
        <v>0.58757099999999995</v>
      </c>
      <c r="E197" t="s">
        <v>610</v>
      </c>
      <c r="F197">
        <v>0.87926829268292706</v>
      </c>
      <c r="G197" t="s">
        <v>672</v>
      </c>
      <c r="H197">
        <v>1812</v>
      </c>
      <c r="I197">
        <v>1743</v>
      </c>
      <c r="J197">
        <f t="shared" si="3"/>
        <v>9.0619913441836601</v>
      </c>
    </row>
    <row r="198" spans="1:10" x14ac:dyDescent="0.2">
      <c r="A198" t="s">
        <v>73</v>
      </c>
      <c r="B198" t="s">
        <v>46</v>
      </c>
      <c r="C198" s="17">
        <v>1.17042185943E-8</v>
      </c>
      <c r="D198">
        <v>0.71428599999999998</v>
      </c>
      <c r="E198" t="s">
        <v>610</v>
      </c>
      <c r="F198">
        <v>0.971830985915493</v>
      </c>
      <c r="G198" t="s">
        <v>674</v>
      </c>
      <c r="H198">
        <v>1812</v>
      </c>
      <c r="I198">
        <v>1843</v>
      </c>
      <c r="J198">
        <f t="shared" si="3"/>
        <v>7.9316575756889884</v>
      </c>
    </row>
    <row r="199" spans="1:10" x14ac:dyDescent="0.2">
      <c r="A199" t="s">
        <v>519</v>
      </c>
      <c r="B199" t="s">
        <v>46</v>
      </c>
      <c r="C199" s="17">
        <v>2.5136106049499998E-13</v>
      </c>
      <c r="D199">
        <v>1</v>
      </c>
      <c r="E199" t="s">
        <v>610</v>
      </c>
      <c r="F199">
        <v>0.87926829268292706</v>
      </c>
      <c r="G199" t="s">
        <v>672</v>
      </c>
      <c r="H199">
        <v>1812</v>
      </c>
      <c r="I199">
        <v>1454</v>
      </c>
      <c r="J199">
        <f t="shared" si="3"/>
        <v>12.599702000007177</v>
      </c>
    </row>
    <row r="200" spans="1:10" x14ac:dyDescent="0.2">
      <c r="A200" t="s">
        <v>474</v>
      </c>
      <c r="B200" t="s">
        <v>46</v>
      </c>
      <c r="C200" s="17">
        <v>6.9181867457600003E-18</v>
      </c>
      <c r="D200">
        <v>0.40677999999999997</v>
      </c>
      <c r="E200" t="s">
        <v>610</v>
      </c>
      <c r="F200">
        <v>0.80434782608695699</v>
      </c>
      <c r="G200" t="s">
        <v>675</v>
      </c>
      <c r="H200">
        <v>1812</v>
      </c>
      <c r="I200">
        <v>1159</v>
      </c>
      <c r="J200">
        <f t="shared" si="3"/>
        <v>17.160007719055042</v>
      </c>
    </row>
    <row r="201" spans="1:10" x14ac:dyDescent="0.2">
      <c r="A201" t="s">
        <v>475</v>
      </c>
      <c r="B201" t="s">
        <v>46</v>
      </c>
      <c r="C201" s="17">
        <v>8.1978438896099997E-36</v>
      </c>
      <c r="D201">
        <v>0.56745999999999996</v>
      </c>
      <c r="E201" t="s">
        <v>610</v>
      </c>
      <c r="F201">
        <v>0.971830985915493</v>
      </c>
      <c r="G201" t="s">
        <v>674</v>
      </c>
      <c r="H201">
        <v>1812</v>
      </c>
      <c r="I201">
        <v>569</v>
      </c>
      <c r="J201">
        <f t="shared" si="3"/>
        <v>35.086300356149607</v>
      </c>
    </row>
    <row r="202" spans="1:10" x14ac:dyDescent="0.2">
      <c r="A202" t="s">
        <v>473</v>
      </c>
      <c r="B202" t="s">
        <v>46</v>
      </c>
      <c r="C202" s="17">
        <v>2.1861023893199999E-5</v>
      </c>
      <c r="D202">
        <v>0.352941</v>
      </c>
      <c r="E202" t="s">
        <v>610</v>
      </c>
      <c r="F202">
        <v>0.82767624020887698</v>
      </c>
      <c r="G202" t="s">
        <v>673</v>
      </c>
      <c r="H202">
        <v>1812</v>
      </c>
      <c r="I202">
        <v>2220</v>
      </c>
      <c r="J202">
        <f t="shared" si="3"/>
        <v>4.6603295010892785</v>
      </c>
    </row>
    <row r="203" spans="1:10" x14ac:dyDescent="0.2">
      <c r="A203" t="s">
        <v>14</v>
      </c>
      <c r="B203" t="s">
        <v>46</v>
      </c>
      <c r="C203" s="17">
        <v>4.0752210690600002E-5</v>
      </c>
      <c r="D203">
        <v>0.48888900000000002</v>
      </c>
      <c r="E203" t="s">
        <v>610</v>
      </c>
      <c r="F203">
        <v>0.82767624020887698</v>
      </c>
      <c r="G203" t="s">
        <v>673</v>
      </c>
      <c r="H203">
        <v>1812</v>
      </c>
      <c r="I203">
        <v>2256</v>
      </c>
      <c r="J203">
        <f t="shared" si="3"/>
        <v>4.3898488270543794</v>
      </c>
    </row>
    <row r="204" spans="1:10" x14ac:dyDescent="0.2">
      <c r="A204" t="s">
        <v>33</v>
      </c>
      <c r="B204" t="s">
        <v>46</v>
      </c>
      <c r="C204" s="17">
        <v>1.9073541412999999E-8</v>
      </c>
      <c r="D204">
        <v>0.66013100000000002</v>
      </c>
      <c r="E204" t="s">
        <v>610</v>
      </c>
      <c r="F204">
        <v>0.82767624020887698</v>
      </c>
      <c r="G204" t="s">
        <v>673</v>
      </c>
      <c r="H204">
        <v>1812</v>
      </c>
      <c r="I204">
        <v>1870</v>
      </c>
      <c r="J204">
        <f t="shared" si="3"/>
        <v>7.7195686633602696</v>
      </c>
    </row>
    <row r="205" spans="1:10" x14ac:dyDescent="0.2">
      <c r="A205" t="s">
        <v>476</v>
      </c>
      <c r="B205" t="s">
        <v>46</v>
      </c>
      <c r="C205" s="17">
        <v>1.6161284273000002E-14</v>
      </c>
      <c r="D205">
        <v>0.60869600000000001</v>
      </c>
      <c r="E205" t="s">
        <v>610</v>
      </c>
      <c r="F205">
        <v>0.87926829268292706</v>
      </c>
      <c r="G205" t="s">
        <v>672</v>
      </c>
      <c r="H205">
        <v>1812</v>
      </c>
      <c r="I205">
        <v>1372</v>
      </c>
      <c r="J205">
        <f t="shared" si="3"/>
        <v>13.791524130534491</v>
      </c>
    </row>
    <row r="206" spans="1:10" x14ac:dyDescent="0.2">
      <c r="A206" t="s">
        <v>427</v>
      </c>
      <c r="B206" t="s">
        <v>46</v>
      </c>
      <c r="C206" s="17">
        <v>7.7305641332799998E-8</v>
      </c>
      <c r="D206">
        <v>0.67460299999999995</v>
      </c>
      <c r="E206" t="s">
        <v>610</v>
      </c>
      <c r="F206">
        <v>0.82767624020887698</v>
      </c>
      <c r="G206" t="s">
        <v>673</v>
      </c>
      <c r="H206">
        <v>1812</v>
      </c>
      <c r="I206">
        <v>1932</v>
      </c>
      <c r="J206">
        <f t="shared" si="3"/>
        <v>7.1117888125459725</v>
      </c>
    </row>
    <row r="207" spans="1:10" x14ac:dyDescent="0.2">
      <c r="A207" t="s">
        <v>20</v>
      </c>
      <c r="B207" t="s">
        <v>50</v>
      </c>
      <c r="C207" s="17">
        <v>4.3348957756699997E-10</v>
      </c>
      <c r="D207">
        <v>0.64028799999999997</v>
      </c>
      <c r="E207" t="s">
        <v>610</v>
      </c>
      <c r="F207">
        <v>0.925984878631118</v>
      </c>
      <c r="G207" t="s">
        <v>676</v>
      </c>
      <c r="H207">
        <v>1813</v>
      </c>
      <c r="I207">
        <v>663</v>
      </c>
      <c r="J207">
        <f t="shared" si="3"/>
        <v>9.3630213398476414</v>
      </c>
    </row>
    <row r="208" spans="1:10" x14ac:dyDescent="0.2">
      <c r="A208" t="s">
        <v>111</v>
      </c>
      <c r="B208" t="s">
        <v>50</v>
      </c>
      <c r="C208" s="17">
        <v>6.0572943638699998E-6</v>
      </c>
      <c r="D208">
        <v>0.61363599999999996</v>
      </c>
      <c r="E208" t="s">
        <v>610</v>
      </c>
      <c r="F208">
        <v>0.92451071761416603</v>
      </c>
      <c r="G208" t="s">
        <v>677</v>
      </c>
      <c r="H208">
        <v>1813</v>
      </c>
      <c r="I208">
        <v>2159</v>
      </c>
      <c r="J208">
        <f t="shared" si="3"/>
        <v>5.2177213205916013</v>
      </c>
    </row>
    <row r="209" spans="1:10" x14ac:dyDescent="0.2">
      <c r="A209" t="s">
        <v>21</v>
      </c>
      <c r="B209" t="s">
        <v>50</v>
      </c>
      <c r="C209" s="17">
        <v>2.0427750906999999E-23</v>
      </c>
      <c r="D209">
        <v>0.71</v>
      </c>
      <c r="E209" t="s">
        <v>610</v>
      </c>
      <c r="F209">
        <v>0.925984878631118</v>
      </c>
      <c r="G209" t="s">
        <v>676</v>
      </c>
      <c r="H209">
        <v>1813</v>
      </c>
      <c r="I209">
        <v>329</v>
      </c>
      <c r="J209">
        <f t="shared" si="3"/>
        <v>22.689779446507458</v>
      </c>
    </row>
    <row r="210" spans="1:10" x14ac:dyDescent="0.2">
      <c r="A210" t="s">
        <v>432</v>
      </c>
      <c r="B210" t="s">
        <v>50</v>
      </c>
      <c r="C210" s="17">
        <v>1.9252717104999998E-6</v>
      </c>
      <c r="D210">
        <v>0.57142899999999996</v>
      </c>
      <c r="E210" t="s">
        <v>610</v>
      </c>
      <c r="F210">
        <v>0.93442622950819698</v>
      </c>
      <c r="G210" t="s">
        <v>678</v>
      </c>
      <c r="H210">
        <v>1813</v>
      </c>
      <c r="I210">
        <v>2087</v>
      </c>
      <c r="J210">
        <f t="shared" si="3"/>
        <v>5.7155079705483685</v>
      </c>
    </row>
    <row r="211" spans="1:10" x14ac:dyDescent="0.2">
      <c r="A211" t="s">
        <v>65</v>
      </c>
      <c r="B211" t="s">
        <v>50</v>
      </c>
      <c r="C211" s="17">
        <v>5.1488347878899998E-12</v>
      </c>
      <c r="D211">
        <v>0.36507899999999999</v>
      </c>
      <c r="E211" t="s">
        <v>610</v>
      </c>
      <c r="F211">
        <v>0.925984878631118</v>
      </c>
      <c r="G211" t="s">
        <v>676</v>
      </c>
      <c r="H211">
        <v>1813</v>
      </c>
      <c r="I211">
        <v>1571</v>
      </c>
      <c r="J211">
        <f t="shared" si="3"/>
        <v>11.288291043278386</v>
      </c>
    </row>
    <row r="212" spans="1:10" x14ac:dyDescent="0.2">
      <c r="A212" t="s">
        <v>57</v>
      </c>
      <c r="B212" t="s">
        <v>50</v>
      </c>
      <c r="C212" s="17">
        <v>1.24552808295E-20</v>
      </c>
      <c r="D212">
        <v>0.47619</v>
      </c>
      <c r="E212" t="s">
        <v>610</v>
      </c>
      <c r="F212">
        <v>0.925984878631118</v>
      </c>
      <c r="G212" t="s">
        <v>676</v>
      </c>
      <c r="H212">
        <v>1813</v>
      </c>
      <c r="I212">
        <v>1020</v>
      </c>
      <c r="J212">
        <f t="shared" si="3"/>
        <v>19.904646475969525</v>
      </c>
    </row>
    <row r="213" spans="1:10" x14ac:dyDescent="0.2">
      <c r="A213" t="s">
        <v>449</v>
      </c>
      <c r="B213" t="s">
        <v>50</v>
      </c>
      <c r="C213" s="17">
        <v>4.5046282075800002E-11</v>
      </c>
      <c r="D213">
        <v>0.44827600000000001</v>
      </c>
      <c r="E213" t="s">
        <v>610</v>
      </c>
      <c r="F213">
        <v>0.925984878631118</v>
      </c>
      <c r="G213" t="s">
        <v>676</v>
      </c>
      <c r="H213">
        <v>1813</v>
      </c>
      <c r="I213">
        <v>529</v>
      </c>
      <c r="J213">
        <f t="shared" si="3"/>
        <v>10.346341047983396</v>
      </c>
    </row>
    <row r="214" spans="1:10" x14ac:dyDescent="0.2">
      <c r="A214" t="s">
        <v>426</v>
      </c>
      <c r="B214" t="s">
        <v>50</v>
      </c>
      <c r="C214" s="17">
        <v>2.8706402309100001E-5</v>
      </c>
      <c r="D214">
        <v>0.75609800000000005</v>
      </c>
      <c r="E214" t="s">
        <v>610</v>
      </c>
      <c r="F214">
        <v>0.925984878631118</v>
      </c>
      <c r="G214" t="s">
        <v>676</v>
      </c>
      <c r="H214">
        <v>1813</v>
      </c>
      <c r="I214">
        <v>1919</v>
      </c>
      <c r="J214">
        <f t="shared" si="3"/>
        <v>4.5420212329723384</v>
      </c>
    </row>
    <row r="215" spans="1:10" x14ac:dyDescent="0.2">
      <c r="A215" t="s">
        <v>504</v>
      </c>
      <c r="B215" t="s">
        <v>50</v>
      </c>
      <c r="C215" s="17">
        <v>2.3554733321E-15</v>
      </c>
      <c r="D215">
        <v>0.45454499999999998</v>
      </c>
      <c r="E215" t="s">
        <v>610</v>
      </c>
      <c r="F215">
        <v>0.93442622950819698</v>
      </c>
      <c r="G215" t="s">
        <v>678</v>
      </c>
      <c r="H215">
        <v>1813</v>
      </c>
      <c r="I215">
        <v>1314</v>
      </c>
      <c r="J215">
        <f t="shared" si="3"/>
        <v>14.62792180833824</v>
      </c>
    </row>
    <row r="216" spans="1:10" x14ac:dyDescent="0.2">
      <c r="A216" t="s">
        <v>495</v>
      </c>
      <c r="B216" t="s">
        <v>50</v>
      </c>
      <c r="C216" s="17">
        <v>9.2140863838599994E-15</v>
      </c>
      <c r="D216">
        <v>0.58421100000000004</v>
      </c>
      <c r="E216" t="s">
        <v>610</v>
      </c>
      <c r="F216">
        <v>0.11550151975683901</v>
      </c>
      <c r="G216" t="s">
        <v>679</v>
      </c>
      <c r="H216">
        <v>1813</v>
      </c>
      <c r="I216">
        <v>1358</v>
      </c>
      <c r="J216">
        <f t="shared" si="3"/>
        <v>14.035547720468637</v>
      </c>
    </row>
    <row r="217" spans="1:10" x14ac:dyDescent="0.2">
      <c r="A217" t="s">
        <v>496</v>
      </c>
      <c r="B217" t="s">
        <v>50</v>
      </c>
      <c r="C217" s="17">
        <v>2.26756841148E-12</v>
      </c>
      <c r="D217">
        <v>0.70175399999999999</v>
      </c>
      <c r="E217" t="s">
        <v>610</v>
      </c>
      <c r="F217">
        <v>0.11550151975683901</v>
      </c>
      <c r="G217" t="s">
        <v>679</v>
      </c>
      <c r="H217">
        <v>1813</v>
      </c>
      <c r="I217">
        <v>1532</v>
      </c>
      <c r="J217">
        <f t="shared" si="3"/>
        <v>11.644439601608516</v>
      </c>
    </row>
    <row r="218" spans="1:10" x14ac:dyDescent="0.2">
      <c r="A218" t="s">
        <v>452</v>
      </c>
      <c r="B218" t="s">
        <v>50</v>
      </c>
      <c r="C218" s="17">
        <v>8.4049294194499997E-6</v>
      </c>
      <c r="D218">
        <v>0.74576299999999995</v>
      </c>
      <c r="E218" t="s">
        <v>610</v>
      </c>
      <c r="F218">
        <v>0.92451071761416603</v>
      </c>
      <c r="G218" t="s">
        <v>677</v>
      </c>
      <c r="H218">
        <v>1813</v>
      </c>
      <c r="I218">
        <v>1918</v>
      </c>
      <c r="J218">
        <f t="shared" si="3"/>
        <v>5.0754659292051283</v>
      </c>
    </row>
    <row r="219" spans="1:10" x14ac:dyDescent="0.2">
      <c r="A219" t="s">
        <v>24</v>
      </c>
      <c r="B219" t="s">
        <v>50</v>
      </c>
      <c r="C219" s="17">
        <v>1.6836614513799999E-26</v>
      </c>
      <c r="D219">
        <v>0.74216000000000004</v>
      </c>
      <c r="E219" t="s">
        <v>610</v>
      </c>
      <c r="F219">
        <v>0.925984878631118</v>
      </c>
      <c r="G219" t="s">
        <v>676</v>
      </c>
      <c r="H219">
        <v>1813</v>
      </c>
      <c r="I219">
        <v>273</v>
      </c>
      <c r="J219">
        <f t="shared" si="3"/>
        <v>25.773745231469871</v>
      </c>
    </row>
    <row r="220" spans="1:10" x14ac:dyDescent="0.2">
      <c r="A220" t="s">
        <v>13</v>
      </c>
      <c r="B220" t="s">
        <v>50</v>
      </c>
      <c r="C220" s="17">
        <v>2.4897184894499998E-5</v>
      </c>
      <c r="D220">
        <v>0.65104200000000001</v>
      </c>
      <c r="E220" t="s">
        <v>610</v>
      </c>
      <c r="F220">
        <v>0.925984878631118</v>
      </c>
      <c r="G220" t="s">
        <v>676</v>
      </c>
      <c r="H220">
        <v>1813</v>
      </c>
      <c r="I220">
        <v>1285</v>
      </c>
      <c r="J220">
        <f t="shared" si="3"/>
        <v>4.6038497554705442</v>
      </c>
    </row>
    <row r="221" spans="1:10" x14ac:dyDescent="0.2">
      <c r="A221" t="s">
        <v>73</v>
      </c>
      <c r="B221" t="s">
        <v>50</v>
      </c>
      <c r="C221" s="17">
        <v>2.1427967805200001E-5</v>
      </c>
      <c r="D221">
        <v>0.71428599999999998</v>
      </c>
      <c r="E221" t="s">
        <v>610</v>
      </c>
      <c r="F221">
        <v>0.92451071761416603</v>
      </c>
      <c r="G221" t="s">
        <v>677</v>
      </c>
      <c r="H221">
        <v>1813</v>
      </c>
      <c r="I221">
        <v>1854</v>
      </c>
      <c r="J221">
        <f t="shared" si="3"/>
        <v>4.6690190148115214</v>
      </c>
    </row>
    <row r="222" spans="1:10" x14ac:dyDescent="0.2">
      <c r="A222" t="s">
        <v>519</v>
      </c>
      <c r="B222" t="s">
        <v>50</v>
      </c>
      <c r="C222" s="17">
        <v>1.4449652585599999E-10</v>
      </c>
      <c r="D222">
        <v>1</v>
      </c>
      <c r="E222" t="s">
        <v>610</v>
      </c>
      <c r="F222">
        <v>0.92451071761416603</v>
      </c>
      <c r="G222" t="s">
        <v>677</v>
      </c>
      <c r="H222">
        <v>1813</v>
      </c>
      <c r="I222">
        <v>1442</v>
      </c>
      <c r="J222">
        <f t="shared" si="3"/>
        <v>9.8401425945663021</v>
      </c>
    </row>
    <row r="223" spans="1:10" x14ac:dyDescent="0.2">
      <c r="A223" t="s">
        <v>474</v>
      </c>
      <c r="B223" t="s">
        <v>50</v>
      </c>
      <c r="C223" s="17">
        <v>1.9575738789299999E-33</v>
      </c>
      <c r="D223">
        <v>0.47368399999999999</v>
      </c>
      <c r="E223" t="s">
        <v>610</v>
      </c>
      <c r="F223">
        <v>0.925984878631118</v>
      </c>
      <c r="G223" t="s">
        <v>676</v>
      </c>
      <c r="H223">
        <v>1813</v>
      </c>
      <c r="I223">
        <v>643</v>
      </c>
      <c r="J223">
        <f t="shared" si="3"/>
        <v>32.708281838666608</v>
      </c>
    </row>
    <row r="224" spans="1:10" x14ac:dyDescent="0.2">
      <c r="A224" t="s">
        <v>475</v>
      </c>
      <c r="B224" t="s">
        <v>50</v>
      </c>
      <c r="C224" s="17">
        <v>2.1811750577900001E-6</v>
      </c>
      <c r="D224">
        <v>0.64317199999999997</v>
      </c>
      <c r="E224" t="s">
        <v>610</v>
      </c>
      <c r="F224">
        <v>0.925984878631118</v>
      </c>
      <c r="G224" t="s">
        <v>676</v>
      </c>
      <c r="H224">
        <v>1813</v>
      </c>
      <c r="I224">
        <v>897</v>
      </c>
      <c r="J224">
        <f t="shared" si="3"/>
        <v>5.6613094772084436</v>
      </c>
    </row>
    <row r="225" spans="1:10" x14ac:dyDescent="0.2">
      <c r="A225" t="s">
        <v>48</v>
      </c>
      <c r="B225" t="s">
        <v>50</v>
      </c>
      <c r="C225" s="17">
        <v>7.4574656994099999E-7</v>
      </c>
      <c r="D225">
        <v>0.735294</v>
      </c>
      <c r="E225" t="s">
        <v>610</v>
      </c>
      <c r="F225">
        <v>0.87234042553191504</v>
      </c>
      <c r="G225" t="s">
        <v>679</v>
      </c>
      <c r="H225">
        <v>1813</v>
      </c>
      <c r="I225">
        <v>2034</v>
      </c>
      <c r="J225">
        <f t="shared" si="3"/>
        <v>6.1274087354974078</v>
      </c>
    </row>
    <row r="226" spans="1:10" x14ac:dyDescent="0.2">
      <c r="A226" t="s">
        <v>476</v>
      </c>
      <c r="B226" t="s">
        <v>50</v>
      </c>
      <c r="C226" s="17">
        <v>7.5427186496700005E-8</v>
      </c>
      <c r="D226">
        <v>0.66383000000000003</v>
      </c>
      <c r="E226" t="s">
        <v>610</v>
      </c>
      <c r="F226">
        <v>0.925984878631118</v>
      </c>
      <c r="G226" t="s">
        <v>676</v>
      </c>
      <c r="H226">
        <v>1813</v>
      </c>
      <c r="I226">
        <v>1508</v>
      </c>
      <c r="J226">
        <f t="shared" si="3"/>
        <v>7.1224720915647994</v>
      </c>
    </row>
    <row r="227" spans="1:10" x14ac:dyDescent="0.2">
      <c r="A227" t="s">
        <v>427</v>
      </c>
      <c r="B227" t="s">
        <v>50</v>
      </c>
      <c r="C227" s="17">
        <v>2.7911237927300001E-5</v>
      </c>
      <c r="D227">
        <v>0.68292699999999995</v>
      </c>
      <c r="E227" t="s">
        <v>610</v>
      </c>
      <c r="F227">
        <v>0.92451071761416603</v>
      </c>
      <c r="G227" t="s">
        <v>677</v>
      </c>
      <c r="H227">
        <v>1813</v>
      </c>
      <c r="I227">
        <v>2145</v>
      </c>
      <c r="J227">
        <f t="shared" si="3"/>
        <v>4.5542209011296864</v>
      </c>
    </row>
    <row r="228" spans="1:10" x14ac:dyDescent="0.2">
      <c r="A228" t="s">
        <v>442</v>
      </c>
      <c r="B228" t="s">
        <v>50</v>
      </c>
      <c r="C228" s="17">
        <v>4.4724564682900004E-6</v>
      </c>
      <c r="D228">
        <v>0.54074100000000003</v>
      </c>
      <c r="E228" t="s">
        <v>610</v>
      </c>
      <c r="F228">
        <v>0.87234042553191504</v>
      </c>
      <c r="G228" t="s">
        <v>679</v>
      </c>
      <c r="H228">
        <v>1813</v>
      </c>
      <c r="I228">
        <v>2137</v>
      </c>
      <c r="J228">
        <f t="shared" si="3"/>
        <v>5.3494538778535903</v>
      </c>
    </row>
    <row r="229" spans="1:10" x14ac:dyDescent="0.2">
      <c r="A229" t="s">
        <v>477</v>
      </c>
      <c r="B229" t="s">
        <v>50</v>
      </c>
      <c r="C229" s="17">
        <v>9.6698753670200002E-12</v>
      </c>
      <c r="D229">
        <v>0.70149300000000003</v>
      </c>
      <c r="E229" t="s">
        <v>610</v>
      </c>
      <c r="F229">
        <v>0.925984878631118</v>
      </c>
      <c r="G229" t="s">
        <v>676</v>
      </c>
      <c r="H229">
        <v>1813</v>
      </c>
      <c r="I229">
        <v>964</v>
      </c>
      <c r="J229">
        <f t="shared" si="3"/>
        <v>11.014579123410721</v>
      </c>
    </row>
    <row r="230" spans="1:10" x14ac:dyDescent="0.2">
      <c r="A230" t="s">
        <v>581</v>
      </c>
      <c r="B230" t="s">
        <v>50</v>
      </c>
      <c r="C230" s="17">
        <v>5.7292872501800005E-7</v>
      </c>
      <c r="D230">
        <v>0.53977299999999995</v>
      </c>
      <c r="E230" t="s">
        <v>610</v>
      </c>
      <c r="F230">
        <v>0.87234042553191504</v>
      </c>
      <c r="G230" t="s">
        <v>679</v>
      </c>
      <c r="H230">
        <v>1813</v>
      </c>
      <c r="I230">
        <v>2014</v>
      </c>
      <c r="J230">
        <f t="shared" si="3"/>
        <v>6.241899402913468</v>
      </c>
    </row>
    <row r="231" spans="1:10" x14ac:dyDescent="0.2">
      <c r="A231" t="s">
        <v>533</v>
      </c>
      <c r="B231" t="s">
        <v>52</v>
      </c>
      <c r="C231" s="17">
        <v>4.4988993325200002E-6</v>
      </c>
      <c r="D231">
        <v>0.59836100000000003</v>
      </c>
      <c r="E231" t="s">
        <v>610</v>
      </c>
      <c r="F231">
        <v>0.94395280235988199</v>
      </c>
      <c r="G231" t="s">
        <v>680</v>
      </c>
      <c r="H231">
        <v>1814</v>
      </c>
      <c r="I231">
        <v>2138</v>
      </c>
      <c r="J231">
        <f t="shared" si="3"/>
        <v>5.3468937245095161</v>
      </c>
    </row>
    <row r="232" spans="1:10" x14ac:dyDescent="0.2">
      <c r="A232" t="s">
        <v>21</v>
      </c>
      <c r="B232" t="s">
        <v>52</v>
      </c>
      <c r="C232" s="17">
        <v>1.24369985711E-23</v>
      </c>
      <c r="D232">
        <v>0.64157699999999995</v>
      </c>
      <c r="E232" t="s">
        <v>610</v>
      </c>
      <c r="F232">
        <v>0.92377260981912102</v>
      </c>
      <c r="G232" t="s">
        <v>681</v>
      </c>
      <c r="H232">
        <v>1814</v>
      </c>
      <c r="I232">
        <v>890</v>
      </c>
      <c r="J232">
        <f t="shared" si="3"/>
        <v>22.905284415568364</v>
      </c>
    </row>
    <row r="233" spans="1:10" x14ac:dyDescent="0.2">
      <c r="A233" t="s">
        <v>65</v>
      </c>
      <c r="B233" t="s">
        <v>52</v>
      </c>
      <c r="C233" s="17">
        <v>3.76846574811E-15</v>
      </c>
      <c r="D233">
        <v>0.35483900000000002</v>
      </c>
      <c r="E233" t="s">
        <v>610</v>
      </c>
      <c r="F233">
        <v>0.92377260981912102</v>
      </c>
      <c r="G233" t="s">
        <v>681</v>
      </c>
      <c r="H233">
        <v>1814</v>
      </c>
      <c r="I233">
        <v>1333</v>
      </c>
      <c r="J233">
        <f t="shared" si="3"/>
        <v>14.423835427711927</v>
      </c>
    </row>
    <row r="234" spans="1:10" x14ac:dyDescent="0.2">
      <c r="A234" t="s">
        <v>57</v>
      </c>
      <c r="B234" t="s">
        <v>52</v>
      </c>
      <c r="C234" s="17">
        <v>1.61584559504E-12</v>
      </c>
      <c r="D234">
        <v>0.40579700000000002</v>
      </c>
      <c r="E234" t="s">
        <v>610</v>
      </c>
      <c r="F234">
        <v>0.92377260981912102</v>
      </c>
      <c r="G234" t="s">
        <v>681</v>
      </c>
      <c r="H234">
        <v>1814</v>
      </c>
      <c r="I234">
        <v>1516</v>
      </c>
      <c r="J234">
        <f t="shared" si="3"/>
        <v>11.791600141349731</v>
      </c>
    </row>
    <row r="235" spans="1:10" x14ac:dyDescent="0.2">
      <c r="A235" t="s">
        <v>478</v>
      </c>
      <c r="B235" t="s">
        <v>52</v>
      </c>
      <c r="C235" s="17">
        <v>4.37771929909E-12</v>
      </c>
      <c r="D235">
        <v>0.47692299999999999</v>
      </c>
      <c r="E235" t="s">
        <v>610</v>
      </c>
      <c r="F235">
        <v>0.92377260981912102</v>
      </c>
      <c r="G235" t="s">
        <v>681</v>
      </c>
      <c r="H235">
        <v>1814</v>
      </c>
      <c r="I235">
        <v>1568</v>
      </c>
      <c r="J235">
        <f t="shared" si="3"/>
        <v>11.358752088991146</v>
      </c>
    </row>
    <row r="236" spans="1:10" x14ac:dyDescent="0.2">
      <c r="A236" t="s">
        <v>449</v>
      </c>
      <c r="B236" t="s">
        <v>52</v>
      </c>
      <c r="C236" s="17">
        <v>1.01322521443E-12</v>
      </c>
      <c r="D236">
        <v>0.44827600000000001</v>
      </c>
      <c r="E236" t="s">
        <v>610</v>
      </c>
      <c r="F236">
        <v>0.92377260981912102</v>
      </c>
      <c r="G236" t="s">
        <v>681</v>
      </c>
      <c r="H236">
        <v>1814</v>
      </c>
      <c r="I236">
        <v>1497</v>
      </c>
      <c r="J236">
        <f t="shared" si="3"/>
        <v>11.994294011191439</v>
      </c>
    </row>
    <row r="237" spans="1:10" x14ac:dyDescent="0.2">
      <c r="A237" t="s">
        <v>426</v>
      </c>
      <c r="B237" t="s">
        <v>52</v>
      </c>
      <c r="C237" s="17">
        <v>4.4793923015299997E-9</v>
      </c>
      <c r="D237">
        <v>0.71093799999999996</v>
      </c>
      <c r="E237" t="s">
        <v>610</v>
      </c>
      <c r="F237">
        <v>0.92377260981912102</v>
      </c>
      <c r="G237" t="s">
        <v>681</v>
      </c>
      <c r="H237">
        <v>1814</v>
      </c>
      <c r="I237">
        <v>1801</v>
      </c>
      <c r="J237">
        <f t="shared" si="3"/>
        <v>8.3487809007326117</v>
      </c>
    </row>
    <row r="238" spans="1:10" x14ac:dyDescent="0.2">
      <c r="A238" t="s">
        <v>452</v>
      </c>
      <c r="B238" t="s">
        <v>52</v>
      </c>
      <c r="C238" s="17">
        <v>8.0978887516600003E-5</v>
      </c>
      <c r="D238">
        <v>0.79487200000000002</v>
      </c>
      <c r="E238" t="s">
        <v>610</v>
      </c>
      <c r="F238">
        <v>0.92377260981912102</v>
      </c>
      <c r="G238" t="s">
        <v>681</v>
      </c>
      <c r="H238">
        <v>1814</v>
      </c>
      <c r="I238">
        <v>2305</v>
      </c>
      <c r="J238">
        <f t="shared" si="3"/>
        <v>4.091628193839778</v>
      </c>
    </row>
    <row r="239" spans="1:10" x14ac:dyDescent="0.2">
      <c r="A239" t="s">
        <v>24</v>
      </c>
      <c r="B239" t="s">
        <v>52</v>
      </c>
      <c r="C239" s="17">
        <v>1.3268725897599999E-27</v>
      </c>
      <c r="D239">
        <v>0.62405999999999995</v>
      </c>
      <c r="E239" t="s">
        <v>610</v>
      </c>
      <c r="F239">
        <v>0.92377260981912102</v>
      </c>
      <c r="G239" t="s">
        <v>681</v>
      </c>
      <c r="H239">
        <v>1814</v>
      </c>
      <c r="I239">
        <v>775</v>
      </c>
      <c r="J239">
        <f t="shared" si="3"/>
        <v>26.877170777377263</v>
      </c>
    </row>
    <row r="240" spans="1:10" x14ac:dyDescent="0.2">
      <c r="A240" t="s">
        <v>13</v>
      </c>
      <c r="B240" t="s">
        <v>52</v>
      </c>
      <c r="C240" s="17">
        <v>9.7767794359200001E-5</v>
      </c>
      <c r="D240">
        <v>0.62616799999999995</v>
      </c>
      <c r="E240" t="s">
        <v>610</v>
      </c>
      <c r="F240">
        <v>0.92377260981912102</v>
      </c>
      <c r="G240" t="s">
        <v>681</v>
      </c>
      <c r="H240">
        <v>1814</v>
      </c>
      <c r="I240">
        <v>1827</v>
      </c>
      <c r="J240">
        <f t="shared" si="3"/>
        <v>4.0098041823853423</v>
      </c>
    </row>
    <row r="241" spans="1:10" x14ac:dyDescent="0.2">
      <c r="A241" t="s">
        <v>519</v>
      </c>
      <c r="B241" t="s">
        <v>52</v>
      </c>
      <c r="C241" s="17">
        <v>2.4601446198799899E-15</v>
      </c>
      <c r="D241">
        <v>1</v>
      </c>
      <c r="E241" t="s">
        <v>610</v>
      </c>
      <c r="F241">
        <v>0.94395280235988199</v>
      </c>
      <c r="G241" t="s">
        <v>680</v>
      </c>
      <c r="H241">
        <v>1814</v>
      </c>
      <c r="I241">
        <v>1319</v>
      </c>
      <c r="J241">
        <f t="shared" si="3"/>
        <v>14.609039362095913</v>
      </c>
    </row>
    <row r="242" spans="1:10" x14ac:dyDescent="0.2">
      <c r="A242" t="s">
        <v>474</v>
      </c>
      <c r="B242" t="s">
        <v>52</v>
      </c>
      <c r="C242" s="17">
        <v>9.5147770536399994E-50</v>
      </c>
      <c r="D242">
        <v>0.47368399999999999</v>
      </c>
      <c r="E242" t="s">
        <v>610</v>
      </c>
      <c r="F242">
        <v>0.92377260981912102</v>
      </c>
      <c r="G242" t="s">
        <v>681</v>
      </c>
      <c r="H242">
        <v>1814</v>
      </c>
      <c r="I242">
        <v>324</v>
      </c>
      <c r="J242">
        <f t="shared" si="3"/>
        <v>49.021601383468216</v>
      </c>
    </row>
    <row r="243" spans="1:10" x14ac:dyDescent="0.2">
      <c r="A243" t="s">
        <v>475</v>
      </c>
      <c r="B243" t="s">
        <v>52</v>
      </c>
      <c r="C243" s="17">
        <v>1.1164150184E-13</v>
      </c>
      <c r="D243">
        <v>0.64317199999999997</v>
      </c>
      <c r="E243" t="s">
        <v>610</v>
      </c>
      <c r="F243">
        <v>0.92377260981912102</v>
      </c>
      <c r="G243" t="s">
        <v>681</v>
      </c>
      <c r="H243">
        <v>1814</v>
      </c>
      <c r="I243">
        <v>1427</v>
      </c>
      <c r="J243">
        <f t="shared" si="3"/>
        <v>12.952174329864905</v>
      </c>
    </row>
    <row r="244" spans="1:10" x14ac:dyDescent="0.2">
      <c r="A244" t="s">
        <v>476</v>
      </c>
      <c r="B244" t="s">
        <v>52</v>
      </c>
      <c r="C244" s="17">
        <v>5.2018749307999997E-9</v>
      </c>
      <c r="D244">
        <v>0.66383000000000003</v>
      </c>
      <c r="E244" t="s">
        <v>610</v>
      </c>
      <c r="F244">
        <v>0.92377260981912102</v>
      </c>
      <c r="G244" t="s">
        <v>681</v>
      </c>
      <c r="H244">
        <v>1814</v>
      </c>
      <c r="I244">
        <v>1351</v>
      </c>
      <c r="J244">
        <f t="shared" si="3"/>
        <v>8.2838400938003502</v>
      </c>
    </row>
    <row r="245" spans="1:10" x14ac:dyDescent="0.2">
      <c r="A245" t="s">
        <v>479</v>
      </c>
      <c r="B245" t="s">
        <v>56</v>
      </c>
      <c r="C245" s="17">
        <v>1.2412251571E-7</v>
      </c>
      <c r="D245">
        <v>0.68918900000000005</v>
      </c>
      <c r="E245" t="s">
        <v>610</v>
      </c>
      <c r="F245">
        <v>0.91170825335892502</v>
      </c>
      <c r="G245" t="s">
        <v>682</v>
      </c>
      <c r="H245">
        <v>1815</v>
      </c>
      <c r="I245">
        <v>1956</v>
      </c>
      <c r="J245">
        <f t="shared" si="3"/>
        <v>6.9061494307361233</v>
      </c>
    </row>
    <row r="246" spans="1:10" x14ac:dyDescent="0.2">
      <c r="A246" t="s">
        <v>20</v>
      </c>
      <c r="B246" t="s">
        <v>56</v>
      </c>
      <c r="C246" s="17">
        <v>1.41606595339E-8</v>
      </c>
      <c r="D246">
        <v>0.64028799999999997</v>
      </c>
      <c r="E246" t="s">
        <v>610</v>
      </c>
      <c r="F246">
        <v>0.91170825335892502</v>
      </c>
      <c r="G246" t="s">
        <v>682</v>
      </c>
      <c r="H246">
        <v>1815</v>
      </c>
      <c r="I246">
        <v>1856</v>
      </c>
      <c r="J246">
        <f t="shared" si="3"/>
        <v>7.8489165188734393</v>
      </c>
    </row>
    <row r="247" spans="1:10" x14ac:dyDescent="0.2">
      <c r="A247" t="s">
        <v>21</v>
      </c>
      <c r="B247" t="s">
        <v>56</v>
      </c>
      <c r="C247" s="17">
        <v>9.0636330406400002E-13</v>
      </c>
      <c r="D247">
        <v>0.63120600000000004</v>
      </c>
      <c r="E247" t="s">
        <v>610</v>
      </c>
      <c r="F247">
        <v>0.91170825335892502</v>
      </c>
      <c r="G247" t="s">
        <v>682</v>
      </c>
      <c r="H247">
        <v>1815</v>
      </c>
      <c r="I247">
        <v>1493</v>
      </c>
      <c r="J247">
        <f t="shared" si="3"/>
        <v>12.042697686071762</v>
      </c>
    </row>
    <row r="248" spans="1:10" x14ac:dyDescent="0.2">
      <c r="A248" t="s">
        <v>478</v>
      </c>
      <c r="B248" t="s">
        <v>56</v>
      </c>
      <c r="C248" s="17">
        <v>1.5056680378199901E-14</v>
      </c>
      <c r="D248">
        <v>0.45714300000000002</v>
      </c>
      <c r="E248" t="s">
        <v>610</v>
      </c>
      <c r="F248">
        <v>0.91170825335892502</v>
      </c>
      <c r="G248" t="s">
        <v>682</v>
      </c>
      <c r="H248">
        <v>1815</v>
      </c>
      <c r="I248">
        <v>1250</v>
      </c>
      <c r="J248">
        <f t="shared" si="3"/>
        <v>13.822270768662994</v>
      </c>
    </row>
    <row r="249" spans="1:10" x14ac:dyDescent="0.2">
      <c r="A249" t="s">
        <v>519</v>
      </c>
      <c r="B249" t="s">
        <v>56</v>
      </c>
      <c r="C249" s="17">
        <v>2.1478032623300002E-28</v>
      </c>
      <c r="D249">
        <v>1</v>
      </c>
      <c r="E249" t="s">
        <v>610</v>
      </c>
      <c r="F249">
        <v>0.93313953488372103</v>
      </c>
      <c r="G249" t="s">
        <v>683</v>
      </c>
      <c r="H249">
        <v>1815</v>
      </c>
      <c r="I249">
        <v>752</v>
      </c>
      <c r="J249">
        <f t="shared" si="3"/>
        <v>27.668005502300961</v>
      </c>
    </row>
    <row r="250" spans="1:10" x14ac:dyDescent="0.2">
      <c r="A250" t="s">
        <v>480</v>
      </c>
      <c r="B250" t="s">
        <v>56</v>
      </c>
      <c r="C250" s="17">
        <v>6.9358332410700003E-9</v>
      </c>
      <c r="D250">
        <v>0.72857099999999997</v>
      </c>
      <c r="E250" t="s">
        <v>610</v>
      </c>
      <c r="F250">
        <v>0.91170825335892502</v>
      </c>
      <c r="G250" t="s">
        <v>682</v>
      </c>
      <c r="H250">
        <v>1815</v>
      </c>
      <c r="I250">
        <v>1823</v>
      </c>
      <c r="J250">
        <f t="shared" si="3"/>
        <v>8.1589013571918425</v>
      </c>
    </row>
    <row r="251" spans="1:10" x14ac:dyDescent="0.2">
      <c r="A251" t="s">
        <v>481</v>
      </c>
      <c r="B251" t="s">
        <v>56</v>
      </c>
      <c r="C251" s="17">
        <v>2.5685702436100001E-6</v>
      </c>
      <c r="D251">
        <v>0.769231</v>
      </c>
      <c r="E251" t="s">
        <v>610</v>
      </c>
      <c r="F251">
        <v>0.91170825335892502</v>
      </c>
      <c r="G251" t="s">
        <v>682</v>
      </c>
      <c r="H251">
        <v>1815</v>
      </c>
      <c r="I251">
        <v>2113</v>
      </c>
      <c r="J251">
        <f t="shared" si="3"/>
        <v>5.5903085529705674</v>
      </c>
    </row>
    <row r="252" spans="1:10" x14ac:dyDescent="0.2">
      <c r="A252" t="s">
        <v>477</v>
      </c>
      <c r="B252" t="s">
        <v>56</v>
      </c>
      <c r="C252" s="17">
        <v>1.7207728119099999E-15</v>
      </c>
      <c r="D252">
        <v>0.64532</v>
      </c>
      <c r="E252" t="s">
        <v>610</v>
      </c>
      <c r="F252">
        <v>0.91170825335892502</v>
      </c>
      <c r="G252" t="s">
        <v>682</v>
      </c>
      <c r="H252">
        <v>1815</v>
      </c>
      <c r="I252">
        <v>1307</v>
      </c>
      <c r="J252">
        <f t="shared" si="3"/>
        <v>14.764276464388807</v>
      </c>
    </row>
    <row r="253" spans="1:10" x14ac:dyDescent="0.2">
      <c r="A253" t="s">
        <v>482</v>
      </c>
      <c r="B253" t="s">
        <v>56</v>
      </c>
      <c r="C253" s="17">
        <v>6.7983205195899998E-11</v>
      </c>
      <c r="D253">
        <v>0.78723399999999999</v>
      </c>
      <c r="E253" t="s">
        <v>610</v>
      </c>
      <c r="F253">
        <v>0.91170825335892502</v>
      </c>
      <c r="G253" t="s">
        <v>682</v>
      </c>
      <c r="H253">
        <v>1815</v>
      </c>
      <c r="I253">
        <v>1653</v>
      </c>
      <c r="J253">
        <f t="shared" si="3"/>
        <v>10.16759836364119</v>
      </c>
    </row>
    <row r="254" spans="1:10" x14ac:dyDescent="0.2">
      <c r="A254" t="s">
        <v>583</v>
      </c>
      <c r="B254" t="s">
        <v>582</v>
      </c>
      <c r="C254" s="17">
        <v>1.34833061221E-11</v>
      </c>
      <c r="D254">
        <v>0.66339899999999996</v>
      </c>
      <c r="E254" t="s">
        <v>610</v>
      </c>
      <c r="F254">
        <v>0.54014598540145997</v>
      </c>
      <c r="G254" t="s">
        <v>684</v>
      </c>
      <c r="H254">
        <v>1910</v>
      </c>
      <c r="I254">
        <v>1606</v>
      </c>
      <c r="J254">
        <f t="shared" si="3"/>
        <v>10.870203605238645</v>
      </c>
    </row>
    <row r="255" spans="1:10" x14ac:dyDescent="0.2">
      <c r="A255" t="s">
        <v>445</v>
      </c>
      <c r="B255" t="s">
        <v>347</v>
      </c>
      <c r="C255" s="17">
        <v>7.7739130910399999E-8</v>
      </c>
      <c r="D255">
        <v>0.64640900000000001</v>
      </c>
      <c r="E255" t="s">
        <v>610</v>
      </c>
      <c r="F255">
        <v>0.61538461538461497</v>
      </c>
      <c r="G255" t="s">
        <v>685</v>
      </c>
      <c r="H255">
        <v>2099</v>
      </c>
      <c r="I255">
        <v>1933</v>
      </c>
      <c r="J255">
        <f t="shared" si="3"/>
        <v>7.1093603189006283</v>
      </c>
    </row>
    <row r="256" spans="1:10" x14ac:dyDescent="0.2">
      <c r="A256" t="s">
        <v>97</v>
      </c>
      <c r="B256" t="s">
        <v>347</v>
      </c>
      <c r="C256" s="17">
        <v>2.61249718747E-6</v>
      </c>
      <c r="D256">
        <v>0.57352899999999996</v>
      </c>
      <c r="E256" t="s">
        <v>610</v>
      </c>
      <c r="F256">
        <v>0.61538461538461497</v>
      </c>
      <c r="G256" t="s">
        <v>685</v>
      </c>
      <c r="H256">
        <v>2099</v>
      </c>
      <c r="I256">
        <v>2114</v>
      </c>
      <c r="J256">
        <f t="shared" si="3"/>
        <v>5.5829441684280345</v>
      </c>
    </row>
    <row r="257" spans="1:10" x14ac:dyDescent="0.2">
      <c r="A257" t="s">
        <v>449</v>
      </c>
      <c r="B257" t="s">
        <v>347</v>
      </c>
      <c r="C257" s="17">
        <v>2.7149391777599999E-61</v>
      </c>
      <c r="D257">
        <v>0.45613999999999999</v>
      </c>
      <c r="E257" t="s">
        <v>610</v>
      </c>
      <c r="F257">
        <v>0.40051903114186799</v>
      </c>
      <c r="G257" t="s">
        <v>686</v>
      </c>
      <c r="H257">
        <v>2099</v>
      </c>
      <c r="I257">
        <v>233</v>
      </c>
      <c r="J257">
        <f t="shared" si="3"/>
        <v>60.566239895378665</v>
      </c>
    </row>
    <row r="258" spans="1:10" x14ac:dyDescent="0.2">
      <c r="A258" t="s">
        <v>485</v>
      </c>
      <c r="B258" t="s">
        <v>347</v>
      </c>
      <c r="C258" s="17">
        <v>1.8351058783700001E-8</v>
      </c>
      <c r="D258">
        <v>0.66857100000000003</v>
      </c>
      <c r="E258" t="s">
        <v>610</v>
      </c>
      <c r="F258">
        <v>0.61538461538461497</v>
      </c>
      <c r="G258" t="s">
        <v>685</v>
      </c>
      <c r="H258">
        <v>2099</v>
      </c>
      <c r="I258">
        <v>1869</v>
      </c>
      <c r="J258">
        <f t="shared" si="3"/>
        <v>7.7363388736106291</v>
      </c>
    </row>
    <row r="259" spans="1:10" x14ac:dyDescent="0.2">
      <c r="A259" t="s">
        <v>483</v>
      </c>
      <c r="B259" t="s">
        <v>347</v>
      </c>
      <c r="C259" s="17">
        <v>1.53500515094E-22</v>
      </c>
      <c r="D259">
        <v>0.875</v>
      </c>
      <c r="E259" t="s">
        <v>610</v>
      </c>
      <c r="F259">
        <v>0.50086505190311403</v>
      </c>
      <c r="G259" t="s">
        <v>686</v>
      </c>
      <c r="H259">
        <v>2099</v>
      </c>
      <c r="I259">
        <v>929</v>
      </c>
      <c r="J259">
        <f t="shared" ref="J259:J322" si="4">-LOG10(C259)</f>
        <v>21.813890162844082</v>
      </c>
    </row>
    <row r="260" spans="1:10" x14ac:dyDescent="0.2">
      <c r="A260" t="s">
        <v>98</v>
      </c>
      <c r="B260" t="s">
        <v>347</v>
      </c>
      <c r="C260" s="17">
        <v>6.2868706992900002E-12</v>
      </c>
      <c r="D260">
        <v>0.82978700000000005</v>
      </c>
      <c r="E260" t="s">
        <v>610</v>
      </c>
      <c r="F260">
        <v>0.61538461538461497</v>
      </c>
      <c r="G260" t="s">
        <v>685</v>
      </c>
      <c r="H260">
        <v>2099</v>
      </c>
      <c r="I260">
        <v>1578</v>
      </c>
      <c r="J260">
        <f t="shared" si="4"/>
        <v>11.201565471598645</v>
      </c>
    </row>
    <row r="261" spans="1:10" x14ac:dyDescent="0.2">
      <c r="A261" t="s">
        <v>24</v>
      </c>
      <c r="B261" t="s">
        <v>347</v>
      </c>
      <c r="C261" s="17">
        <v>9.0353607990800005E-22</v>
      </c>
      <c r="D261">
        <v>0.57236799999999999</v>
      </c>
      <c r="E261" t="s">
        <v>610</v>
      </c>
      <c r="F261">
        <v>0.40051903114186799</v>
      </c>
      <c r="G261" t="s">
        <v>686</v>
      </c>
      <c r="H261">
        <v>2099</v>
      </c>
      <c r="I261">
        <v>965</v>
      </c>
      <c r="J261">
        <f t="shared" si="4"/>
        <v>21.044054500555074</v>
      </c>
    </row>
    <row r="262" spans="1:10" x14ac:dyDescent="0.2">
      <c r="A262" t="s">
        <v>37</v>
      </c>
      <c r="B262" t="s">
        <v>347</v>
      </c>
      <c r="C262" s="17">
        <v>1.49789338793E-12</v>
      </c>
      <c r="D262">
        <v>0.859259</v>
      </c>
      <c r="E262" t="s">
        <v>610</v>
      </c>
      <c r="F262">
        <v>0.61538461538461497</v>
      </c>
      <c r="G262" t="s">
        <v>685</v>
      </c>
      <c r="H262">
        <v>2099</v>
      </c>
      <c r="I262">
        <v>1513</v>
      </c>
      <c r="J262">
        <f t="shared" si="4"/>
        <v>11.824519096303707</v>
      </c>
    </row>
    <row r="263" spans="1:10" x14ac:dyDescent="0.2">
      <c r="A263" t="s">
        <v>99</v>
      </c>
      <c r="B263" t="s">
        <v>347</v>
      </c>
      <c r="C263" s="17">
        <v>8.5469695043600004E-7</v>
      </c>
      <c r="D263">
        <v>0.59615399999999996</v>
      </c>
      <c r="E263" t="s">
        <v>610</v>
      </c>
      <c r="F263">
        <v>0.61538461538461497</v>
      </c>
      <c r="G263" t="s">
        <v>685</v>
      </c>
      <c r="H263">
        <v>2099</v>
      </c>
      <c r="I263">
        <v>2040</v>
      </c>
      <c r="J263">
        <f t="shared" si="4"/>
        <v>6.0681878456034912</v>
      </c>
    </row>
    <row r="264" spans="1:10" x14ac:dyDescent="0.2">
      <c r="A264" t="s">
        <v>486</v>
      </c>
      <c r="B264" t="s">
        <v>347</v>
      </c>
      <c r="C264" s="17">
        <v>8.5469695043600004E-7</v>
      </c>
      <c r="D264">
        <v>0.59615399999999996</v>
      </c>
      <c r="E264" t="s">
        <v>610</v>
      </c>
      <c r="F264">
        <v>0.61538461538461497</v>
      </c>
      <c r="G264" t="s">
        <v>685</v>
      </c>
      <c r="H264">
        <v>2099</v>
      </c>
      <c r="I264">
        <v>2041</v>
      </c>
      <c r="J264">
        <f t="shared" si="4"/>
        <v>6.0681878456034912</v>
      </c>
    </row>
    <row r="265" spans="1:10" x14ac:dyDescent="0.2">
      <c r="A265" t="s">
        <v>100</v>
      </c>
      <c r="B265" t="s">
        <v>347</v>
      </c>
      <c r="C265" s="17">
        <v>1.39352449535E-6</v>
      </c>
      <c r="D265">
        <v>0.58598700000000004</v>
      </c>
      <c r="E265" t="s">
        <v>610</v>
      </c>
      <c r="F265">
        <v>0.61538461538461497</v>
      </c>
      <c r="G265" t="s">
        <v>685</v>
      </c>
      <c r="H265">
        <v>2099</v>
      </c>
      <c r="I265">
        <v>2072</v>
      </c>
      <c r="J265">
        <f t="shared" si="4"/>
        <v>5.8558853928625263</v>
      </c>
    </row>
    <row r="266" spans="1:10" x14ac:dyDescent="0.2">
      <c r="A266" t="s">
        <v>101</v>
      </c>
      <c r="B266" t="s">
        <v>347</v>
      </c>
      <c r="C266" s="17">
        <v>3.6673218262199999E-7</v>
      </c>
      <c r="D266">
        <v>0.61333300000000002</v>
      </c>
      <c r="E266" t="s">
        <v>610</v>
      </c>
      <c r="F266">
        <v>0.61538461538461497</v>
      </c>
      <c r="G266" t="s">
        <v>685</v>
      </c>
      <c r="H266">
        <v>2099</v>
      </c>
      <c r="I266">
        <v>1995</v>
      </c>
      <c r="J266">
        <f t="shared" si="4"/>
        <v>6.4356509768082413</v>
      </c>
    </row>
    <row r="267" spans="1:10" x14ac:dyDescent="0.2">
      <c r="A267" t="s">
        <v>102</v>
      </c>
      <c r="B267" t="s">
        <v>347</v>
      </c>
      <c r="C267" s="17">
        <v>3.0337562201499999E-32</v>
      </c>
      <c r="D267">
        <v>0.73333300000000001</v>
      </c>
      <c r="E267" t="s">
        <v>610</v>
      </c>
      <c r="F267">
        <v>0.50086505190311403</v>
      </c>
      <c r="G267" t="s">
        <v>686</v>
      </c>
      <c r="H267">
        <v>2099</v>
      </c>
      <c r="I267">
        <v>669</v>
      </c>
      <c r="J267">
        <f t="shared" si="4"/>
        <v>31.518019320219448</v>
      </c>
    </row>
    <row r="268" spans="1:10" x14ac:dyDescent="0.2">
      <c r="A268" t="s">
        <v>584</v>
      </c>
      <c r="B268" t="s">
        <v>347</v>
      </c>
      <c r="C268" s="17">
        <v>2.8899305171099998E-10</v>
      </c>
      <c r="D268">
        <v>0.75163400000000002</v>
      </c>
      <c r="E268" t="s">
        <v>610</v>
      </c>
      <c r="F268">
        <v>0.61538461538461497</v>
      </c>
      <c r="G268" t="s">
        <v>685</v>
      </c>
      <c r="H268">
        <v>2099</v>
      </c>
      <c r="I268">
        <v>1711</v>
      </c>
      <c r="J268">
        <f t="shared" si="4"/>
        <v>9.5391125989038237</v>
      </c>
    </row>
    <row r="269" spans="1:10" x14ac:dyDescent="0.2">
      <c r="A269" t="s">
        <v>449</v>
      </c>
      <c r="B269" t="s">
        <v>484</v>
      </c>
      <c r="C269" s="17">
        <v>2.0941701746199999E-49</v>
      </c>
      <c r="D269">
        <v>0.45613999999999999</v>
      </c>
      <c r="E269" t="s">
        <v>610</v>
      </c>
      <c r="F269">
        <v>0.31792318634423899</v>
      </c>
      <c r="G269" t="s">
        <v>687</v>
      </c>
      <c r="H269">
        <v>2100</v>
      </c>
      <c r="I269">
        <v>330</v>
      </c>
      <c r="J269">
        <f t="shared" si="4"/>
        <v>48.678988029965915</v>
      </c>
    </row>
    <row r="270" spans="1:10" x14ac:dyDescent="0.2">
      <c r="A270" t="s">
        <v>485</v>
      </c>
      <c r="B270" t="s">
        <v>484</v>
      </c>
      <c r="C270" s="17">
        <v>3.9592048084499997E-8</v>
      </c>
      <c r="D270">
        <v>0.65340900000000002</v>
      </c>
      <c r="E270" t="s">
        <v>610</v>
      </c>
      <c r="F270">
        <v>0.54765291607396904</v>
      </c>
      <c r="G270" t="s">
        <v>687</v>
      </c>
      <c r="H270">
        <v>2100</v>
      </c>
      <c r="I270">
        <v>1787</v>
      </c>
      <c r="J270">
        <f t="shared" si="4"/>
        <v>7.4023920317463965</v>
      </c>
    </row>
    <row r="271" spans="1:10" x14ac:dyDescent="0.2">
      <c r="A271" t="s">
        <v>98</v>
      </c>
      <c r="B271" t="s">
        <v>484</v>
      </c>
      <c r="C271" s="17">
        <v>6.0261273640300001E-16</v>
      </c>
      <c r="D271">
        <v>0.809859</v>
      </c>
      <c r="E271" t="s">
        <v>610</v>
      </c>
      <c r="F271">
        <v>0.54765291607396904</v>
      </c>
      <c r="G271" t="s">
        <v>687</v>
      </c>
      <c r="H271">
        <v>2100</v>
      </c>
      <c r="I271">
        <v>1288</v>
      </c>
      <c r="J271">
        <f t="shared" si="4"/>
        <v>15.219961693620032</v>
      </c>
    </row>
    <row r="272" spans="1:10" x14ac:dyDescent="0.2">
      <c r="A272" t="s">
        <v>486</v>
      </c>
      <c r="B272" t="s">
        <v>484</v>
      </c>
      <c r="C272" s="17">
        <v>1.1270729016700001E-8</v>
      </c>
      <c r="D272">
        <v>0.65333300000000005</v>
      </c>
      <c r="E272" t="s">
        <v>610</v>
      </c>
      <c r="F272">
        <v>0.54765291607396904</v>
      </c>
      <c r="G272" t="s">
        <v>687</v>
      </c>
      <c r="H272">
        <v>2100</v>
      </c>
      <c r="I272">
        <v>1840</v>
      </c>
      <c r="J272">
        <f t="shared" si="4"/>
        <v>7.9480479918784415</v>
      </c>
    </row>
    <row r="273" spans="1:10" x14ac:dyDescent="0.2">
      <c r="A273" t="s">
        <v>100</v>
      </c>
      <c r="B273" t="s">
        <v>484</v>
      </c>
      <c r="C273" s="17">
        <v>4.6988825243000002E-6</v>
      </c>
      <c r="D273">
        <v>0.65333300000000005</v>
      </c>
      <c r="E273" t="s">
        <v>610</v>
      </c>
      <c r="F273">
        <v>0.54765291607396904</v>
      </c>
      <c r="G273" t="s">
        <v>687</v>
      </c>
      <c r="H273">
        <v>2100</v>
      </c>
      <c r="I273">
        <v>1983</v>
      </c>
      <c r="J273">
        <f t="shared" si="4"/>
        <v>5.3280054125395129</v>
      </c>
    </row>
    <row r="274" spans="1:10" x14ac:dyDescent="0.2">
      <c r="A274" t="s">
        <v>487</v>
      </c>
      <c r="B274" t="s">
        <v>484</v>
      </c>
      <c r="C274" s="17">
        <v>3.2874115604399999E-5</v>
      </c>
      <c r="D274">
        <v>0.60408200000000001</v>
      </c>
      <c r="E274" t="s">
        <v>610</v>
      </c>
      <c r="F274">
        <v>0.11877667140825</v>
      </c>
      <c r="G274" t="s">
        <v>687</v>
      </c>
      <c r="H274">
        <v>2100</v>
      </c>
      <c r="I274">
        <v>2238</v>
      </c>
      <c r="J274">
        <f t="shared" si="4"/>
        <v>4.4831459219484309</v>
      </c>
    </row>
    <row r="275" spans="1:10" x14ac:dyDescent="0.2">
      <c r="A275" t="s">
        <v>585</v>
      </c>
      <c r="B275" t="s">
        <v>688</v>
      </c>
      <c r="C275" s="17">
        <v>7.57358852067E-22</v>
      </c>
      <c r="D275">
        <v>0.57826100000000002</v>
      </c>
      <c r="E275" t="s">
        <v>610</v>
      </c>
      <c r="F275">
        <v>0.15062761506276201</v>
      </c>
      <c r="G275" t="s">
        <v>689</v>
      </c>
      <c r="H275">
        <v>2554</v>
      </c>
      <c r="I275">
        <v>957</v>
      </c>
      <c r="J275">
        <f t="shared" si="4"/>
        <v>21.120698294152728</v>
      </c>
    </row>
    <row r="276" spans="1:10" x14ac:dyDescent="0.2">
      <c r="A276" t="s">
        <v>586</v>
      </c>
      <c r="B276" t="s">
        <v>688</v>
      </c>
      <c r="C276" s="17">
        <v>1.4449652585599999E-10</v>
      </c>
      <c r="D276">
        <v>0.36507899999999999</v>
      </c>
      <c r="E276" t="s">
        <v>610</v>
      </c>
      <c r="F276">
        <v>0.68412822517591898</v>
      </c>
      <c r="G276" t="s">
        <v>690</v>
      </c>
      <c r="H276">
        <v>2554</v>
      </c>
      <c r="I276">
        <v>1664</v>
      </c>
      <c r="J276">
        <f t="shared" si="4"/>
        <v>9.8401425945663021</v>
      </c>
    </row>
    <row r="277" spans="1:10" x14ac:dyDescent="0.2">
      <c r="A277" t="s">
        <v>446</v>
      </c>
      <c r="B277" t="s">
        <v>688</v>
      </c>
      <c r="C277" s="17">
        <v>3.0613258805299998E-13</v>
      </c>
      <c r="D277">
        <v>0.67676800000000004</v>
      </c>
      <c r="E277" t="s">
        <v>610</v>
      </c>
      <c r="F277">
        <v>0.68412822517591898</v>
      </c>
      <c r="G277" t="s">
        <v>690</v>
      </c>
      <c r="H277">
        <v>2554</v>
      </c>
      <c r="I277">
        <v>1463</v>
      </c>
      <c r="J277">
        <f t="shared" si="4"/>
        <v>12.51409043695517</v>
      </c>
    </row>
    <row r="278" spans="1:10" x14ac:dyDescent="0.2">
      <c r="A278" t="s">
        <v>587</v>
      </c>
      <c r="B278" t="s">
        <v>688</v>
      </c>
      <c r="C278" s="17">
        <v>2.29871407230999E-14</v>
      </c>
      <c r="D278">
        <v>0.58181799999999995</v>
      </c>
      <c r="E278" t="s">
        <v>610</v>
      </c>
      <c r="F278">
        <v>0.75</v>
      </c>
      <c r="G278" t="s">
        <v>691</v>
      </c>
      <c r="H278">
        <v>2554</v>
      </c>
      <c r="I278">
        <v>1381</v>
      </c>
      <c r="J278">
        <f t="shared" si="4"/>
        <v>13.638515045494792</v>
      </c>
    </row>
    <row r="279" spans="1:10" x14ac:dyDescent="0.2">
      <c r="A279" t="s">
        <v>588</v>
      </c>
      <c r="B279" t="s">
        <v>688</v>
      </c>
      <c r="C279" s="17">
        <v>2.8899305171099998E-10</v>
      </c>
      <c r="D279">
        <v>0.38806000000000002</v>
      </c>
      <c r="E279" t="s">
        <v>610</v>
      </c>
      <c r="F279">
        <v>0.20797498045347901</v>
      </c>
      <c r="G279" t="s">
        <v>690</v>
      </c>
      <c r="H279">
        <v>2554</v>
      </c>
      <c r="I279">
        <v>1705</v>
      </c>
      <c r="J279">
        <f t="shared" si="4"/>
        <v>9.5391125989038237</v>
      </c>
    </row>
    <row r="280" spans="1:10" x14ac:dyDescent="0.2">
      <c r="A280" t="s">
        <v>37</v>
      </c>
      <c r="B280" t="s">
        <v>688</v>
      </c>
      <c r="C280" s="17">
        <v>1.4449652585599999E-10</v>
      </c>
      <c r="D280">
        <v>0.415385</v>
      </c>
      <c r="E280" t="s">
        <v>610</v>
      </c>
      <c r="F280">
        <v>0.68412822517591898</v>
      </c>
      <c r="G280" t="s">
        <v>690</v>
      </c>
      <c r="H280">
        <v>2554</v>
      </c>
      <c r="I280">
        <v>619</v>
      </c>
      <c r="J280">
        <f t="shared" si="4"/>
        <v>9.8401425945663021</v>
      </c>
    </row>
    <row r="281" spans="1:10" x14ac:dyDescent="0.2">
      <c r="A281" t="s">
        <v>439</v>
      </c>
      <c r="B281" t="s">
        <v>688</v>
      </c>
      <c r="C281" s="17">
        <v>6.6667982146800002E-97</v>
      </c>
      <c r="D281">
        <v>0.8125</v>
      </c>
      <c r="E281" t="s">
        <v>610</v>
      </c>
      <c r="F281">
        <v>0.74476987447698695</v>
      </c>
      <c r="G281" t="s">
        <v>689</v>
      </c>
      <c r="H281">
        <v>2554</v>
      </c>
      <c r="I281">
        <v>87</v>
      </c>
      <c r="J281">
        <f t="shared" si="4"/>
        <v>96.17608268955378</v>
      </c>
    </row>
    <row r="282" spans="1:10" x14ac:dyDescent="0.2">
      <c r="A282" t="s">
        <v>101</v>
      </c>
      <c r="B282" t="s">
        <v>688</v>
      </c>
      <c r="C282" s="17">
        <v>3.29452078951E-8</v>
      </c>
      <c r="D282">
        <v>0.53448300000000004</v>
      </c>
      <c r="E282" t="s">
        <v>610</v>
      </c>
      <c r="F282">
        <v>0.75</v>
      </c>
      <c r="G282" t="s">
        <v>691</v>
      </c>
      <c r="H282">
        <v>2554</v>
      </c>
      <c r="I282">
        <v>1896</v>
      </c>
      <c r="J282">
        <f t="shared" si="4"/>
        <v>7.4822077475667443</v>
      </c>
    </row>
    <row r="283" spans="1:10" x14ac:dyDescent="0.2">
      <c r="A283" t="s">
        <v>589</v>
      </c>
      <c r="B283" t="s">
        <v>688</v>
      </c>
      <c r="C283" s="17">
        <v>2.3105110362899998E-19</v>
      </c>
      <c r="D283">
        <v>0.56573700000000005</v>
      </c>
      <c r="E283" t="s">
        <v>610</v>
      </c>
      <c r="F283">
        <v>0.100418410041841</v>
      </c>
      <c r="G283" t="s">
        <v>689</v>
      </c>
      <c r="H283">
        <v>2554</v>
      </c>
      <c r="I283">
        <v>1074</v>
      </c>
      <c r="J283">
        <f t="shared" si="4"/>
        <v>18.636291952707534</v>
      </c>
    </row>
    <row r="284" spans="1:10" x14ac:dyDescent="0.2">
      <c r="A284" t="s">
        <v>102</v>
      </c>
      <c r="B284" t="s">
        <v>688</v>
      </c>
      <c r="C284" s="17">
        <v>2.45644093955E-9</v>
      </c>
      <c r="D284">
        <v>0.34545500000000001</v>
      </c>
      <c r="E284" t="s">
        <v>610</v>
      </c>
      <c r="F284">
        <v>0.75</v>
      </c>
      <c r="G284" t="s">
        <v>691</v>
      </c>
      <c r="H284">
        <v>2554</v>
      </c>
      <c r="I284">
        <v>1779</v>
      </c>
      <c r="J284">
        <f t="shared" si="4"/>
        <v>8.6096936731883815</v>
      </c>
    </row>
    <row r="285" spans="1:10" x14ac:dyDescent="0.2">
      <c r="A285" t="s">
        <v>464</v>
      </c>
      <c r="B285" t="s">
        <v>688</v>
      </c>
      <c r="C285" s="17">
        <v>2.5131190313899999E-54</v>
      </c>
      <c r="D285">
        <v>0.64822100000000005</v>
      </c>
      <c r="E285" t="s">
        <v>610</v>
      </c>
      <c r="F285">
        <v>0.15062761506276201</v>
      </c>
      <c r="G285" t="s">
        <v>689</v>
      </c>
      <c r="H285">
        <v>2554</v>
      </c>
      <c r="I285">
        <v>283</v>
      </c>
      <c r="J285">
        <f t="shared" si="4"/>
        <v>53.599786940992942</v>
      </c>
    </row>
    <row r="286" spans="1:10" x14ac:dyDescent="0.2">
      <c r="A286" t="s">
        <v>447</v>
      </c>
      <c r="B286" t="s">
        <v>688</v>
      </c>
      <c r="C286" s="17">
        <v>5.7798610342300002E-10</v>
      </c>
      <c r="D286">
        <v>0.63725500000000002</v>
      </c>
      <c r="E286" t="s">
        <v>610</v>
      </c>
      <c r="F286">
        <v>0.68412822517591898</v>
      </c>
      <c r="G286" t="s">
        <v>690</v>
      </c>
      <c r="H286">
        <v>2554</v>
      </c>
      <c r="I286">
        <v>1620</v>
      </c>
      <c r="J286">
        <f t="shared" si="4"/>
        <v>9.238082603239091</v>
      </c>
    </row>
    <row r="287" spans="1:10" x14ac:dyDescent="0.2">
      <c r="A287" t="s">
        <v>489</v>
      </c>
      <c r="B287" t="s">
        <v>488</v>
      </c>
      <c r="C287" s="17">
        <v>5.6301048348300002E-5</v>
      </c>
      <c r="D287">
        <v>0.55871899999999997</v>
      </c>
      <c r="E287" t="s">
        <v>610</v>
      </c>
      <c r="F287">
        <v>0.76222826086956497</v>
      </c>
      <c r="G287" t="s">
        <v>692</v>
      </c>
      <c r="H287">
        <v>2693</v>
      </c>
      <c r="I287">
        <v>2271</v>
      </c>
      <c r="J287">
        <f t="shared" si="4"/>
        <v>4.249483518334392</v>
      </c>
    </row>
    <row r="288" spans="1:10" x14ac:dyDescent="0.2">
      <c r="A288" t="s">
        <v>439</v>
      </c>
      <c r="B288" t="s">
        <v>488</v>
      </c>
      <c r="C288" s="17">
        <v>4.0099585714400003E-55</v>
      </c>
      <c r="D288">
        <v>0.37837799999999999</v>
      </c>
      <c r="E288" t="s">
        <v>610</v>
      </c>
      <c r="F288">
        <v>0.21467391304347799</v>
      </c>
      <c r="G288" t="s">
        <v>692</v>
      </c>
      <c r="H288">
        <v>2693</v>
      </c>
      <c r="I288">
        <v>274</v>
      </c>
      <c r="J288">
        <f t="shared" si="4"/>
        <v>54.396860114234663</v>
      </c>
    </row>
    <row r="289" spans="1:10" x14ac:dyDescent="0.2">
      <c r="A289" t="s">
        <v>490</v>
      </c>
      <c r="B289" t="s">
        <v>488</v>
      </c>
      <c r="C289" s="17">
        <v>4.9538601193800002E-34</v>
      </c>
      <c r="D289">
        <v>0.731707</v>
      </c>
      <c r="E289" t="s">
        <v>610</v>
      </c>
      <c r="F289">
        <v>0.76222826086956497</v>
      </c>
      <c r="G289" t="s">
        <v>692</v>
      </c>
      <c r="H289">
        <v>2693</v>
      </c>
      <c r="I289">
        <v>632</v>
      </c>
      <c r="J289">
        <f t="shared" si="4"/>
        <v>33.305056260616361</v>
      </c>
    </row>
    <row r="290" spans="1:10" x14ac:dyDescent="0.2">
      <c r="A290" t="s">
        <v>491</v>
      </c>
      <c r="B290" t="s">
        <v>488</v>
      </c>
      <c r="C290" s="17">
        <v>6.0681316033099996E-6</v>
      </c>
      <c r="D290">
        <v>0.61264799999999997</v>
      </c>
      <c r="E290" t="s">
        <v>610</v>
      </c>
      <c r="F290">
        <v>0.76222826086956497</v>
      </c>
      <c r="G290" t="s">
        <v>692</v>
      </c>
      <c r="H290">
        <v>2693</v>
      </c>
      <c r="I290">
        <v>2160</v>
      </c>
      <c r="J290">
        <f t="shared" si="4"/>
        <v>5.2169450089710763</v>
      </c>
    </row>
    <row r="291" spans="1:10" x14ac:dyDescent="0.2">
      <c r="A291" t="s">
        <v>492</v>
      </c>
      <c r="B291" t="s">
        <v>488</v>
      </c>
      <c r="C291" s="17">
        <v>2.5402489245399998E-7</v>
      </c>
      <c r="D291">
        <v>0.57721500000000003</v>
      </c>
      <c r="E291" t="s">
        <v>610</v>
      </c>
      <c r="F291">
        <v>0.76222826086956497</v>
      </c>
      <c r="G291" t="s">
        <v>692</v>
      </c>
      <c r="H291">
        <v>2693</v>
      </c>
      <c r="I291">
        <v>1979</v>
      </c>
      <c r="J291">
        <f t="shared" si="4"/>
        <v>6.5951237238299987</v>
      </c>
    </row>
    <row r="292" spans="1:10" x14ac:dyDescent="0.2">
      <c r="A292" t="s">
        <v>72</v>
      </c>
      <c r="B292" t="s">
        <v>693</v>
      </c>
      <c r="C292" s="17">
        <v>6.5651707529499993E-5</v>
      </c>
      <c r="D292">
        <v>0.608491</v>
      </c>
      <c r="E292" t="s">
        <v>610</v>
      </c>
      <c r="F292">
        <v>0.39820742637644002</v>
      </c>
      <c r="G292" t="s">
        <v>694</v>
      </c>
      <c r="H292">
        <v>2902</v>
      </c>
      <c r="I292">
        <v>2281</v>
      </c>
      <c r="J292">
        <f t="shared" si="4"/>
        <v>4.1827539739005379</v>
      </c>
    </row>
    <row r="293" spans="1:10" x14ac:dyDescent="0.2">
      <c r="A293" t="s">
        <v>20</v>
      </c>
      <c r="B293" t="s">
        <v>693</v>
      </c>
      <c r="C293" s="17">
        <v>5.6520132376600002E-12</v>
      </c>
      <c r="D293">
        <v>0.739645</v>
      </c>
      <c r="E293" t="s">
        <v>610</v>
      </c>
      <c r="F293">
        <v>0.39782016348773802</v>
      </c>
      <c r="G293" t="s">
        <v>695</v>
      </c>
      <c r="H293">
        <v>2902</v>
      </c>
      <c r="I293">
        <v>1574</v>
      </c>
      <c r="J293">
        <f t="shared" si="4"/>
        <v>11.24779682965505</v>
      </c>
    </row>
    <row r="294" spans="1:10" x14ac:dyDescent="0.2">
      <c r="A294" t="s">
        <v>494</v>
      </c>
      <c r="B294" t="s">
        <v>693</v>
      </c>
      <c r="C294" s="17">
        <v>1.87845483612E-7</v>
      </c>
      <c r="D294">
        <v>0.64317199999999997</v>
      </c>
      <c r="E294" t="s">
        <v>610</v>
      </c>
      <c r="F294">
        <v>0.39782016348773802</v>
      </c>
      <c r="G294" t="s">
        <v>695</v>
      </c>
      <c r="H294">
        <v>2902</v>
      </c>
      <c r="I294">
        <v>1969</v>
      </c>
      <c r="J294">
        <f t="shared" si="4"/>
        <v>6.7261992422613153</v>
      </c>
    </row>
    <row r="295" spans="1:10" x14ac:dyDescent="0.2">
      <c r="A295" t="s">
        <v>451</v>
      </c>
      <c r="B295" t="s">
        <v>693</v>
      </c>
      <c r="C295" s="17">
        <v>3.0344270429700001E-9</v>
      </c>
      <c r="D295">
        <v>0.61783399999999999</v>
      </c>
      <c r="E295" t="s">
        <v>610</v>
      </c>
      <c r="F295">
        <v>0.39782016348773802</v>
      </c>
      <c r="G295" t="s">
        <v>695</v>
      </c>
      <c r="H295">
        <v>2902</v>
      </c>
      <c r="I295">
        <v>1785</v>
      </c>
      <c r="J295">
        <f t="shared" si="4"/>
        <v>8.5179232998332406</v>
      </c>
    </row>
    <row r="296" spans="1:10" x14ac:dyDescent="0.2">
      <c r="A296" t="s">
        <v>433</v>
      </c>
      <c r="B296" t="s">
        <v>693</v>
      </c>
      <c r="C296" s="17">
        <v>4.8464134771999997E-7</v>
      </c>
      <c r="D296">
        <v>0.73933599999999999</v>
      </c>
      <c r="E296" t="s">
        <v>610</v>
      </c>
      <c r="F296">
        <v>0.178617157490397</v>
      </c>
      <c r="G296" t="s">
        <v>694</v>
      </c>
      <c r="H296">
        <v>2902</v>
      </c>
      <c r="I296">
        <v>2007</v>
      </c>
      <c r="J296">
        <f t="shared" si="4"/>
        <v>6.3145795362971526</v>
      </c>
    </row>
    <row r="297" spans="1:10" x14ac:dyDescent="0.2">
      <c r="A297" t="s">
        <v>449</v>
      </c>
      <c r="B297" t="s">
        <v>693</v>
      </c>
      <c r="C297" s="17">
        <v>5.2061838929799998E-14</v>
      </c>
      <c r="D297">
        <v>0.69148900000000002</v>
      </c>
      <c r="E297" t="s">
        <v>610</v>
      </c>
      <c r="F297">
        <v>0.39782016348773802</v>
      </c>
      <c r="G297" t="s">
        <v>695</v>
      </c>
      <c r="H297">
        <v>2902</v>
      </c>
      <c r="I297">
        <v>1402</v>
      </c>
      <c r="J297">
        <f t="shared" si="4"/>
        <v>13.283480495793439</v>
      </c>
    </row>
    <row r="298" spans="1:10" x14ac:dyDescent="0.2">
      <c r="A298" t="s">
        <v>495</v>
      </c>
      <c r="B298" t="s">
        <v>693</v>
      </c>
      <c r="C298" s="17">
        <v>2.4827935209399998E-12</v>
      </c>
      <c r="D298">
        <v>0.623116</v>
      </c>
      <c r="E298" t="s">
        <v>610</v>
      </c>
      <c r="F298">
        <v>0.15258855585831099</v>
      </c>
      <c r="G298" t="s">
        <v>695</v>
      </c>
      <c r="H298">
        <v>2902</v>
      </c>
      <c r="I298">
        <v>1535</v>
      </c>
      <c r="J298">
        <f t="shared" si="4"/>
        <v>11.605059396613399</v>
      </c>
    </row>
    <row r="299" spans="1:10" x14ac:dyDescent="0.2">
      <c r="A299" t="s">
        <v>496</v>
      </c>
      <c r="B299" t="s">
        <v>693</v>
      </c>
      <c r="C299" s="17">
        <v>4.9613026649100001E-5</v>
      </c>
      <c r="D299">
        <v>0.58794000000000002</v>
      </c>
      <c r="E299" t="s">
        <v>610</v>
      </c>
      <c r="F299">
        <v>0.15258855585831099</v>
      </c>
      <c r="G299" t="s">
        <v>695</v>
      </c>
      <c r="H299">
        <v>2902</v>
      </c>
      <c r="I299">
        <v>2264</v>
      </c>
      <c r="J299">
        <f t="shared" si="4"/>
        <v>4.3044042779646681</v>
      </c>
    </row>
    <row r="300" spans="1:10" x14ac:dyDescent="0.2">
      <c r="A300" t="s">
        <v>497</v>
      </c>
      <c r="B300" t="s">
        <v>693</v>
      </c>
      <c r="C300" s="17">
        <v>1.1039534575399999E-7</v>
      </c>
      <c r="D300">
        <v>0.65771800000000002</v>
      </c>
      <c r="E300" t="s">
        <v>610</v>
      </c>
      <c r="F300">
        <v>0.39782016348773802</v>
      </c>
      <c r="G300" t="s">
        <v>695</v>
      </c>
      <c r="H300">
        <v>2902</v>
      </c>
      <c r="I300">
        <v>1950</v>
      </c>
      <c r="J300">
        <f t="shared" si="4"/>
        <v>6.9570492359905494</v>
      </c>
    </row>
    <row r="301" spans="1:10" x14ac:dyDescent="0.2">
      <c r="A301" t="s">
        <v>435</v>
      </c>
      <c r="B301" t="s">
        <v>693</v>
      </c>
      <c r="C301" s="17">
        <v>1.5332332434200001E-11</v>
      </c>
      <c r="D301">
        <v>0.46808499999999997</v>
      </c>
      <c r="E301" t="s">
        <v>610</v>
      </c>
      <c r="F301">
        <v>0.178617157490397</v>
      </c>
      <c r="G301" t="s">
        <v>694</v>
      </c>
      <c r="H301">
        <v>2902</v>
      </c>
      <c r="I301">
        <v>1609</v>
      </c>
      <c r="J301">
        <f t="shared" si="4"/>
        <v>10.814391772983203</v>
      </c>
    </row>
    <row r="302" spans="1:10" x14ac:dyDescent="0.2">
      <c r="A302" t="s">
        <v>498</v>
      </c>
      <c r="B302" t="s">
        <v>693</v>
      </c>
      <c r="C302" s="17">
        <v>1.07288670448E-6</v>
      </c>
      <c r="D302">
        <v>0.782609</v>
      </c>
      <c r="E302" t="s">
        <v>610</v>
      </c>
      <c r="F302">
        <v>0.39782016348773802</v>
      </c>
      <c r="G302" t="s">
        <v>695</v>
      </c>
      <c r="H302">
        <v>2902</v>
      </c>
      <c r="I302">
        <v>2048</v>
      </c>
      <c r="J302">
        <f t="shared" si="4"/>
        <v>5.9694461365773757</v>
      </c>
    </row>
    <row r="303" spans="1:10" x14ac:dyDescent="0.2">
      <c r="A303" t="s">
        <v>196</v>
      </c>
      <c r="B303" t="s">
        <v>693</v>
      </c>
      <c r="C303" s="17">
        <v>4.5697459791400001E-5</v>
      </c>
      <c r="D303">
        <v>0.66489399999999999</v>
      </c>
      <c r="E303" t="s">
        <v>610</v>
      </c>
      <c r="F303">
        <v>0.39782016348773802</v>
      </c>
      <c r="G303" t="s">
        <v>695</v>
      </c>
      <c r="H303">
        <v>2902</v>
      </c>
      <c r="I303">
        <v>2262</v>
      </c>
      <c r="J303">
        <f t="shared" si="4"/>
        <v>4.3401079406137235</v>
      </c>
    </row>
    <row r="304" spans="1:10" x14ac:dyDescent="0.2">
      <c r="A304" t="s">
        <v>477</v>
      </c>
      <c r="B304" t="s">
        <v>693</v>
      </c>
      <c r="C304" s="17">
        <v>1.0593862916E-14</v>
      </c>
      <c r="D304">
        <v>0.68131900000000001</v>
      </c>
      <c r="E304" t="s">
        <v>610</v>
      </c>
      <c r="F304">
        <v>0.39782016348773802</v>
      </c>
      <c r="G304" t="s">
        <v>695</v>
      </c>
      <c r="H304">
        <v>2902</v>
      </c>
      <c r="I304">
        <v>1360</v>
      </c>
      <c r="J304">
        <f t="shared" si="4"/>
        <v>13.974945651110628</v>
      </c>
    </row>
    <row r="305" spans="1:10" x14ac:dyDescent="0.2">
      <c r="A305" t="s">
        <v>453</v>
      </c>
      <c r="B305" t="s">
        <v>693</v>
      </c>
      <c r="C305" s="17">
        <v>4.0528096579000001E-5</v>
      </c>
      <c r="D305">
        <v>0.56435599999999997</v>
      </c>
      <c r="E305" t="s">
        <v>610</v>
      </c>
      <c r="F305">
        <v>0.39782016348773802</v>
      </c>
      <c r="G305" t="s">
        <v>695</v>
      </c>
      <c r="H305">
        <v>2902</v>
      </c>
      <c r="I305">
        <v>2253</v>
      </c>
      <c r="J305">
        <f t="shared" si="4"/>
        <v>4.3922437926226943</v>
      </c>
    </row>
    <row r="306" spans="1:10" x14ac:dyDescent="0.2">
      <c r="A306" t="s">
        <v>454</v>
      </c>
      <c r="B306" t="s">
        <v>693</v>
      </c>
      <c r="C306" s="17">
        <v>1.0548246387499999E-8</v>
      </c>
      <c r="D306">
        <v>0.55897399999999997</v>
      </c>
      <c r="E306" t="s">
        <v>610</v>
      </c>
      <c r="F306">
        <v>0.39782016348773802</v>
      </c>
      <c r="G306" t="s">
        <v>695</v>
      </c>
      <c r="H306">
        <v>2902</v>
      </c>
      <c r="I306">
        <v>1835</v>
      </c>
      <c r="J306">
        <f t="shared" si="4"/>
        <v>7.9768197344453524</v>
      </c>
    </row>
    <row r="307" spans="1:10" x14ac:dyDescent="0.2">
      <c r="A307" t="s">
        <v>590</v>
      </c>
      <c r="B307" t="s">
        <v>60</v>
      </c>
      <c r="C307" s="17">
        <v>2.7428670599099899E-16</v>
      </c>
      <c r="D307">
        <v>0.72222200000000003</v>
      </c>
      <c r="E307" t="s">
        <v>610</v>
      </c>
      <c r="F307">
        <v>0.77027027027026995</v>
      </c>
      <c r="G307" t="s">
        <v>696</v>
      </c>
      <c r="H307">
        <v>3269</v>
      </c>
      <c r="I307">
        <v>1266</v>
      </c>
      <c r="J307">
        <f t="shared" si="4"/>
        <v>15.561795241081812</v>
      </c>
    </row>
    <row r="308" spans="1:10" x14ac:dyDescent="0.2">
      <c r="A308" t="s">
        <v>451</v>
      </c>
      <c r="B308" t="s">
        <v>60</v>
      </c>
      <c r="C308" s="17">
        <v>1.01147568099E-9</v>
      </c>
      <c r="D308">
        <v>0.53921600000000003</v>
      </c>
      <c r="E308" t="s">
        <v>610</v>
      </c>
      <c r="F308">
        <v>1</v>
      </c>
      <c r="G308" t="s">
        <v>697</v>
      </c>
      <c r="H308">
        <v>3269</v>
      </c>
      <c r="I308">
        <v>1747</v>
      </c>
      <c r="J308">
        <f t="shared" si="4"/>
        <v>8.9950445545529032</v>
      </c>
    </row>
    <row r="309" spans="1:10" x14ac:dyDescent="0.2">
      <c r="A309" t="s">
        <v>57</v>
      </c>
      <c r="B309" t="s">
        <v>60</v>
      </c>
      <c r="C309" s="17">
        <v>4.3753259036100003E-5</v>
      </c>
      <c r="D309">
        <v>0.32926800000000001</v>
      </c>
      <c r="E309" t="s">
        <v>610</v>
      </c>
      <c r="F309">
        <v>0.18269230769230799</v>
      </c>
      <c r="G309" t="s">
        <v>698</v>
      </c>
      <c r="H309">
        <v>3269</v>
      </c>
      <c r="I309">
        <v>2259</v>
      </c>
      <c r="J309">
        <f t="shared" si="4"/>
        <v>4.358989592271846</v>
      </c>
    </row>
    <row r="310" spans="1:10" x14ac:dyDescent="0.2">
      <c r="A310" t="s">
        <v>460</v>
      </c>
      <c r="B310" t="s">
        <v>60</v>
      </c>
      <c r="C310" s="17">
        <v>8.8585329134099999E-5</v>
      </c>
      <c r="D310">
        <v>0.35714299999999999</v>
      </c>
      <c r="E310" t="s">
        <v>610</v>
      </c>
      <c r="F310">
        <v>0.135135135135135</v>
      </c>
      <c r="G310" t="s">
        <v>696</v>
      </c>
      <c r="H310">
        <v>3269</v>
      </c>
      <c r="I310">
        <v>2311</v>
      </c>
      <c r="J310">
        <f t="shared" si="4"/>
        <v>4.05263819689032</v>
      </c>
    </row>
    <row r="311" spans="1:10" x14ac:dyDescent="0.2">
      <c r="A311" t="s">
        <v>520</v>
      </c>
      <c r="B311" t="s">
        <v>60</v>
      </c>
      <c r="C311" s="17">
        <v>2.8439188841300001E-11</v>
      </c>
      <c r="D311">
        <v>0.63013699999999995</v>
      </c>
      <c r="E311" t="s">
        <v>610</v>
      </c>
      <c r="F311">
        <v>0.135135135135135</v>
      </c>
      <c r="G311" t="s">
        <v>696</v>
      </c>
      <c r="H311">
        <v>3269</v>
      </c>
      <c r="I311">
        <v>1632</v>
      </c>
      <c r="J311">
        <f t="shared" si="4"/>
        <v>10.546082794959545</v>
      </c>
    </row>
    <row r="312" spans="1:10" x14ac:dyDescent="0.2">
      <c r="A312" t="s">
        <v>499</v>
      </c>
      <c r="B312" t="s">
        <v>62</v>
      </c>
      <c r="C312" s="17">
        <v>7.1506843296399997E-11</v>
      </c>
      <c r="D312">
        <v>0.375</v>
      </c>
      <c r="E312" t="s">
        <v>610</v>
      </c>
      <c r="F312">
        <v>0.76249999999999996</v>
      </c>
      <c r="G312" t="s">
        <v>699</v>
      </c>
      <c r="H312">
        <v>3274</v>
      </c>
      <c r="I312">
        <v>1655</v>
      </c>
      <c r="J312">
        <f t="shared" si="4"/>
        <v>10.145652393672378</v>
      </c>
    </row>
    <row r="313" spans="1:10" x14ac:dyDescent="0.2">
      <c r="A313" t="s">
        <v>53</v>
      </c>
      <c r="B313" t="s">
        <v>62</v>
      </c>
      <c r="C313" s="17">
        <v>1.4449652585599999E-10</v>
      </c>
      <c r="D313">
        <v>0.40963899999999998</v>
      </c>
      <c r="E313" t="s">
        <v>610</v>
      </c>
      <c r="F313">
        <v>0.76249999999999996</v>
      </c>
      <c r="G313" t="s">
        <v>699</v>
      </c>
      <c r="H313">
        <v>3274</v>
      </c>
      <c r="I313">
        <v>1660</v>
      </c>
      <c r="J313">
        <f t="shared" si="4"/>
        <v>9.8401425945663021</v>
      </c>
    </row>
    <row r="314" spans="1:10" x14ac:dyDescent="0.2">
      <c r="A314" t="s">
        <v>507</v>
      </c>
      <c r="B314" t="s">
        <v>62</v>
      </c>
      <c r="C314" s="17">
        <v>5.2018749307999997E-9</v>
      </c>
      <c r="D314">
        <v>0.32727299999999998</v>
      </c>
      <c r="E314" t="s">
        <v>610</v>
      </c>
      <c r="F314">
        <v>0.5</v>
      </c>
      <c r="G314" t="s">
        <v>700</v>
      </c>
      <c r="H314">
        <v>3274</v>
      </c>
      <c r="I314">
        <v>1809</v>
      </c>
      <c r="J314">
        <f t="shared" si="4"/>
        <v>8.2838400938003502</v>
      </c>
    </row>
    <row r="315" spans="1:10" x14ac:dyDescent="0.2">
      <c r="A315" t="s">
        <v>473</v>
      </c>
      <c r="B315" t="s">
        <v>62</v>
      </c>
      <c r="C315" s="17">
        <v>5.96163766375E-6</v>
      </c>
      <c r="D315">
        <v>0.346939</v>
      </c>
      <c r="E315" t="s">
        <v>610</v>
      </c>
      <c r="F315">
        <v>1</v>
      </c>
      <c r="G315" t="s">
        <v>701</v>
      </c>
      <c r="H315">
        <v>3274</v>
      </c>
      <c r="I315">
        <v>2157</v>
      </c>
      <c r="J315">
        <f t="shared" si="4"/>
        <v>5.2246344230393662</v>
      </c>
    </row>
    <row r="316" spans="1:10" x14ac:dyDescent="0.2">
      <c r="A316" t="s">
        <v>500</v>
      </c>
      <c r="B316" t="s">
        <v>62</v>
      </c>
      <c r="C316" s="17">
        <v>6.9286084147799997E-7</v>
      </c>
      <c r="D316">
        <v>0.33333299999999999</v>
      </c>
      <c r="E316" t="s">
        <v>610</v>
      </c>
      <c r="F316">
        <v>0.2</v>
      </c>
      <c r="G316" t="s">
        <v>699</v>
      </c>
      <c r="H316">
        <v>3274</v>
      </c>
      <c r="I316">
        <v>2028</v>
      </c>
      <c r="J316">
        <f t="shared" si="4"/>
        <v>6.1593539830605728</v>
      </c>
    </row>
    <row r="317" spans="1:10" x14ac:dyDescent="0.2">
      <c r="A317" t="s">
        <v>33</v>
      </c>
      <c r="B317" t="s">
        <v>62</v>
      </c>
      <c r="C317" s="17">
        <v>9.5721831545099998E-33</v>
      </c>
      <c r="D317">
        <v>0.59195399999999998</v>
      </c>
      <c r="E317" t="s">
        <v>610</v>
      </c>
      <c r="F317">
        <v>0.76249999999999996</v>
      </c>
      <c r="G317" t="s">
        <v>699</v>
      </c>
      <c r="H317">
        <v>3274</v>
      </c>
      <c r="I317">
        <v>657</v>
      </c>
      <c r="J317">
        <f t="shared" si="4"/>
        <v>32.018989000172262</v>
      </c>
    </row>
    <row r="318" spans="1:10" x14ac:dyDescent="0.2">
      <c r="A318" t="s">
        <v>479</v>
      </c>
      <c r="B318" t="s">
        <v>63</v>
      </c>
      <c r="C318" s="17">
        <v>2.05507659105E-11</v>
      </c>
      <c r="D318">
        <v>0.77305000000000001</v>
      </c>
      <c r="E318" t="s">
        <v>610</v>
      </c>
      <c r="F318">
        <v>0.61272217025257203</v>
      </c>
      <c r="G318" t="s">
        <v>702</v>
      </c>
      <c r="H318">
        <v>11255</v>
      </c>
      <c r="I318">
        <v>1618</v>
      </c>
      <c r="J318">
        <f t="shared" si="4"/>
        <v>10.6871719876806</v>
      </c>
    </row>
    <row r="319" spans="1:10" x14ac:dyDescent="0.2">
      <c r="A319" t="s">
        <v>19</v>
      </c>
      <c r="B319" t="s">
        <v>63</v>
      </c>
      <c r="C319" s="17">
        <v>1.22340668582E-27</v>
      </c>
      <c r="D319">
        <v>0.625</v>
      </c>
      <c r="E319" t="s">
        <v>610</v>
      </c>
      <c r="F319">
        <v>0.61272217025257203</v>
      </c>
      <c r="G319" t="s">
        <v>702</v>
      </c>
      <c r="H319">
        <v>11255</v>
      </c>
      <c r="I319">
        <v>774</v>
      </c>
      <c r="J319">
        <f t="shared" si="4"/>
        <v>26.912429150447011</v>
      </c>
    </row>
    <row r="320" spans="1:10" x14ac:dyDescent="0.2">
      <c r="A320" t="s">
        <v>501</v>
      </c>
      <c r="B320" t="s">
        <v>63</v>
      </c>
      <c r="C320" s="17">
        <v>9.5945693168199993E-8</v>
      </c>
      <c r="D320">
        <v>0.60897400000000002</v>
      </c>
      <c r="E320" t="s">
        <v>610</v>
      </c>
      <c r="F320">
        <v>0.61272217025257203</v>
      </c>
      <c r="G320" t="s">
        <v>702</v>
      </c>
      <c r="H320">
        <v>11255</v>
      </c>
      <c r="I320">
        <v>1946</v>
      </c>
      <c r="J320">
        <f t="shared" si="4"/>
        <v>7.0179745151991177</v>
      </c>
    </row>
    <row r="321" spans="1:10" x14ac:dyDescent="0.2">
      <c r="A321" t="s">
        <v>53</v>
      </c>
      <c r="B321" t="s">
        <v>63</v>
      </c>
      <c r="C321" s="17">
        <v>6.68513390272E-17</v>
      </c>
      <c r="D321">
        <v>0.36666700000000002</v>
      </c>
      <c r="E321" t="s">
        <v>610</v>
      </c>
      <c r="F321">
        <v>0.61272217025257203</v>
      </c>
      <c r="G321" t="s">
        <v>702</v>
      </c>
      <c r="H321">
        <v>11255</v>
      </c>
      <c r="I321">
        <v>1229</v>
      </c>
      <c r="J321">
        <f t="shared" si="4"/>
        <v>16.174889889429672</v>
      </c>
    </row>
    <row r="322" spans="1:10" x14ac:dyDescent="0.2">
      <c r="A322" t="s">
        <v>480</v>
      </c>
      <c r="B322" t="s">
        <v>63</v>
      </c>
      <c r="C322" s="17">
        <v>2.5769977471000001E-14</v>
      </c>
      <c r="D322">
        <v>0.75362300000000004</v>
      </c>
      <c r="E322" t="s">
        <v>610</v>
      </c>
      <c r="F322">
        <v>0.61272217025257203</v>
      </c>
      <c r="G322" t="s">
        <v>702</v>
      </c>
      <c r="H322">
        <v>11255</v>
      </c>
      <c r="I322">
        <v>1382</v>
      </c>
      <c r="J322">
        <f t="shared" si="4"/>
        <v>13.588885961124092</v>
      </c>
    </row>
    <row r="323" spans="1:10" x14ac:dyDescent="0.2">
      <c r="A323" t="s">
        <v>591</v>
      </c>
      <c r="B323" t="s">
        <v>63</v>
      </c>
      <c r="C323" s="17">
        <v>1.8336609131099999E-7</v>
      </c>
      <c r="D323">
        <v>0.58715600000000001</v>
      </c>
      <c r="E323" t="s">
        <v>610</v>
      </c>
      <c r="F323">
        <v>0.87320574162679399</v>
      </c>
      <c r="G323" t="s">
        <v>703</v>
      </c>
      <c r="H323">
        <v>11255</v>
      </c>
      <c r="I323">
        <v>1967</v>
      </c>
      <c r="J323">
        <f t="shared" ref="J323:J386" si="5">-LOG10(C323)</f>
        <v>6.7366809724722225</v>
      </c>
    </row>
    <row r="324" spans="1:10" x14ac:dyDescent="0.2">
      <c r="A324" t="s">
        <v>502</v>
      </c>
      <c r="B324" t="s">
        <v>63</v>
      </c>
      <c r="C324" s="17">
        <v>3.20568912445E-20</v>
      </c>
      <c r="D324">
        <v>0.4</v>
      </c>
      <c r="E324" t="s">
        <v>610</v>
      </c>
      <c r="F324">
        <v>0.61272217025257203</v>
      </c>
      <c r="G324" t="s">
        <v>702</v>
      </c>
      <c r="H324">
        <v>11255</v>
      </c>
      <c r="I324">
        <v>1038</v>
      </c>
      <c r="J324">
        <f t="shared" si="5"/>
        <v>19.49407859616845</v>
      </c>
    </row>
    <row r="325" spans="1:10" x14ac:dyDescent="0.2">
      <c r="A325" t="s">
        <v>21</v>
      </c>
      <c r="B325" t="s">
        <v>704</v>
      </c>
      <c r="C325" s="17">
        <v>9.8376390487699896E-51</v>
      </c>
      <c r="D325">
        <v>0.72555199999999997</v>
      </c>
      <c r="E325" t="s">
        <v>610</v>
      </c>
      <c r="F325">
        <v>0.93380782918149496</v>
      </c>
      <c r="G325" t="s">
        <v>705</v>
      </c>
      <c r="H325">
        <v>3350</v>
      </c>
      <c r="I325">
        <v>313</v>
      </c>
      <c r="J325">
        <f t="shared" si="5"/>
        <v>50.007109116113263</v>
      </c>
    </row>
    <row r="326" spans="1:10" x14ac:dyDescent="0.2">
      <c r="A326" t="s">
        <v>65</v>
      </c>
      <c r="B326" t="s">
        <v>704</v>
      </c>
      <c r="C326" s="17">
        <v>5.0757012198299997E-20</v>
      </c>
      <c r="D326">
        <v>0.41935499999999998</v>
      </c>
      <c r="E326" t="s">
        <v>610</v>
      </c>
      <c r="F326">
        <v>0.94805653710247395</v>
      </c>
      <c r="G326" t="s">
        <v>706</v>
      </c>
      <c r="H326">
        <v>3350</v>
      </c>
      <c r="I326">
        <v>1048</v>
      </c>
      <c r="J326">
        <f t="shared" si="5"/>
        <v>19.294503950485559</v>
      </c>
    </row>
    <row r="327" spans="1:10" x14ac:dyDescent="0.2">
      <c r="A327" t="s">
        <v>451</v>
      </c>
      <c r="B327" t="s">
        <v>704</v>
      </c>
      <c r="C327" s="17">
        <v>5.5496907147500001E-26</v>
      </c>
      <c r="D327">
        <v>0.83593799999999996</v>
      </c>
      <c r="E327" t="s">
        <v>610</v>
      </c>
      <c r="F327">
        <v>0.94805653710247395</v>
      </c>
      <c r="G327" t="s">
        <v>706</v>
      </c>
      <c r="H327">
        <v>3350</v>
      </c>
      <c r="I327">
        <v>833</v>
      </c>
      <c r="J327">
        <f t="shared" si="5"/>
        <v>25.255731219511595</v>
      </c>
    </row>
    <row r="328" spans="1:10" x14ac:dyDescent="0.2">
      <c r="A328" t="s">
        <v>449</v>
      </c>
      <c r="B328" t="s">
        <v>704</v>
      </c>
      <c r="C328" s="17">
        <v>1.9762789841300001E-6</v>
      </c>
      <c r="D328">
        <v>0.43636399999999997</v>
      </c>
      <c r="E328" t="s">
        <v>610</v>
      </c>
      <c r="F328">
        <v>0.94805653710247395</v>
      </c>
      <c r="G328" t="s">
        <v>706</v>
      </c>
      <c r="H328">
        <v>3350</v>
      </c>
      <c r="I328">
        <v>2089</v>
      </c>
      <c r="J328">
        <f t="shared" si="5"/>
        <v>5.7041517476452297</v>
      </c>
    </row>
    <row r="329" spans="1:10" x14ac:dyDescent="0.2">
      <c r="A329" t="s">
        <v>24</v>
      </c>
      <c r="B329" t="s">
        <v>704</v>
      </c>
      <c r="C329" s="17">
        <v>4.3207830571900001E-50</v>
      </c>
      <c r="D329">
        <v>0.75265000000000004</v>
      </c>
      <c r="E329" t="s">
        <v>610</v>
      </c>
      <c r="F329">
        <v>0.93380782918149496</v>
      </c>
      <c r="G329" t="s">
        <v>705</v>
      </c>
      <c r="H329">
        <v>3350</v>
      </c>
      <c r="I329">
        <v>321</v>
      </c>
      <c r="J329">
        <f t="shared" si="5"/>
        <v>49.364437538694673</v>
      </c>
    </row>
    <row r="330" spans="1:10" x14ac:dyDescent="0.2">
      <c r="A330" t="s">
        <v>475</v>
      </c>
      <c r="B330" t="s">
        <v>704</v>
      </c>
      <c r="C330" s="17">
        <v>2.04728031093E-13</v>
      </c>
      <c r="D330">
        <v>0.645038</v>
      </c>
      <c r="E330" t="s">
        <v>610</v>
      </c>
      <c r="F330">
        <v>0.93380782918149496</v>
      </c>
      <c r="G330" t="s">
        <v>705</v>
      </c>
      <c r="H330">
        <v>3350</v>
      </c>
      <c r="I330">
        <v>1049</v>
      </c>
      <c r="J330">
        <f t="shared" si="5"/>
        <v>12.688822690236533</v>
      </c>
    </row>
    <row r="331" spans="1:10" x14ac:dyDescent="0.2">
      <c r="A331" t="s">
        <v>72</v>
      </c>
      <c r="B331" t="s">
        <v>707</v>
      </c>
      <c r="C331" s="17">
        <v>9.1032811289099996E-9</v>
      </c>
      <c r="D331">
        <v>0.63841800000000004</v>
      </c>
      <c r="E331" t="s">
        <v>610</v>
      </c>
      <c r="F331">
        <v>0.92395833333333299</v>
      </c>
      <c r="G331" t="s">
        <v>708</v>
      </c>
      <c r="H331">
        <v>3356</v>
      </c>
      <c r="I331">
        <v>1831</v>
      </c>
      <c r="J331">
        <f t="shared" si="5"/>
        <v>8.0408020451135798</v>
      </c>
    </row>
    <row r="332" spans="1:10" x14ac:dyDescent="0.2">
      <c r="A332" t="s">
        <v>116</v>
      </c>
      <c r="B332" t="s">
        <v>707</v>
      </c>
      <c r="C332" s="17">
        <v>2.6736848664699898E-15</v>
      </c>
      <c r="D332">
        <v>0.59074099999999996</v>
      </c>
      <c r="E332" t="s">
        <v>610</v>
      </c>
      <c r="F332">
        <v>0.98947368421052595</v>
      </c>
      <c r="G332" t="s">
        <v>709</v>
      </c>
      <c r="H332">
        <v>3356</v>
      </c>
      <c r="I332">
        <v>1322</v>
      </c>
      <c r="J332">
        <f t="shared" si="5"/>
        <v>14.57288978212204</v>
      </c>
    </row>
    <row r="333" spans="1:10" x14ac:dyDescent="0.2">
      <c r="A333" t="s">
        <v>478</v>
      </c>
      <c r="B333" t="s">
        <v>707</v>
      </c>
      <c r="C333" s="17">
        <v>4.62172137949E-6</v>
      </c>
      <c r="D333">
        <v>0.46875</v>
      </c>
      <c r="E333" t="s">
        <v>610</v>
      </c>
      <c r="F333">
        <v>0.89137380191693305</v>
      </c>
      <c r="G333" t="s">
        <v>710</v>
      </c>
      <c r="H333">
        <v>3356</v>
      </c>
      <c r="I333">
        <v>828</v>
      </c>
      <c r="J333">
        <f t="shared" si="5"/>
        <v>5.3351962395140511</v>
      </c>
    </row>
    <row r="334" spans="1:10" x14ac:dyDescent="0.2">
      <c r="A334" t="s">
        <v>504</v>
      </c>
      <c r="B334" t="s">
        <v>707</v>
      </c>
      <c r="C334" s="17">
        <v>3.40106069489E-16</v>
      </c>
      <c r="D334">
        <v>0.52083299999999999</v>
      </c>
      <c r="E334" t="s">
        <v>610</v>
      </c>
      <c r="F334">
        <v>0.89137380191693305</v>
      </c>
      <c r="G334" t="s">
        <v>710</v>
      </c>
      <c r="H334">
        <v>3356</v>
      </c>
      <c r="I334">
        <v>1052</v>
      </c>
      <c r="J334">
        <f t="shared" si="5"/>
        <v>15.468385617634874</v>
      </c>
    </row>
    <row r="335" spans="1:10" x14ac:dyDescent="0.2">
      <c r="A335" t="s">
        <v>452</v>
      </c>
      <c r="B335" t="s">
        <v>707</v>
      </c>
      <c r="C335" s="17">
        <v>1.12292952270999E-15</v>
      </c>
      <c r="D335">
        <v>0.640625</v>
      </c>
      <c r="E335" t="s">
        <v>610</v>
      </c>
      <c r="F335">
        <v>0.92395833333333299</v>
      </c>
      <c r="G335" t="s">
        <v>708</v>
      </c>
      <c r="H335">
        <v>3356</v>
      </c>
      <c r="I335">
        <v>1300</v>
      </c>
      <c r="J335">
        <f t="shared" si="5"/>
        <v>14.949647500068584</v>
      </c>
    </row>
    <row r="336" spans="1:10" x14ac:dyDescent="0.2">
      <c r="A336" t="s">
        <v>73</v>
      </c>
      <c r="B336" t="s">
        <v>707</v>
      </c>
      <c r="C336" s="17">
        <v>5.5769301133200001E-5</v>
      </c>
      <c r="D336">
        <v>0.65</v>
      </c>
      <c r="E336" t="s">
        <v>610</v>
      </c>
      <c r="F336">
        <v>0.89137380191693305</v>
      </c>
      <c r="G336" t="s">
        <v>710</v>
      </c>
      <c r="H336">
        <v>3356</v>
      </c>
      <c r="I336">
        <v>535</v>
      </c>
      <c r="J336">
        <f t="shared" si="5"/>
        <v>4.2536047977873803</v>
      </c>
    </row>
    <row r="337" spans="1:10" x14ac:dyDescent="0.2">
      <c r="A337" t="s">
        <v>519</v>
      </c>
      <c r="B337" t="s">
        <v>707</v>
      </c>
      <c r="C337" s="17">
        <v>4.1903992498099996E-9</v>
      </c>
      <c r="D337">
        <v>0.56074800000000002</v>
      </c>
      <c r="E337" t="s">
        <v>610</v>
      </c>
      <c r="F337">
        <v>0.98947368421052595</v>
      </c>
      <c r="G337" t="s">
        <v>709</v>
      </c>
      <c r="H337">
        <v>3356</v>
      </c>
      <c r="I337">
        <v>1796</v>
      </c>
      <c r="J337">
        <f t="shared" si="5"/>
        <v>8.3777445966687978</v>
      </c>
    </row>
    <row r="338" spans="1:10" x14ac:dyDescent="0.2">
      <c r="A338" t="s">
        <v>437</v>
      </c>
      <c r="B338" t="s">
        <v>707</v>
      </c>
      <c r="C338" s="17">
        <v>1.28254681501E-11</v>
      </c>
      <c r="D338">
        <v>0.68817200000000001</v>
      </c>
      <c r="E338" t="s">
        <v>610</v>
      </c>
      <c r="F338">
        <v>0.92395833333333299</v>
      </c>
      <c r="G338" t="s">
        <v>708</v>
      </c>
      <c r="H338">
        <v>3356</v>
      </c>
      <c r="I338">
        <v>1603</v>
      </c>
      <c r="J338">
        <f t="shared" si="5"/>
        <v>10.891926773483638</v>
      </c>
    </row>
    <row r="339" spans="1:10" x14ac:dyDescent="0.2">
      <c r="A339" t="s">
        <v>48</v>
      </c>
      <c r="B339" t="s">
        <v>707</v>
      </c>
      <c r="C339" s="17">
        <v>1.24946145907E-6</v>
      </c>
      <c r="D339">
        <v>0.64705900000000005</v>
      </c>
      <c r="E339" t="s">
        <v>610</v>
      </c>
      <c r="F339">
        <v>0.89137380191693305</v>
      </c>
      <c r="G339" t="s">
        <v>710</v>
      </c>
      <c r="H339">
        <v>3356</v>
      </c>
      <c r="I339">
        <v>744</v>
      </c>
      <c r="J339">
        <f t="shared" si="5"/>
        <v>5.9032771355930542</v>
      </c>
    </row>
    <row r="340" spans="1:10" x14ac:dyDescent="0.2">
      <c r="A340" t="s">
        <v>15</v>
      </c>
      <c r="B340" t="s">
        <v>707</v>
      </c>
      <c r="C340" s="17">
        <v>2.4495051063100002E-6</v>
      </c>
      <c r="D340">
        <v>0.55772600000000006</v>
      </c>
      <c r="E340" t="s">
        <v>610</v>
      </c>
      <c r="F340">
        <v>0.98947368421052595</v>
      </c>
      <c r="G340" t="s">
        <v>709</v>
      </c>
      <c r="H340">
        <v>3356</v>
      </c>
      <c r="I340">
        <v>2108</v>
      </c>
      <c r="J340">
        <f t="shared" si="5"/>
        <v>5.6109216508637259</v>
      </c>
    </row>
    <row r="341" spans="1:10" x14ac:dyDescent="0.2">
      <c r="A341" t="s">
        <v>16</v>
      </c>
      <c r="B341" t="s">
        <v>707</v>
      </c>
      <c r="C341" s="17">
        <v>3.2795219311900002E-12</v>
      </c>
      <c r="D341">
        <v>0.580762</v>
      </c>
      <c r="E341" t="s">
        <v>610</v>
      </c>
      <c r="F341">
        <v>0.98947368421052595</v>
      </c>
      <c r="G341" t="s">
        <v>709</v>
      </c>
      <c r="H341">
        <v>3356</v>
      </c>
      <c r="I341">
        <v>1546</v>
      </c>
      <c r="J341">
        <f t="shared" si="5"/>
        <v>11.484189460489054</v>
      </c>
    </row>
    <row r="342" spans="1:10" x14ac:dyDescent="0.2">
      <c r="A342" t="s">
        <v>427</v>
      </c>
      <c r="B342" t="s">
        <v>707</v>
      </c>
      <c r="C342" s="17">
        <v>4.4887953470099999E-14</v>
      </c>
      <c r="D342">
        <v>0.59574499999999997</v>
      </c>
      <c r="E342" t="s">
        <v>610</v>
      </c>
      <c r="F342">
        <v>0.92395833333333299</v>
      </c>
      <c r="G342" t="s">
        <v>708</v>
      </c>
      <c r="H342">
        <v>3356</v>
      </c>
      <c r="I342">
        <v>1396</v>
      </c>
      <c r="J342">
        <f t="shared" si="5"/>
        <v>13.347870194484809</v>
      </c>
    </row>
    <row r="343" spans="1:10" x14ac:dyDescent="0.2">
      <c r="A343" t="s">
        <v>505</v>
      </c>
      <c r="B343" t="s">
        <v>707</v>
      </c>
      <c r="C343" s="17">
        <v>1.25519797115E-5</v>
      </c>
      <c r="D343">
        <v>0.67547199999999996</v>
      </c>
      <c r="E343" t="s">
        <v>610</v>
      </c>
      <c r="F343">
        <v>0.89137380191693305</v>
      </c>
      <c r="G343" t="s">
        <v>710</v>
      </c>
      <c r="H343">
        <v>3356</v>
      </c>
      <c r="I343">
        <v>2195</v>
      </c>
      <c r="J343">
        <f t="shared" si="5"/>
        <v>4.9012877713961611</v>
      </c>
    </row>
    <row r="344" spans="1:10" x14ac:dyDescent="0.2">
      <c r="A344" t="s">
        <v>479</v>
      </c>
      <c r="B344" t="s">
        <v>711</v>
      </c>
      <c r="C344" s="17">
        <v>1.5347842990299999E-5</v>
      </c>
      <c r="D344">
        <v>0.65644199999999997</v>
      </c>
      <c r="E344" t="s">
        <v>610</v>
      </c>
      <c r="F344">
        <v>0.93777292576419202</v>
      </c>
      <c r="G344" t="s">
        <v>712</v>
      </c>
      <c r="H344">
        <v>3357</v>
      </c>
      <c r="I344">
        <v>2208</v>
      </c>
      <c r="J344">
        <f t="shared" si="5"/>
        <v>4.8139526523193759</v>
      </c>
    </row>
    <row r="345" spans="1:10" x14ac:dyDescent="0.2">
      <c r="A345" t="s">
        <v>111</v>
      </c>
      <c r="B345" t="s">
        <v>711</v>
      </c>
      <c r="C345" s="17">
        <v>4.4892152161600002E-18</v>
      </c>
      <c r="D345">
        <v>0.71794899999999995</v>
      </c>
      <c r="E345" t="s">
        <v>610</v>
      </c>
      <c r="F345">
        <v>0.91950464396284803</v>
      </c>
      <c r="G345" t="s">
        <v>713</v>
      </c>
      <c r="H345">
        <v>3357</v>
      </c>
      <c r="I345">
        <v>1148</v>
      </c>
      <c r="J345">
        <f t="shared" si="5"/>
        <v>17.347829573713913</v>
      </c>
    </row>
    <row r="346" spans="1:10" x14ac:dyDescent="0.2">
      <c r="A346" t="s">
        <v>116</v>
      </c>
      <c r="B346" t="s">
        <v>711</v>
      </c>
      <c r="C346" s="17">
        <v>2.6736848664699898E-15</v>
      </c>
      <c r="D346">
        <v>0.59074099999999996</v>
      </c>
      <c r="E346" t="s">
        <v>610</v>
      </c>
      <c r="F346">
        <v>0.98947368421052595</v>
      </c>
      <c r="G346" t="s">
        <v>714</v>
      </c>
      <c r="H346">
        <v>3357</v>
      </c>
      <c r="I346">
        <v>1323</v>
      </c>
      <c r="J346">
        <f t="shared" si="5"/>
        <v>14.57288978212204</v>
      </c>
    </row>
    <row r="347" spans="1:10" x14ac:dyDescent="0.2">
      <c r="A347" t="s">
        <v>478</v>
      </c>
      <c r="B347" t="s">
        <v>711</v>
      </c>
      <c r="C347" s="17">
        <v>4.9059187977599996E-24</v>
      </c>
      <c r="D347">
        <v>0.491228</v>
      </c>
      <c r="E347" t="s">
        <v>610</v>
      </c>
      <c r="F347">
        <v>0.93777292576419202</v>
      </c>
      <c r="G347" t="s">
        <v>712</v>
      </c>
      <c r="H347">
        <v>3357</v>
      </c>
      <c r="I347">
        <v>878</v>
      </c>
      <c r="J347">
        <f t="shared" si="5"/>
        <v>23.309279644465672</v>
      </c>
    </row>
    <row r="348" spans="1:10" x14ac:dyDescent="0.2">
      <c r="A348" t="s">
        <v>449</v>
      </c>
      <c r="B348" t="s">
        <v>711</v>
      </c>
      <c r="C348" s="17">
        <v>6.8223816974399999E-14</v>
      </c>
      <c r="D348">
        <v>0.51063800000000004</v>
      </c>
      <c r="E348" t="s">
        <v>610</v>
      </c>
      <c r="F348">
        <v>0.93777292576419202</v>
      </c>
      <c r="G348" t="s">
        <v>712</v>
      </c>
      <c r="H348">
        <v>3357</v>
      </c>
      <c r="I348">
        <v>269</v>
      </c>
      <c r="J348">
        <f t="shared" si="5"/>
        <v>13.166063986415773</v>
      </c>
    </row>
    <row r="349" spans="1:10" x14ac:dyDescent="0.2">
      <c r="A349" t="s">
        <v>426</v>
      </c>
      <c r="B349" t="s">
        <v>711</v>
      </c>
      <c r="C349" s="17">
        <v>1.1811320925799999E-15</v>
      </c>
      <c r="D349">
        <v>0.61745000000000005</v>
      </c>
      <c r="E349" t="s">
        <v>610</v>
      </c>
      <c r="F349">
        <v>0.93777292576419202</v>
      </c>
      <c r="G349" t="s">
        <v>712</v>
      </c>
      <c r="H349">
        <v>3357</v>
      </c>
      <c r="I349">
        <v>1301</v>
      </c>
      <c r="J349">
        <f t="shared" si="5"/>
        <v>14.92770153009975</v>
      </c>
    </row>
    <row r="350" spans="1:10" x14ac:dyDescent="0.2">
      <c r="A350" t="s">
        <v>504</v>
      </c>
      <c r="B350" t="s">
        <v>711</v>
      </c>
      <c r="C350" s="17">
        <v>1.4449652585599999E-10</v>
      </c>
      <c r="D350">
        <v>0.40740700000000002</v>
      </c>
      <c r="E350" t="s">
        <v>610</v>
      </c>
      <c r="F350">
        <v>0.91950464396284803</v>
      </c>
      <c r="G350" t="s">
        <v>713</v>
      </c>
      <c r="H350">
        <v>3357</v>
      </c>
      <c r="I350">
        <v>1053</v>
      </c>
      <c r="J350">
        <f t="shared" si="5"/>
        <v>9.8401425945663021</v>
      </c>
    </row>
    <row r="351" spans="1:10" x14ac:dyDescent="0.2">
      <c r="A351" t="s">
        <v>452</v>
      </c>
      <c r="B351" t="s">
        <v>711</v>
      </c>
      <c r="C351" s="17">
        <v>1.53831001426E-6</v>
      </c>
      <c r="D351">
        <v>0.6</v>
      </c>
      <c r="E351" t="s">
        <v>610</v>
      </c>
      <c r="F351">
        <v>0.93777292576419202</v>
      </c>
      <c r="G351" t="s">
        <v>712</v>
      </c>
      <c r="H351">
        <v>3357</v>
      </c>
      <c r="I351">
        <v>2080</v>
      </c>
      <c r="J351">
        <f t="shared" si="5"/>
        <v>5.812956132730406</v>
      </c>
    </row>
    <row r="352" spans="1:10" x14ac:dyDescent="0.2">
      <c r="A352" t="s">
        <v>13</v>
      </c>
      <c r="B352" t="s">
        <v>711</v>
      </c>
      <c r="C352" s="17">
        <v>3.0389220392300002E-17</v>
      </c>
      <c r="D352">
        <v>0.61658000000000002</v>
      </c>
      <c r="E352" t="s">
        <v>610</v>
      </c>
      <c r="F352">
        <v>0.98947368421052595</v>
      </c>
      <c r="G352" t="s">
        <v>714</v>
      </c>
      <c r="H352">
        <v>3357</v>
      </c>
      <c r="I352">
        <v>1205</v>
      </c>
      <c r="J352">
        <f t="shared" si="5"/>
        <v>16.517280441205514</v>
      </c>
    </row>
    <row r="353" spans="1:10" x14ac:dyDescent="0.2">
      <c r="A353" t="s">
        <v>480</v>
      </c>
      <c r="B353" t="s">
        <v>711</v>
      </c>
      <c r="C353" s="17">
        <v>5.2731117180500003E-6</v>
      </c>
      <c r="D353">
        <v>0.69032300000000002</v>
      </c>
      <c r="E353" t="s">
        <v>610</v>
      </c>
      <c r="F353">
        <v>0.93777292576419202</v>
      </c>
      <c r="G353" t="s">
        <v>712</v>
      </c>
      <c r="H353">
        <v>3357</v>
      </c>
      <c r="I353">
        <v>2149</v>
      </c>
      <c r="J353">
        <f t="shared" si="5"/>
        <v>5.2779330274512644</v>
      </c>
    </row>
    <row r="354" spans="1:10" x14ac:dyDescent="0.2">
      <c r="A354" t="s">
        <v>474</v>
      </c>
      <c r="B354" t="s">
        <v>711</v>
      </c>
      <c r="C354" s="17">
        <v>4.68493191772E-11</v>
      </c>
      <c r="D354">
        <v>0.491228</v>
      </c>
      <c r="E354" t="s">
        <v>610</v>
      </c>
      <c r="F354">
        <v>0.93777292576419202</v>
      </c>
      <c r="G354" t="s">
        <v>712</v>
      </c>
      <c r="H354">
        <v>3357</v>
      </c>
      <c r="I354">
        <v>1645</v>
      </c>
      <c r="J354">
        <f t="shared" si="5"/>
        <v>10.329296715976493</v>
      </c>
    </row>
    <row r="355" spans="1:10" x14ac:dyDescent="0.2">
      <c r="A355" t="s">
        <v>437</v>
      </c>
      <c r="B355" t="s">
        <v>711</v>
      </c>
      <c r="C355" s="17">
        <v>2.4674660244699999E-5</v>
      </c>
      <c r="D355">
        <v>0.58415799999999996</v>
      </c>
      <c r="E355" t="s">
        <v>610</v>
      </c>
      <c r="F355">
        <v>0.91950464396284803</v>
      </c>
      <c r="G355" t="s">
        <v>713</v>
      </c>
      <c r="H355">
        <v>3357</v>
      </c>
      <c r="I355">
        <v>2227</v>
      </c>
      <c r="J355">
        <f t="shared" si="5"/>
        <v>4.6077488185921798</v>
      </c>
    </row>
    <row r="356" spans="1:10" x14ac:dyDescent="0.2">
      <c r="A356" t="s">
        <v>48</v>
      </c>
      <c r="B356" t="s">
        <v>711</v>
      </c>
      <c r="C356" s="17">
        <v>4.2607906445900003E-17</v>
      </c>
      <c r="D356">
        <v>0.64347799999999999</v>
      </c>
      <c r="E356" t="s">
        <v>610</v>
      </c>
      <c r="F356">
        <v>0.93777292576419202</v>
      </c>
      <c r="G356" t="s">
        <v>712</v>
      </c>
      <c r="H356">
        <v>3357</v>
      </c>
      <c r="I356">
        <v>1217</v>
      </c>
      <c r="J356">
        <f t="shared" si="5"/>
        <v>16.370509804483664</v>
      </c>
    </row>
    <row r="357" spans="1:10" x14ac:dyDescent="0.2">
      <c r="A357" t="s">
        <v>15</v>
      </c>
      <c r="B357" t="s">
        <v>711</v>
      </c>
      <c r="C357" s="17">
        <v>2.4495051063100002E-6</v>
      </c>
      <c r="D357">
        <v>0.55772600000000006</v>
      </c>
      <c r="E357" t="s">
        <v>610</v>
      </c>
      <c r="F357">
        <v>0.98947368421052595</v>
      </c>
      <c r="G357" t="s">
        <v>714</v>
      </c>
      <c r="H357">
        <v>3357</v>
      </c>
      <c r="I357">
        <v>2109</v>
      </c>
      <c r="J357">
        <f t="shared" si="5"/>
        <v>5.6109216508637259</v>
      </c>
    </row>
    <row r="358" spans="1:10" x14ac:dyDescent="0.2">
      <c r="A358" t="s">
        <v>16</v>
      </c>
      <c r="B358" t="s">
        <v>711</v>
      </c>
      <c r="C358" s="17">
        <v>3.2795219311900002E-12</v>
      </c>
      <c r="D358">
        <v>0.580762</v>
      </c>
      <c r="E358" t="s">
        <v>610</v>
      </c>
      <c r="F358">
        <v>0.98947368421052595</v>
      </c>
      <c r="G358" t="s">
        <v>714</v>
      </c>
      <c r="H358">
        <v>3357</v>
      </c>
      <c r="I358">
        <v>1547</v>
      </c>
      <c r="J358">
        <f t="shared" si="5"/>
        <v>11.484189460489054</v>
      </c>
    </row>
    <row r="359" spans="1:10" x14ac:dyDescent="0.2">
      <c r="A359" t="s">
        <v>427</v>
      </c>
      <c r="B359" t="s">
        <v>711</v>
      </c>
      <c r="C359" s="17">
        <v>1.8986843497400001E-7</v>
      </c>
      <c r="D359">
        <v>0.58503400000000005</v>
      </c>
      <c r="E359" t="s">
        <v>610</v>
      </c>
      <c r="F359">
        <v>0.93777292576419202</v>
      </c>
      <c r="G359" t="s">
        <v>712</v>
      </c>
      <c r="H359">
        <v>3357</v>
      </c>
      <c r="I359">
        <v>1970</v>
      </c>
      <c r="J359">
        <f t="shared" si="5"/>
        <v>6.721547229344333</v>
      </c>
    </row>
    <row r="360" spans="1:10" x14ac:dyDescent="0.2">
      <c r="A360" t="s">
        <v>479</v>
      </c>
      <c r="B360" t="s">
        <v>715</v>
      </c>
      <c r="C360" s="17">
        <v>1.3865886621100001E-6</v>
      </c>
      <c r="D360">
        <v>0.65644199999999997</v>
      </c>
      <c r="E360" t="s">
        <v>610</v>
      </c>
      <c r="F360">
        <v>0.92068683565004095</v>
      </c>
      <c r="G360" t="s">
        <v>716</v>
      </c>
      <c r="H360">
        <v>3358</v>
      </c>
      <c r="I360">
        <v>2071</v>
      </c>
      <c r="J360">
        <f t="shared" si="5"/>
        <v>5.8580523552718171</v>
      </c>
    </row>
    <row r="361" spans="1:10" x14ac:dyDescent="0.2">
      <c r="A361" t="s">
        <v>72</v>
      </c>
      <c r="B361" t="s">
        <v>715</v>
      </c>
      <c r="C361" s="17">
        <v>1.3968003133199999E-13</v>
      </c>
      <c r="D361">
        <v>0.63841800000000004</v>
      </c>
      <c r="E361" t="s">
        <v>610</v>
      </c>
      <c r="F361">
        <v>0.92068683565004095</v>
      </c>
      <c r="G361" t="s">
        <v>716</v>
      </c>
      <c r="H361">
        <v>3358</v>
      </c>
      <c r="I361">
        <v>1433</v>
      </c>
      <c r="J361">
        <f t="shared" si="5"/>
        <v>12.854865676220742</v>
      </c>
    </row>
    <row r="362" spans="1:10" x14ac:dyDescent="0.2">
      <c r="A362" t="s">
        <v>111</v>
      </c>
      <c r="B362" t="s">
        <v>715</v>
      </c>
      <c r="C362" s="17">
        <v>8.6697915513399995E-10</v>
      </c>
      <c r="D362">
        <v>0.71794899999999995</v>
      </c>
      <c r="E362" t="s">
        <v>610</v>
      </c>
      <c r="F362">
        <v>0.88973384030418201</v>
      </c>
      <c r="G362" t="s">
        <v>717</v>
      </c>
      <c r="H362">
        <v>3358</v>
      </c>
      <c r="I362">
        <v>1741</v>
      </c>
      <c r="J362">
        <f t="shared" si="5"/>
        <v>9.0619913441836601</v>
      </c>
    </row>
    <row r="363" spans="1:10" x14ac:dyDescent="0.2">
      <c r="A363" t="s">
        <v>116</v>
      </c>
      <c r="B363" t="s">
        <v>715</v>
      </c>
      <c r="C363" s="17">
        <v>5.7681202286099998E-15</v>
      </c>
      <c r="D363">
        <v>0.59074099999999996</v>
      </c>
      <c r="E363" t="s">
        <v>610</v>
      </c>
      <c r="F363">
        <v>0.98958333333333304</v>
      </c>
      <c r="G363" t="s">
        <v>718</v>
      </c>
      <c r="H363">
        <v>3358</v>
      </c>
      <c r="I363">
        <v>1342</v>
      </c>
      <c r="J363">
        <f t="shared" si="5"/>
        <v>14.238965695917317</v>
      </c>
    </row>
    <row r="364" spans="1:10" x14ac:dyDescent="0.2">
      <c r="A364" t="s">
        <v>57</v>
      </c>
      <c r="B364" t="s">
        <v>715</v>
      </c>
      <c r="C364" s="17">
        <v>9.1293012139999994E-42</v>
      </c>
      <c r="D364">
        <v>0.46428599999999998</v>
      </c>
      <c r="E364" t="s">
        <v>610</v>
      </c>
      <c r="F364">
        <v>0.98958333333333304</v>
      </c>
      <c r="G364" t="s">
        <v>718</v>
      </c>
      <c r="H364">
        <v>3358</v>
      </c>
      <c r="I364">
        <v>431</v>
      </c>
      <c r="J364">
        <f t="shared" si="5"/>
        <v>41.039562463486313</v>
      </c>
    </row>
    <row r="365" spans="1:10" x14ac:dyDescent="0.2">
      <c r="A365" t="s">
        <v>478</v>
      </c>
      <c r="B365" t="s">
        <v>715</v>
      </c>
      <c r="C365" s="17">
        <v>2.9192760787400002E-16</v>
      </c>
      <c r="D365">
        <v>0.4375</v>
      </c>
      <c r="E365" t="s">
        <v>610</v>
      </c>
      <c r="F365">
        <v>0.98958333333333304</v>
      </c>
      <c r="G365" t="s">
        <v>718</v>
      </c>
      <c r="H365">
        <v>3358</v>
      </c>
      <c r="I365">
        <v>793</v>
      </c>
      <c r="J365">
        <f t="shared" si="5"/>
        <v>15.534724831423883</v>
      </c>
    </row>
    <row r="366" spans="1:10" x14ac:dyDescent="0.2">
      <c r="A366" t="s">
        <v>449</v>
      </c>
      <c r="B366" t="s">
        <v>715</v>
      </c>
      <c r="C366" s="17">
        <v>1.0149871873699999E-15</v>
      </c>
      <c r="D366">
        <v>0.51063800000000004</v>
      </c>
      <c r="E366" t="s">
        <v>610</v>
      </c>
      <c r="F366">
        <v>0.92068683565004095</v>
      </c>
      <c r="G366" t="s">
        <v>716</v>
      </c>
      <c r="H366">
        <v>3358</v>
      </c>
      <c r="I366">
        <v>281</v>
      </c>
      <c r="J366">
        <f t="shared" si="5"/>
        <v>14.993539440006559</v>
      </c>
    </row>
    <row r="367" spans="1:10" x14ac:dyDescent="0.2">
      <c r="A367" t="s">
        <v>68</v>
      </c>
      <c r="B367" t="s">
        <v>715</v>
      </c>
      <c r="C367" s="17">
        <v>5.7798610342300002E-10</v>
      </c>
      <c r="D367">
        <v>0.64646499999999996</v>
      </c>
      <c r="E367" t="s">
        <v>610</v>
      </c>
      <c r="F367">
        <v>0.92068683565004095</v>
      </c>
      <c r="G367" t="s">
        <v>716</v>
      </c>
      <c r="H367">
        <v>3358</v>
      </c>
      <c r="I367">
        <v>1728</v>
      </c>
      <c r="J367">
        <f t="shared" si="5"/>
        <v>9.238082603239091</v>
      </c>
    </row>
    <row r="368" spans="1:10" x14ac:dyDescent="0.2">
      <c r="A368" t="s">
        <v>426</v>
      </c>
      <c r="B368" t="s">
        <v>715</v>
      </c>
      <c r="C368" s="17">
        <v>6.4484983879499997E-28</v>
      </c>
      <c r="D368">
        <v>0.61745000000000005</v>
      </c>
      <c r="E368" t="s">
        <v>610</v>
      </c>
      <c r="F368">
        <v>0.92068683565004095</v>
      </c>
      <c r="G368" t="s">
        <v>716</v>
      </c>
      <c r="H368">
        <v>3358</v>
      </c>
      <c r="I368">
        <v>761</v>
      </c>
      <c r="J368">
        <f t="shared" si="5"/>
        <v>27.190541404395894</v>
      </c>
    </row>
    <row r="369" spans="1:10" x14ac:dyDescent="0.2">
      <c r="A369" t="s">
        <v>504</v>
      </c>
      <c r="B369" t="s">
        <v>715</v>
      </c>
      <c r="C369" s="17">
        <v>5.7798610342300002E-10</v>
      </c>
      <c r="D369">
        <v>0.47916700000000001</v>
      </c>
      <c r="E369" t="s">
        <v>610</v>
      </c>
      <c r="F369">
        <v>0.88973384030418201</v>
      </c>
      <c r="G369" t="s">
        <v>717</v>
      </c>
      <c r="H369">
        <v>3358</v>
      </c>
      <c r="I369">
        <v>1070</v>
      </c>
      <c r="J369">
        <f t="shared" si="5"/>
        <v>9.238082603239091</v>
      </c>
    </row>
    <row r="370" spans="1:10" x14ac:dyDescent="0.2">
      <c r="A370" t="s">
        <v>452</v>
      </c>
      <c r="B370" t="s">
        <v>715</v>
      </c>
      <c r="C370" s="17">
        <v>2.3118850631900001E-17</v>
      </c>
      <c r="D370">
        <v>0.640625</v>
      </c>
      <c r="E370" t="s">
        <v>610</v>
      </c>
      <c r="F370">
        <v>0.92068683565004095</v>
      </c>
      <c r="G370" t="s">
        <v>716</v>
      </c>
      <c r="H370">
        <v>3358</v>
      </c>
      <c r="I370">
        <v>1202</v>
      </c>
      <c r="J370">
        <f t="shared" si="5"/>
        <v>16.636033760936257</v>
      </c>
    </row>
    <row r="371" spans="1:10" x14ac:dyDescent="0.2">
      <c r="A371" t="s">
        <v>13</v>
      </c>
      <c r="B371" t="s">
        <v>715</v>
      </c>
      <c r="C371" s="17">
        <v>4.4215936911800001E-8</v>
      </c>
      <c r="D371">
        <v>0.58499999999999996</v>
      </c>
      <c r="E371" t="s">
        <v>610</v>
      </c>
      <c r="F371">
        <v>0.92068683565004095</v>
      </c>
      <c r="G371" t="s">
        <v>716</v>
      </c>
      <c r="H371">
        <v>3358</v>
      </c>
      <c r="I371">
        <v>1230</v>
      </c>
      <c r="J371">
        <f t="shared" si="5"/>
        <v>7.3544211680860574</v>
      </c>
    </row>
    <row r="372" spans="1:10" x14ac:dyDescent="0.2">
      <c r="A372" t="s">
        <v>73</v>
      </c>
      <c r="B372" t="s">
        <v>715</v>
      </c>
      <c r="C372" s="17">
        <v>6.4263614005200002E-40</v>
      </c>
      <c r="D372">
        <v>0.70491800000000004</v>
      </c>
      <c r="E372" t="s">
        <v>610</v>
      </c>
      <c r="F372">
        <v>0.92068683565004095</v>
      </c>
      <c r="G372" t="s">
        <v>716</v>
      </c>
      <c r="H372">
        <v>3358</v>
      </c>
      <c r="I372">
        <v>483</v>
      </c>
      <c r="J372">
        <f t="shared" si="5"/>
        <v>39.192034854595555</v>
      </c>
    </row>
    <row r="373" spans="1:10" x14ac:dyDescent="0.2">
      <c r="A373" t="s">
        <v>519</v>
      </c>
      <c r="B373" t="s">
        <v>715</v>
      </c>
      <c r="C373" s="17">
        <v>7.0803297669300003E-9</v>
      </c>
      <c r="D373">
        <v>0.56074800000000002</v>
      </c>
      <c r="E373" t="s">
        <v>610</v>
      </c>
      <c r="F373">
        <v>0.98958333333333304</v>
      </c>
      <c r="G373" t="s">
        <v>718</v>
      </c>
      <c r="H373">
        <v>3358</v>
      </c>
      <c r="I373">
        <v>1825</v>
      </c>
      <c r="J373">
        <f t="shared" si="5"/>
        <v>8.1499465145386463</v>
      </c>
    </row>
    <row r="374" spans="1:10" x14ac:dyDescent="0.2">
      <c r="A374" t="s">
        <v>480</v>
      </c>
      <c r="B374" t="s">
        <v>715</v>
      </c>
      <c r="C374" s="17">
        <v>7.3421574717799998E-6</v>
      </c>
      <c r="D374">
        <v>0.69032300000000002</v>
      </c>
      <c r="E374" t="s">
        <v>610</v>
      </c>
      <c r="F374">
        <v>0.92068683565004095</v>
      </c>
      <c r="G374" t="s">
        <v>716</v>
      </c>
      <c r="H374">
        <v>3358</v>
      </c>
      <c r="I374">
        <v>2169</v>
      </c>
      <c r="J374">
        <f t="shared" si="5"/>
        <v>5.1341763051505129</v>
      </c>
    </row>
    <row r="375" spans="1:10" x14ac:dyDescent="0.2">
      <c r="A375" t="s">
        <v>474</v>
      </c>
      <c r="B375" t="s">
        <v>715</v>
      </c>
      <c r="C375" s="17">
        <v>1.6328107421700002E-8</v>
      </c>
      <c r="D375">
        <v>0.491228</v>
      </c>
      <c r="E375" t="s">
        <v>610</v>
      </c>
      <c r="F375">
        <v>0.92068683565004095</v>
      </c>
      <c r="G375" t="s">
        <v>716</v>
      </c>
      <c r="H375">
        <v>3358</v>
      </c>
      <c r="I375">
        <v>1861</v>
      </c>
      <c r="J375">
        <f t="shared" si="5"/>
        <v>7.7870641510836274</v>
      </c>
    </row>
    <row r="376" spans="1:10" x14ac:dyDescent="0.2">
      <c r="A376" t="s">
        <v>437</v>
      </c>
      <c r="B376" t="s">
        <v>715</v>
      </c>
      <c r="C376" s="17">
        <v>7.8732382815099905E-14</v>
      </c>
      <c r="D376">
        <v>0.68817200000000001</v>
      </c>
      <c r="E376" t="s">
        <v>610</v>
      </c>
      <c r="F376">
        <v>0.92068683565004095</v>
      </c>
      <c r="G376" t="s">
        <v>716</v>
      </c>
      <c r="H376">
        <v>3358</v>
      </c>
      <c r="I376">
        <v>1413</v>
      </c>
      <c r="J376">
        <f t="shared" si="5"/>
        <v>13.103846604549476</v>
      </c>
    </row>
    <row r="377" spans="1:10" x14ac:dyDescent="0.2">
      <c r="A377" t="s">
        <v>48</v>
      </c>
      <c r="B377" t="s">
        <v>715</v>
      </c>
      <c r="C377" s="17">
        <v>1.22514864777999E-33</v>
      </c>
      <c r="D377">
        <v>0.64705900000000005</v>
      </c>
      <c r="E377" t="s">
        <v>610</v>
      </c>
      <c r="F377">
        <v>0.92068683565004095</v>
      </c>
      <c r="G377" t="s">
        <v>716</v>
      </c>
      <c r="H377">
        <v>3358</v>
      </c>
      <c r="I377">
        <v>637</v>
      </c>
      <c r="J377">
        <f t="shared" si="5"/>
        <v>32.911811214977753</v>
      </c>
    </row>
    <row r="378" spans="1:10" x14ac:dyDescent="0.2">
      <c r="A378" t="s">
        <v>69</v>
      </c>
      <c r="B378" t="s">
        <v>715</v>
      </c>
      <c r="C378" s="17">
        <v>5.7798610342300002E-10</v>
      </c>
      <c r="D378">
        <v>0.64646499999999996</v>
      </c>
      <c r="E378" t="s">
        <v>610</v>
      </c>
      <c r="F378">
        <v>0.92068683565004095</v>
      </c>
      <c r="G378" t="s">
        <v>716</v>
      </c>
      <c r="H378">
        <v>3358</v>
      </c>
      <c r="I378">
        <v>1732</v>
      </c>
      <c r="J378">
        <f t="shared" si="5"/>
        <v>9.238082603239091</v>
      </c>
    </row>
    <row r="379" spans="1:10" x14ac:dyDescent="0.2">
      <c r="A379" t="s">
        <v>15</v>
      </c>
      <c r="B379" t="s">
        <v>715</v>
      </c>
      <c r="C379" s="17">
        <v>3.81037338681E-6</v>
      </c>
      <c r="D379">
        <v>0.55772600000000006</v>
      </c>
      <c r="E379" t="s">
        <v>610</v>
      </c>
      <c r="F379">
        <v>0.98958333333333304</v>
      </c>
      <c r="G379" t="s">
        <v>718</v>
      </c>
      <c r="H379">
        <v>3358</v>
      </c>
      <c r="I379">
        <v>2131</v>
      </c>
      <c r="J379">
        <f t="shared" si="5"/>
        <v>5.4190324647743173</v>
      </c>
    </row>
    <row r="380" spans="1:10" x14ac:dyDescent="0.2">
      <c r="A380" t="s">
        <v>16</v>
      </c>
      <c r="B380" t="s">
        <v>715</v>
      </c>
      <c r="C380" s="17">
        <v>6.3208276199800001E-12</v>
      </c>
      <c r="D380">
        <v>0.580762</v>
      </c>
      <c r="E380" t="s">
        <v>610</v>
      </c>
      <c r="F380">
        <v>0.98958333333333304</v>
      </c>
      <c r="G380" t="s">
        <v>718</v>
      </c>
      <c r="H380">
        <v>3358</v>
      </c>
      <c r="I380">
        <v>1579</v>
      </c>
      <c r="J380">
        <f t="shared" si="5"/>
        <v>11.199226053480542</v>
      </c>
    </row>
    <row r="381" spans="1:10" x14ac:dyDescent="0.2">
      <c r="A381" t="s">
        <v>427</v>
      </c>
      <c r="B381" t="s">
        <v>715</v>
      </c>
      <c r="C381" s="17">
        <v>7.2430732983700003E-17</v>
      </c>
      <c r="D381">
        <v>0.59574499999999997</v>
      </c>
      <c r="E381" t="s">
        <v>610</v>
      </c>
      <c r="F381">
        <v>0.92068683565004095</v>
      </c>
      <c r="G381" t="s">
        <v>716</v>
      </c>
      <c r="H381">
        <v>3358</v>
      </c>
      <c r="I381">
        <v>1231</v>
      </c>
      <c r="J381">
        <f t="shared" si="5"/>
        <v>16.140077119808733</v>
      </c>
    </row>
    <row r="382" spans="1:10" x14ac:dyDescent="0.2">
      <c r="A382" t="s">
        <v>505</v>
      </c>
      <c r="B382" t="s">
        <v>715</v>
      </c>
      <c r="C382" s="17">
        <v>8.62644259358E-7</v>
      </c>
      <c r="D382">
        <v>0.62890599999999997</v>
      </c>
      <c r="E382" t="s">
        <v>610</v>
      </c>
      <c r="F382">
        <v>0.88973384030418201</v>
      </c>
      <c r="G382" t="s">
        <v>717</v>
      </c>
      <c r="H382">
        <v>3358</v>
      </c>
      <c r="I382">
        <v>2042</v>
      </c>
      <c r="J382">
        <f t="shared" si="5"/>
        <v>6.0641682634381011</v>
      </c>
    </row>
    <row r="383" spans="1:10" x14ac:dyDescent="0.2">
      <c r="A383" t="s">
        <v>428</v>
      </c>
      <c r="B383" t="s">
        <v>715</v>
      </c>
      <c r="C383" s="17">
        <v>3.9817462664800003E-6</v>
      </c>
      <c r="D383">
        <v>0.58620700000000003</v>
      </c>
      <c r="E383" t="s">
        <v>610</v>
      </c>
      <c r="F383">
        <v>0.92068683565004095</v>
      </c>
      <c r="G383" t="s">
        <v>716</v>
      </c>
      <c r="H383">
        <v>3358</v>
      </c>
      <c r="I383">
        <v>2133</v>
      </c>
      <c r="J383">
        <f t="shared" si="5"/>
        <v>5.3999264184870572</v>
      </c>
    </row>
    <row r="384" spans="1:10" x14ac:dyDescent="0.2">
      <c r="A384" t="s">
        <v>506</v>
      </c>
      <c r="B384" t="s">
        <v>719</v>
      </c>
      <c r="C384" s="17">
        <v>5.0796698070400002E-26</v>
      </c>
      <c r="D384">
        <v>0.5</v>
      </c>
      <c r="E384" t="s">
        <v>610</v>
      </c>
      <c r="F384">
        <v>0.84771573604060901</v>
      </c>
      <c r="G384" t="s">
        <v>720</v>
      </c>
      <c r="H384">
        <v>3359</v>
      </c>
      <c r="I384">
        <v>832</v>
      </c>
      <c r="J384">
        <f t="shared" si="5"/>
        <v>25.294164517172995</v>
      </c>
    </row>
    <row r="385" spans="1:10" x14ac:dyDescent="0.2">
      <c r="A385" t="s">
        <v>523</v>
      </c>
      <c r="B385" t="s">
        <v>719</v>
      </c>
      <c r="C385" s="17">
        <v>1.4449652585599999E-10</v>
      </c>
      <c r="D385">
        <v>0.56060600000000005</v>
      </c>
      <c r="E385" t="s">
        <v>610</v>
      </c>
      <c r="F385">
        <v>0.92514395393474103</v>
      </c>
      <c r="G385" t="s">
        <v>721</v>
      </c>
      <c r="H385">
        <v>3359</v>
      </c>
      <c r="I385">
        <v>1662</v>
      </c>
      <c r="J385">
        <f t="shared" si="5"/>
        <v>9.8401425945663021</v>
      </c>
    </row>
    <row r="386" spans="1:10" x14ac:dyDescent="0.2">
      <c r="A386" t="s">
        <v>489</v>
      </c>
      <c r="B386" t="s">
        <v>719</v>
      </c>
      <c r="C386" s="17">
        <v>1.46130501802E-13</v>
      </c>
      <c r="D386">
        <v>0.55369100000000004</v>
      </c>
      <c r="E386" t="s">
        <v>610</v>
      </c>
      <c r="F386">
        <v>1</v>
      </c>
      <c r="G386" t="s">
        <v>722</v>
      </c>
      <c r="H386">
        <v>3359</v>
      </c>
      <c r="I386">
        <v>571</v>
      </c>
      <c r="J386">
        <f t="shared" si="5"/>
        <v>12.835259124368902</v>
      </c>
    </row>
    <row r="387" spans="1:10" x14ac:dyDescent="0.2">
      <c r="A387" t="s">
        <v>507</v>
      </c>
      <c r="B387" t="s">
        <v>719</v>
      </c>
      <c r="C387" s="17">
        <v>2.0633118902099999E-12</v>
      </c>
      <c r="D387">
        <v>0.48571399999999998</v>
      </c>
      <c r="E387" t="s">
        <v>610</v>
      </c>
      <c r="F387">
        <v>0.84771573604060901</v>
      </c>
      <c r="G387" t="s">
        <v>720</v>
      </c>
      <c r="H387">
        <v>3359</v>
      </c>
      <c r="I387">
        <v>1528</v>
      </c>
      <c r="J387">
        <f t="shared" ref="J387:J450" si="6">-LOG10(C387)</f>
        <v>11.685435119114018</v>
      </c>
    </row>
    <row r="388" spans="1:10" x14ac:dyDescent="0.2">
      <c r="A388" t="s">
        <v>491</v>
      </c>
      <c r="B388" t="s">
        <v>719</v>
      </c>
      <c r="C388" s="17">
        <v>6.0006761935100003E-16</v>
      </c>
      <c r="D388">
        <v>0.63559299999999996</v>
      </c>
      <c r="E388" t="s">
        <v>610</v>
      </c>
      <c r="F388">
        <v>0.84771573604060901</v>
      </c>
      <c r="G388" t="s">
        <v>720</v>
      </c>
      <c r="H388">
        <v>3359</v>
      </c>
      <c r="I388">
        <v>304</v>
      </c>
      <c r="J388">
        <f t="shared" si="6"/>
        <v>15.221799807855797</v>
      </c>
    </row>
    <row r="389" spans="1:10" x14ac:dyDescent="0.2">
      <c r="A389" t="s">
        <v>508</v>
      </c>
      <c r="B389" t="s">
        <v>719</v>
      </c>
      <c r="C389" s="17">
        <v>1.7468299976E-16</v>
      </c>
      <c r="D389">
        <v>0.41176499999999999</v>
      </c>
      <c r="E389" t="s">
        <v>610</v>
      </c>
      <c r="F389">
        <v>0.84771573604060901</v>
      </c>
      <c r="G389" t="s">
        <v>720</v>
      </c>
      <c r="H389">
        <v>3359</v>
      </c>
      <c r="I389">
        <v>1257</v>
      </c>
      <c r="J389">
        <f t="shared" si="6"/>
        <v>15.757749358724427</v>
      </c>
    </row>
    <row r="390" spans="1:10" x14ac:dyDescent="0.2">
      <c r="A390" t="s">
        <v>17</v>
      </c>
      <c r="B390" t="s">
        <v>719</v>
      </c>
      <c r="C390" s="17">
        <v>7.2248262927799995E-10</v>
      </c>
      <c r="D390">
        <v>0.61224500000000004</v>
      </c>
      <c r="E390" t="s">
        <v>610</v>
      </c>
      <c r="F390">
        <v>0.92514395393474103</v>
      </c>
      <c r="G390" t="s">
        <v>721</v>
      </c>
      <c r="H390">
        <v>3359</v>
      </c>
      <c r="I390">
        <v>1739</v>
      </c>
      <c r="J390">
        <f t="shared" si="6"/>
        <v>9.141172590231486</v>
      </c>
    </row>
    <row r="391" spans="1:10" x14ac:dyDescent="0.2">
      <c r="A391" t="s">
        <v>456</v>
      </c>
      <c r="B391" t="s">
        <v>509</v>
      </c>
      <c r="C391" s="17">
        <v>5.49566774004E-30</v>
      </c>
      <c r="D391">
        <v>0.43037999999999998</v>
      </c>
      <c r="E391" t="s">
        <v>610</v>
      </c>
      <c r="F391">
        <v>0.164609053497942</v>
      </c>
      <c r="G391" t="s">
        <v>723</v>
      </c>
      <c r="H391">
        <v>4886</v>
      </c>
      <c r="I391">
        <v>721</v>
      </c>
      <c r="J391">
        <f t="shared" si="6"/>
        <v>29.259979531958173</v>
      </c>
    </row>
    <row r="392" spans="1:10" x14ac:dyDescent="0.2">
      <c r="A392" t="s">
        <v>10</v>
      </c>
      <c r="B392" t="s">
        <v>509</v>
      </c>
      <c r="C392" s="17">
        <v>7.6932923840299993E-18</v>
      </c>
      <c r="D392">
        <v>0.58974400000000005</v>
      </c>
      <c r="E392" t="s">
        <v>610</v>
      </c>
      <c r="F392">
        <v>0.50617283950617298</v>
      </c>
      <c r="G392" t="s">
        <v>723</v>
      </c>
      <c r="H392">
        <v>4886</v>
      </c>
      <c r="I392">
        <v>1165</v>
      </c>
      <c r="J392">
        <f t="shared" si="6"/>
        <v>17.113887761861246</v>
      </c>
    </row>
    <row r="393" spans="1:10" x14ac:dyDescent="0.2">
      <c r="A393" t="s">
        <v>505</v>
      </c>
      <c r="B393" t="s">
        <v>510</v>
      </c>
      <c r="C393" s="17">
        <v>2.02043738595999E-19</v>
      </c>
      <c r="D393">
        <v>0.53453499999999998</v>
      </c>
      <c r="E393" t="s">
        <v>610</v>
      </c>
      <c r="F393">
        <v>1</v>
      </c>
      <c r="G393" t="s">
        <v>724</v>
      </c>
      <c r="H393">
        <v>4887</v>
      </c>
      <c r="I393">
        <v>1073</v>
      </c>
      <c r="J393">
        <f t="shared" si="6"/>
        <v>18.694554603946113</v>
      </c>
    </row>
    <row r="394" spans="1:10" x14ac:dyDescent="0.2">
      <c r="A394" t="s">
        <v>37</v>
      </c>
      <c r="B394" t="s">
        <v>511</v>
      </c>
      <c r="C394" s="17">
        <v>1.5549993629999998E-5</v>
      </c>
      <c r="D394">
        <v>0.78294600000000003</v>
      </c>
      <c r="E394" t="s">
        <v>610</v>
      </c>
      <c r="F394">
        <v>0.38095238095238099</v>
      </c>
      <c r="G394" t="s">
        <v>725</v>
      </c>
      <c r="H394">
        <v>8856</v>
      </c>
      <c r="I394">
        <v>2209</v>
      </c>
      <c r="J394">
        <f t="shared" si="6"/>
        <v>4.8082697845443088</v>
      </c>
    </row>
    <row r="395" spans="1:10" x14ac:dyDescent="0.2">
      <c r="A395" t="s">
        <v>84</v>
      </c>
      <c r="B395" t="s">
        <v>511</v>
      </c>
      <c r="C395" s="17">
        <v>5.6070431892999998E-5</v>
      </c>
      <c r="D395">
        <v>0.75939900000000005</v>
      </c>
      <c r="E395" t="s">
        <v>610</v>
      </c>
      <c r="F395">
        <v>0.38095238095238099</v>
      </c>
      <c r="G395" t="s">
        <v>725</v>
      </c>
      <c r="H395">
        <v>8856</v>
      </c>
      <c r="I395">
        <v>2270</v>
      </c>
      <c r="J395">
        <f t="shared" si="6"/>
        <v>4.2512660986540602</v>
      </c>
    </row>
    <row r="396" spans="1:10" x14ac:dyDescent="0.2">
      <c r="A396" t="s">
        <v>102</v>
      </c>
      <c r="B396" t="s">
        <v>511</v>
      </c>
      <c r="C396" s="17">
        <v>5.7980675964900003E-6</v>
      </c>
      <c r="D396">
        <v>0.84166700000000005</v>
      </c>
      <c r="E396" t="s">
        <v>610</v>
      </c>
      <c r="F396">
        <v>0.38095238095238099</v>
      </c>
      <c r="G396" t="s">
        <v>725</v>
      </c>
      <c r="H396">
        <v>8856</v>
      </c>
      <c r="I396">
        <v>2155</v>
      </c>
      <c r="J396">
        <f t="shared" si="6"/>
        <v>5.2367167257503429</v>
      </c>
    </row>
    <row r="397" spans="1:10" x14ac:dyDescent="0.2">
      <c r="A397" t="s">
        <v>512</v>
      </c>
      <c r="B397" t="s">
        <v>726</v>
      </c>
      <c r="C397" s="17">
        <v>6.3784994432600002E-11</v>
      </c>
      <c r="D397">
        <v>0.64634100000000005</v>
      </c>
      <c r="E397" t="s">
        <v>610</v>
      </c>
      <c r="F397">
        <v>0.78366247755834795</v>
      </c>
      <c r="G397" t="s">
        <v>727</v>
      </c>
      <c r="H397">
        <v>2908</v>
      </c>
      <c r="I397">
        <v>1145</v>
      </c>
      <c r="J397">
        <f t="shared" si="6"/>
        <v>10.195281478043881</v>
      </c>
    </row>
    <row r="398" spans="1:10" x14ac:dyDescent="0.2">
      <c r="A398" t="s">
        <v>515</v>
      </c>
      <c r="B398" t="s">
        <v>728</v>
      </c>
      <c r="C398" s="17">
        <v>5.6600888625799997E-95</v>
      </c>
      <c r="D398">
        <v>0.66666700000000001</v>
      </c>
      <c r="E398" t="s">
        <v>610</v>
      </c>
      <c r="F398">
        <v>0.80952380952380998</v>
      </c>
      <c r="G398" t="s">
        <v>729</v>
      </c>
      <c r="H398">
        <v>4923</v>
      </c>
      <c r="I398">
        <v>97</v>
      </c>
      <c r="J398">
        <f t="shared" si="6"/>
        <v>94.247176750397387</v>
      </c>
    </row>
    <row r="399" spans="1:10" x14ac:dyDescent="0.2">
      <c r="A399" t="s">
        <v>593</v>
      </c>
      <c r="B399" t="s">
        <v>728</v>
      </c>
      <c r="C399" s="17">
        <v>2.17473972937E-18</v>
      </c>
      <c r="D399">
        <v>0.39682499999999998</v>
      </c>
      <c r="E399" t="s">
        <v>610</v>
      </c>
      <c r="F399">
        <v>0.53846153846153799</v>
      </c>
      <c r="G399" t="s">
        <v>730</v>
      </c>
      <c r="H399">
        <v>4923</v>
      </c>
      <c r="I399">
        <v>1122</v>
      </c>
      <c r="J399">
        <f t="shared" si="6"/>
        <v>17.66259271151948</v>
      </c>
    </row>
    <row r="400" spans="1:10" x14ac:dyDescent="0.2">
      <c r="A400" t="s">
        <v>517</v>
      </c>
      <c r="B400" t="s">
        <v>728</v>
      </c>
      <c r="C400" s="17">
        <v>3.1303205225699998E-105</v>
      </c>
      <c r="D400">
        <v>0.74180299999999999</v>
      </c>
      <c r="E400" t="s">
        <v>610</v>
      </c>
      <c r="F400">
        <v>0.80952380952380998</v>
      </c>
      <c r="G400" t="s">
        <v>729</v>
      </c>
      <c r="H400">
        <v>4923</v>
      </c>
      <c r="I400">
        <v>67</v>
      </c>
      <c r="J400">
        <f t="shared" si="6"/>
        <v>104.50441119150894</v>
      </c>
    </row>
    <row r="401" spans="1:10" x14ac:dyDescent="0.2">
      <c r="A401" t="s">
        <v>594</v>
      </c>
      <c r="B401" t="s">
        <v>728</v>
      </c>
      <c r="C401" s="17">
        <v>2.0229513619800001E-9</v>
      </c>
      <c r="D401">
        <v>0.33333299999999999</v>
      </c>
      <c r="E401" t="s">
        <v>610</v>
      </c>
      <c r="F401">
        <v>0.53846153846153799</v>
      </c>
      <c r="G401" t="s">
        <v>730</v>
      </c>
      <c r="H401">
        <v>4923</v>
      </c>
      <c r="I401">
        <v>1770</v>
      </c>
      <c r="J401">
        <f t="shared" si="6"/>
        <v>8.6940145588889219</v>
      </c>
    </row>
    <row r="402" spans="1:10" x14ac:dyDescent="0.2">
      <c r="A402" t="s">
        <v>536</v>
      </c>
      <c r="B402" t="s">
        <v>728</v>
      </c>
      <c r="C402" s="17">
        <v>2.2319840087500002E-87</v>
      </c>
      <c r="D402">
        <v>0.65993299999999999</v>
      </c>
      <c r="E402" t="s">
        <v>610</v>
      </c>
      <c r="F402">
        <v>0.80952380952380998</v>
      </c>
      <c r="G402" t="s">
        <v>729</v>
      </c>
      <c r="H402">
        <v>4923</v>
      </c>
      <c r="I402">
        <v>129</v>
      </c>
      <c r="J402">
        <f t="shared" si="6"/>
        <v>86.651308921265155</v>
      </c>
    </row>
    <row r="403" spans="1:10" x14ac:dyDescent="0.2">
      <c r="A403" t="s">
        <v>468</v>
      </c>
      <c r="B403" t="s">
        <v>728</v>
      </c>
      <c r="C403" s="17">
        <v>1.8784548361200001E-9</v>
      </c>
      <c r="D403">
        <v>0.53317499999999995</v>
      </c>
      <c r="E403" t="s">
        <v>610</v>
      </c>
      <c r="F403">
        <v>0.19047619047618999</v>
      </c>
      <c r="G403" t="s">
        <v>729</v>
      </c>
      <c r="H403">
        <v>4923</v>
      </c>
      <c r="I403">
        <v>1734</v>
      </c>
      <c r="J403">
        <f t="shared" si="6"/>
        <v>8.7261992422613144</v>
      </c>
    </row>
    <row r="404" spans="1:10" x14ac:dyDescent="0.2">
      <c r="A404" t="s">
        <v>479</v>
      </c>
      <c r="B404" t="s">
        <v>731</v>
      </c>
      <c r="C404" s="17">
        <v>6.2067037716099997E-6</v>
      </c>
      <c r="D404">
        <v>0.54802300000000004</v>
      </c>
      <c r="E404" t="s">
        <v>610</v>
      </c>
      <c r="F404">
        <v>0.67307692307692302</v>
      </c>
      <c r="G404" t="s">
        <v>732</v>
      </c>
      <c r="H404">
        <v>4985</v>
      </c>
      <c r="I404">
        <v>2162</v>
      </c>
      <c r="J404">
        <f t="shared" si="6"/>
        <v>5.2071389817654277</v>
      </c>
    </row>
    <row r="405" spans="1:10" x14ac:dyDescent="0.2">
      <c r="A405" t="s">
        <v>19</v>
      </c>
      <c r="B405" t="s">
        <v>731</v>
      </c>
      <c r="C405" s="17">
        <v>1.96515275164E-8</v>
      </c>
      <c r="D405">
        <v>0.69895300000000005</v>
      </c>
      <c r="E405" t="s">
        <v>610</v>
      </c>
      <c r="F405">
        <v>0.75596529284164904</v>
      </c>
      <c r="G405" t="s">
        <v>733</v>
      </c>
      <c r="H405">
        <v>4985</v>
      </c>
      <c r="I405">
        <v>1740</v>
      </c>
      <c r="J405">
        <f t="shared" si="6"/>
        <v>7.7066036861964378</v>
      </c>
    </row>
    <row r="406" spans="1:10" x14ac:dyDescent="0.2">
      <c r="A406" t="s">
        <v>20</v>
      </c>
      <c r="B406" t="s">
        <v>731</v>
      </c>
      <c r="C406" s="17">
        <v>1.1536659003699999E-18</v>
      </c>
      <c r="D406">
        <v>0.64804499999999998</v>
      </c>
      <c r="E406" t="s">
        <v>610</v>
      </c>
      <c r="F406">
        <v>0.75596529284164904</v>
      </c>
      <c r="G406" t="s">
        <v>733</v>
      </c>
      <c r="H406">
        <v>4985</v>
      </c>
      <c r="I406">
        <v>270</v>
      </c>
      <c r="J406">
        <f t="shared" si="6"/>
        <v>17.937919943895796</v>
      </c>
    </row>
    <row r="407" spans="1:10" x14ac:dyDescent="0.2">
      <c r="A407" t="s">
        <v>430</v>
      </c>
      <c r="B407" t="s">
        <v>731</v>
      </c>
      <c r="C407" s="17">
        <v>1.5289131554099999E-11</v>
      </c>
      <c r="D407">
        <v>0.61038999999999999</v>
      </c>
      <c r="E407" t="s">
        <v>610</v>
      </c>
      <c r="F407">
        <v>0.19631901840490801</v>
      </c>
      <c r="G407" t="s">
        <v>734</v>
      </c>
      <c r="H407">
        <v>4985</v>
      </c>
      <c r="I407">
        <v>1540</v>
      </c>
      <c r="J407">
        <f t="shared" si="6"/>
        <v>10.815617182473465</v>
      </c>
    </row>
    <row r="408" spans="1:10" x14ac:dyDescent="0.2">
      <c r="A408" t="s">
        <v>513</v>
      </c>
      <c r="B408" t="s">
        <v>731</v>
      </c>
      <c r="C408" s="17">
        <v>2.9718600472700001E-6</v>
      </c>
      <c r="D408">
        <v>0.68817200000000001</v>
      </c>
      <c r="E408" t="s">
        <v>610</v>
      </c>
      <c r="F408">
        <v>0.100325379609544</v>
      </c>
      <c r="G408" t="s">
        <v>733</v>
      </c>
      <c r="H408">
        <v>4985</v>
      </c>
      <c r="I408">
        <v>2119</v>
      </c>
      <c r="J408">
        <f t="shared" si="6"/>
        <v>5.5269716465028171</v>
      </c>
    </row>
    <row r="409" spans="1:10" x14ac:dyDescent="0.2">
      <c r="A409" t="s">
        <v>514</v>
      </c>
      <c r="B409" t="s">
        <v>731</v>
      </c>
      <c r="C409" s="17">
        <v>4.61101389065E-11</v>
      </c>
      <c r="D409">
        <v>0.72455099999999995</v>
      </c>
      <c r="E409" t="s">
        <v>610</v>
      </c>
      <c r="F409">
        <v>0.75596529284164904</v>
      </c>
      <c r="G409" t="s">
        <v>733</v>
      </c>
      <c r="H409">
        <v>4985</v>
      </c>
      <c r="I409">
        <v>1644</v>
      </c>
      <c r="J409">
        <f t="shared" si="6"/>
        <v>10.336203569469259</v>
      </c>
    </row>
    <row r="410" spans="1:10" x14ac:dyDescent="0.2">
      <c r="A410" t="s">
        <v>451</v>
      </c>
      <c r="B410" t="s">
        <v>731</v>
      </c>
      <c r="C410" s="17">
        <v>2.9380922043700001E-22</v>
      </c>
      <c r="D410">
        <v>0.67682900000000001</v>
      </c>
      <c r="E410" t="s">
        <v>610</v>
      </c>
      <c r="F410">
        <v>0.75596529284164904</v>
      </c>
      <c r="G410" t="s">
        <v>733</v>
      </c>
      <c r="H410">
        <v>4985</v>
      </c>
      <c r="I410">
        <v>303</v>
      </c>
      <c r="J410">
        <f t="shared" si="6"/>
        <v>21.531934579130937</v>
      </c>
    </row>
    <row r="411" spans="1:10" x14ac:dyDescent="0.2">
      <c r="A411" t="s">
        <v>449</v>
      </c>
      <c r="B411" t="s">
        <v>731</v>
      </c>
      <c r="C411" s="17">
        <v>2.6340184248900001E-23</v>
      </c>
      <c r="D411">
        <v>0.66019399999999995</v>
      </c>
      <c r="E411" t="s">
        <v>610</v>
      </c>
      <c r="F411">
        <v>0.75596529284164904</v>
      </c>
      <c r="G411" t="s">
        <v>733</v>
      </c>
      <c r="H411">
        <v>4985</v>
      </c>
      <c r="I411">
        <v>902</v>
      </c>
      <c r="J411">
        <f t="shared" si="6"/>
        <v>22.579381191485066</v>
      </c>
    </row>
    <row r="412" spans="1:10" x14ac:dyDescent="0.2">
      <c r="A412" t="s">
        <v>515</v>
      </c>
      <c r="B412" t="s">
        <v>731</v>
      </c>
      <c r="C412" s="17">
        <v>4.1384382991200002E-5</v>
      </c>
      <c r="D412">
        <v>0.67547199999999996</v>
      </c>
      <c r="E412" t="s">
        <v>610</v>
      </c>
      <c r="F412">
        <v>0.100325379609544</v>
      </c>
      <c r="G412" t="s">
        <v>733</v>
      </c>
      <c r="H412">
        <v>4985</v>
      </c>
      <c r="I412">
        <v>639</v>
      </c>
      <c r="J412">
        <f t="shared" si="6"/>
        <v>4.3831635154080999</v>
      </c>
    </row>
    <row r="413" spans="1:10" x14ac:dyDescent="0.2">
      <c r="A413" t="s">
        <v>426</v>
      </c>
      <c r="B413" t="s">
        <v>731</v>
      </c>
      <c r="C413" s="17">
        <v>2.4266746552199999E-6</v>
      </c>
      <c r="D413">
        <v>0.57317099999999999</v>
      </c>
      <c r="E413" t="s">
        <v>610</v>
      </c>
      <c r="F413">
        <v>0.67307692307692302</v>
      </c>
      <c r="G413" t="s">
        <v>732</v>
      </c>
      <c r="H413">
        <v>4985</v>
      </c>
      <c r="I413">
        <v>2106</v>
      </c>
      <c r="J413">
        <f t="shared" si="6"/>
        <v>5.6149884457175094</v>
      </c>
    </row>
    <row r="414" spans="1:10" x14ac:dyDescent="0.2">
      <c r="A414" t="s">
        <v>495</v>
      </c>
      <c r="B414" t="s">
        <v>731</v>
      </c>
      <c r="C414" s="17">
        <v>7.2419635807500005E-5</v>
      </c>
      <c r="D414">
        <v>0.64921499999999999</v>
      </c>
      <c r="E414" t="s">
        <v>610</v>
      </c>
      <c r="F414">
        <v>0.19631901840490801</v>
      </c>
      <c r="G414" t="s">
        <v>734</v>
      </c>
      <c r="H414">
        <v>4985</v>
      </c>
      <c r="I414">
        <v>2295</v>
      </c>
      <c r="J414">
        <f t="shared" si="6"/>
        <v>4.1401436635453921</v>
      </c>
    </row>
    <row r="415" spans="1:10" x14ac:dyDescent="0.2">
      <c r="A415" t="s">
        <v>496</v>
      </c>
      <c r="B415" t="s">
        <v>731</v>
      </c>
      <c r="C415" s="17">
        <v>3.3924656065699998E-12</v>
      </c>
      <c r="D415">
        <v>0.60514999999999997</v>
      </c>
      <c r="E415" t="s">
        <v>610</v>
      </c>
      <c r="F415">
        <v>0.100325379609544</v>
      </c>
      <c r="G415" t="s">
        <v>733</v>
      </c>
      <c r="H415">
        <v>4985</v>
      </c>
      <c r="I415">
        <v>1060</v>
      </c>
      <c r="J415">
        <f t="shared" si="6"/>
        <v>11.469484546601926</v>
      </c>
    </row>
    <row r="416" spans="1:10" x14ac:dyDescent="0.2">
      <c r="A416" t="s">
        <v>516</v>
      </c>
      <c r="B416" t="s">
        <v>731</v>
      </c>
      <c r="C416" s="17">
        <v>5.0819428143399995E-7</v>
      </c>
      <c r="D416">
        <v>0.70224699999999995</v>
      </c>
      <c r="E416" t="s">
        <v>610</v>
      </c>
      <c r="F416">
        <v>0.75596529284164904</v>
      </c>
      <c r="G416" t="s">
        <v>733</v>
      </c>
      <c r="H416">
        <v>4985</v>
      </c>
      <c r="I416">
        <v>2009</v>
      </c>
      <c r="J416">
        <f t="shared" si="6"/>
        <v>6.2939702262506856</v>
      </c>
    </row>
    <row r="417" spans="1:10" x14ac:dyDescent="0.2">
      <c r="A417" t="s">
        <v>44</v>
      </c>
      <c r="B417" t="s">
        <v>731</v>
      </c>
      <c r="C417" s="17">
        <v>1.3721195866399999E-13</v>
      </c>
      <c r="D417">
        <v>0.782609</v>
      </c>
      <c r="E417" t="s">
        <v>610</v>
      </c>
      <c r="F417">
        <v>0.72776073619631898</v>
      </c>
      <c r="G417" t="s">
        <v>734</v>
      </c>
      <c r="H417">
        <v>4985</v>
      </c>
      <c r="I417">
        <v>1430</v>
      </c>
      <c r="J417">
        <f t="shared" si="6"/>
        <v>12.862608036184245</v>
      </c>
    </row>
    <row r="418" spans="1:10" x14ac:dyDescent="0.2">
      <c r="A418" t="s">
        <v>435</v>
      </c>
      <c r="B418" t="s">
        <v>731</v>
      </c>
      <c r="C418" s="17">
        <v>1.7181873464099999E-22</v>
      </c>
      <c r="D418">
        <v>0.67142900000000005</v>
      </c>
      <c r="E418" t="s">
        <v>610</v>
      </c>
      <c r="F418">
        <v>0.19631901840490801</v>
      </c>
      <c r="G418" t="s">
        <v>734</v>
      </c>
      <c r="H418">
        <v>4985</v>
      </c>
      <c r="I418">
        <v>933</v>
      </c>
      <c r="J418">
        <f t="shared" si="6"/>
        <v>21.764929483650249</v>
      </c>
    </row>
    <row r="419" spans="1:10" x14ac:dyDescent="0.2">
      <c r="A419" t="s">
        <v>517</v>
      </c>
      <c r="B419" t="s">
        <v>731</v>
      </c>
      <c r="C419" s="17">
        <v>3.3448623550599997E-11</v>
      </c>
      <c r="D419">
        <v>0.66666700000000001</v>
      </c>
      <c r="E419" t="s">
        <v>610</v>
      </c>
      <c r="F419">
        <v>0.100325379609544</v>
      </c>
      <c r="G419" t="s">
        <v>733</v>
      </c>
      <c r="H419">
        <v>4985</v>
      </c>
      <c r="I419">
        <v>298</v>
      </c>
      <c r="J419">
        <f t="shared" si="6"/>
        <v>10.475621749246789</v>
      </c>
    </row>
    <row r="420" spans="1:10" x14ac:dyDescent="0.2">
      <c r="A420" t="s">
        <v>518</v>
      </c>
      <c r="B420" t="s">
        <v>731</v>
      </c>
      <c r="C420" s="17">
        <v>1.58946178441E-9</v>
      </c>
      <c r="D420">
        <v>0.77070099999999997</v>
      </c>
      <c r="E420" t="s">
        <v>610</v>
      </c>
      <c r="F420">
        <v>0.75596529284164904</v>
      </c>
      <c r="G420" t="s">
        <v>733</v>
      </c>
      <c r="H420">
        <v>4985</v>
      </c>
      <c r="I420">
        <v>1759</v>
      </c>
      <c r="J420">
        <f t="shared" si="6"/>
        <v>8.7987499094097164</v>
      </c>
    </row>
    <row r="421" spans="1:10" x14ac:dyDescent="0.2">
      <c r="A421" t="s">
        <v>73</v>
      </c>
      <c r="B421" t="s">
        <v>731</v>
      </c>
      <c r="C421" s="17">
        <v>2.3951744125800002E-6</v>
      </c>
      <c r="D421">
        <v>0.56737599999999999</v>
      </c>
      <c r="E421" t="s">
        <v>610</v>
      </c>
      <c r="F421">
        <v>0.67307692307692302</v>
      </c>
      <c r="G421" t="s">
        <v>732</v>
      </c>
      <c r="H421">
        <v>4985</v>
      </c>
      <c r="I421">
        <v>2103</v>
      </c>
      <c r="J421">
        <f t="shared" si="6"/>
        <v>5.6206628565028049</v>
      </c>
    </row>
    <row r="422" spans="1:10" x14ac:dyDescent="0.2">
      <c r="A422" t="s">
        <v>526</v>
      </c>
      <c r="B422" t="s">
        <v>731</v>
      </c>
      <c r="C422" s="17">
        <v>2.2887930484399999E-21</v>
      </c>
      <c r="D422">
        <v>0.55744700000000003</v>
      </c>
      <c r="E422" t="s">
        <v>610</v>
      </c>
      <c r="F422">
        <v>0.19631901840490801</v>
      </c>
      <c r="G422" t="s">
        <v>734</v>
      </c>
      <c r="H422">
        <v>4985</v>
      </c>
      <c r="I422">
        <v>986</v>
      </c>
      <c r="J422">
        <f t="shared" si="6"/>
        <v>20.640393474247155</v>
      </c>
    </row>
    <row r="423" spans="1:10" x14ac:dyDescent="0.2">
      <c r="A423" t="s">
        <v>436</v>
      </c>
      <c r="B423" t="s">
        <v>731</v>
      </c>
      <c r="C423" s="17">
        <v>5.95197235857E-24</v>
      </c>
      <c r="D423">
        <v>0.661972</v>
      </c>
      <c r="E423" t="s">
        <v>610</v>
      </c>
      <c r="F423">
        <v>0.19631901840490801</v>
      </c>
      <c r="G423" t="s">
        <v>734</v>
      </c>
      <c r="H423">
        <v>4985</v>
      </c>
      <c r="I423">
        <v>881</v>
      </c>
      <c r="J423">
        <f t="shared" si="6"/>
        <v>23.225339094355391</v>
      </c>
    </row>
    <row r="424" spans="1:10" x14ac:dyDescent="0.2">
      <c r="A424" t="s">
        <v>519</v>
      </c>
      <c r="B424" t="s">
        <v>731</v>
      </c>
      <c r="C424" s="17">
        <v>8.2891299036299998E-5</v>
      </c>
      <c r="D424">
        <v>0.57534200000000002</v>
      </c>
      <c r="E424" t="s">
        <v>610</v>
      </c>
      <c r="F424">
        <v>0.75596529284164904</v>
      </c>
      <c r="G424" t="s">
        <v>733</v>
      </c>
      <c r="H424">
        <v>4985</v>
      </c>
      <c r="I424">
        <v>2307</v>
      </c>
      <c r="J424">
        <f t="shared" si="6"/>
        <v>4.0814910542367153</v>
      </c>
    </row>
    <row r="425" spans="1:10" x14ac:dyDescent="0.2">
      <c r="A425" t="s">
        <v>500</v>
      </c>
      <c r="B425" t="s">
        <v>731</v>
      </c>
      <c r="C425" s="17">
        <v>6.1277307291999999E-18</v>
      </c>
      <c r="D425">
        <v>0.55128200000000005</v>
      </c>
      <c r="E425" t="s">
        <v>610</v>
      </c>
      <c r="F425">
        <v>0.19631901840490801</v>
      </c>
      <c r="G425" t="s">
        <v>734</v>
      </c>
      <c r="H425">
        <v>4985</v>
      </c>
      <c r="I425">
        <v>1155</v>
      </c>
      <c r="J425">
        <f t="shared" si="6"/>
        <v>17.212700327153513</v>
      </c>
    </row>
    <row r="426" spans="1:10" x14ac:dyDescent="0.2">
      <c r="A426" t="s">
        <v>520</v>
      </c>
      <c r="B426" t="s">
        <v>731</v>
      </c>
      <c r="C426" s="17">
        <v>2.13491948957E-23</v>
      </c>
      <c r="D426">
        <v>0.66043600000000002</v>
      </c>
      <c r="E426" t="s">
        <v>610</v>
      </c>
      <c r="F426">
        <v>0.100325379609544</v>
      </c>
      <c r="G426" t="s">
        <v>733</v>
      </c>
      <c r="H426">
        <v>4985</v>
      </c>
      <c r="I426">
        <v>334</v>
      </c>
      <c r="J426">
        <f t="shared" si="6"/>
        <v>22.670618498107231</v>
      </c>
    </row>
    <row r="427" spans="1:10" x14ac:dyDescent="0.2">
      <c r="A427" t="s">
        <v>476</v>
      </c>
      <c r="B427" t="s">
        <v>731</v>
      </c>
      <c r="C427" s="17">
        <v>2.3495135104099999E-7</v>
      </c>
      <c r="D427">
        <v>0.65641000000000005</v>
      </c>
      <c r="E427" t="s">
        <v>610</v>
      </c>
      <c r="F427">
        <v>0.75596529284164904</v>
      </c>
      <c r="G427" t="s">
        <v>733</v>
      </c>
      <c r="H427">
        <v>4985</v>
      </c>
      <c r="I427">
        <v>1977</v>
      </c>
      <c r="J427">
        <f t="shared" si="6"/>
        <v>6.6290220533098347</v>
      </c>
    </row>
    <row r="428" spans="1:10" x14ac:dyDescent="0.2">
      <c r="A428" t="s">
        <v>521</v>
      </c>
      <c r="B428" t="s">
        <v>731</v>
      </c>
      <c r="C428" s="17">
        <v>1.3262230632300001E-28</v>
      </c>
      <c r="D428">
        <v>0.791798</v>
      </c>
      <c r="E428" t="s">
        <v>610</v>
      </c>
      <c r="F428">
        <v>0.100325379609544</v>
      </c>
      <c r="G428" t="s">
        <v>733</v>
      </c>
      <c r="H428">
        <v>4985</v>
      </c>
      <c r="I428">
        <v>198</v>
      </c>
      <c r="J428">
        <f t="shared" si="6"/>
        <v>27.877383423908228</v>
      </c>
    </row>
    <row r="429" spans="1:10" x14ac:dyDescent="0.2">
      <c r="A429" t="s">
        <v>536</v>
      </c>
      <c r="B429" t="s">
        <v>731</v>
      </c>
      <c r="C429" s="17">
        <v>1.4449652585599999E-10</v>
      </c>
      <c r="D429">
        <v>0.65232999999999997</v>
      </c>
      <c r="E429" t="s">
        <v>610</v>
      </c>
      <c r="F429">
        <v>0.19631901840490801</v>
      </c>
      <c r="G429" t="s">
        <v>734</v>
      </c>
      <c r="H429">
        <v>4985</v>
      </c>
      <c r="I429">
        <v>1449</v>
      </c>
      <c r="J429">
        <f t="shared" si="6"/>
        <v>9.8401425945663021</v>
      </c>
    </row>
    <row r="430" spans="1:10" x14ac:dyDescent="0.2">
      <c r="A430" t="s">
        <v>427</v>
      </c>
      <c r="B430" t="s">
        <v>731</v>
      </c>
      <c r="C430" s="17">
        <v>9.7685783882500006E-13</v>
      </c>
      <c r="D430">
        <v>0.58227799999999996</v>
      </c>
      <c r="E430" t="s">
        <v>610</v>
      </c>
      <c r="F430">
        <v>0.72776073619631898</v>
      </c>
      <c r="G430" t="s">
        <v>734</v>
      </c>
      <c r="H430">
        <v>4985</v>
      </c>
      <c r="I430">
        <v>1496</v>
      </c>
      <c r="J430">
        <f t="shared" si="6"/>
        <v>12.010168634138026</v>
      </c>
    </row>
    <row r="431" spans="1:10" x14ac:dyDescent="0.2">
      <c r="A431" t="s">
        <v>462</v>
      </c>
      <c r="B431" t="s">
        <v>731</v>
      </c>
      <c r="C431" s="17">
        <v>1.6716514083200001E-5</v>
      </c>
      <c r="D431">
        <v>0.63261299999999998</v>
      </c>
      <c r="E431" t="s">
        <v>610</v>
      </c>
      <c r="F431">
        <v>0.19631901840490801</v>
      </c>
      <c r="G431" t="s">
        <v>734</v>
      </c>
      <c r="H431">
        <v>4985</v>
      </c>
      <c r="I431">
        <v>2211</v>
      </c>
      <c r="J431">
        <f t="shared" si="6"/>
        <v>4.7768542814585411</v>
      </c>
    </row>
    <row r="432" spans="1:10" x14ac:dyDescent="0.2">
      <c r="A432" t="s">
        <v>477</v>
      </c>
      <c r="B432" t="s">
        <v>731</v>
      </c>
      <c r="C432" s="17">
        <v>2.9457061760900002E-6</v>
      </c>
      <c r="D432">
        <v>0.62694300000000003</v>
      </c>
      <c r="E432" t="s">
        <v>610</v>
      </c>
      <c r="F432">
        <v>0.75596529284164904</v>
      </c>
      <c r="G432" t="s">
        <v>733</v>
      </c>
      <c r="H432">
        <v>4985</v>
      </c>
      <c r="I432">
        <v>2118</v>
      </c>
      <c r="J432">
        <f t="shared" si="6"/>
        <v>5.5308105746918548</v>
      </c>
    </row>
    <row r="433" spans="1:10" x14ac:dyDescent="0.2">
      <c r="A433" t="s">
        <v>92</v>
      </c>
      <c r="B433" t="s">
        <v>731</v>
      </c>
      <c r="C433" s="17">
        <v>2.0167380113700001E-6</v>
      </c>
      <c r="D433">
        <v>0.59868399999999999</v>
      </c>
      <c r="E433" t="s">
        <v>610</v>
      </c>
      <c r="F433">
        <v>0.72776073619631898</v>
      </c>
      <c r="G433" t="s">
        <v>734</v>
      </c>
      <c r="H433">
        <v>4985</v>
      </c>
      <c r="I433">
        <v>2050</v>
      </c>
      <c r="J433">
        <f t="shared" si="6"/>
        <v>5.695350516069059</v>
      </c>
    </row>
    <row r="434" spans="1:10" x14ac:dyDescent="0.2">
      <c r="A434" t="s">
        <v>19</v>
      </c>
      <c r="B434" t="s">
        <v>735</v>
      </c>
      <c r="C434" s="17">
        <v>1.4500226369600001E-6</v>
      </c>
      <c r="D434">
        <v>0.69895300000000005</v>
      </c>
      <c r="E434" t="s">
        <v>610</v>
      </c>
      <c r="F434">
        <v>0.76978146194423502</v>
      </c>
      <c r="G434" t="s">
        <v>736</v>
      </c>
      <c r="H434">
        <v>4986</v>
      </c>
      <c r="I434">
        <v>2073</v>
      </c>
      <c r="J434">
        <f t="shared" si="6"/>
        <v>5.8386252177442834</v>
      </c>
    </row>
    <row r="435" spans="1:10" x14ac:dyDescent="0.2">
      <c r="A435" t="s">
        <v>10</v>
      </c>
      <c r="B435" t="s">
        <v>735</v>
      </c>
      <c r="C435" s="17">
        <v>5.7798610342300002E-10</v>
      </c>
      <c r="D435">
        <v>0.71672400000000003</v>
      </c>
      <c r="E435" t="s">
        <v>610</v>
      </c>
      <c r="F435">
        <v>0.90277777777777801</v>
      </c>
      <c r="G435" t="s">
        <v>737</v>
      </c>
      <c r="H435">
        <v>4986</v>
      </c>
      <c r="I435">
        <v>1727</v>
      </c>
      <c r="J435">
        <f t="shared" si="6"/>
        <v>9.238082603239091</v>
      </c>
    </row>
    <row r="436" spans="1:10" x14ac:dyDescent="0.2">
      <c r="A436" t="s">
        <v>449</v>
      </c>
      <c r="B436" t="s">
        <v>735</v>
      </c>
      <c r="C436" s="17">
        <v>4.7956981113199999E-45</v>
      </c>
      <c r="D436">
        <v>0.775281</v>
      </c>
      <c r="E436" t="s">
        <v>610</v>
      </c>
      <c r="F436">
        <v>0.76978146194423502</v>
      </c>
      <c r="G436" t="s">
        <v>736</v>
      </c>
      <c r="H436">
        <v>4986</v>
      </c>
      <c r="I436">
        <v>373</v>
      </c>
      <c r="J436">
        <f t="shared" si="6"/>
        <v>44.319148163503634</v>
      </c>
    </row>
    <row r="437" spans="1:10" x14ac:dyDescent="0.2">
      <c r="A437" t="s">
        <v>44</v>
      </c>
      <c r="B437" t="s">
        <v>735</v>
      </c>
      <c r="C437" s="17">
        <v>2.45644093955E-9</v>
      </c>
      <c r="D437">
        <v>0.782609</v>
      </c>
      <c r="E437" t="s">
        <v>610</v>
      </c>
      <c r="F437">
        <v>0.81751824817518204</v>
      </c>
      <c r="G437" t="s">
        <v>738</v>
      </c>
      <c r="H437">
        <v>4986</v>
      </c>
      <c r="I437">
        <v>1775</v>
      </c>
      <c r="J437">
        <f t="shared" si="6"/>
        <v>8.6096936731883815</v>
      </c>
    </row>
    <row r="438" spans="1:10" x14ac:dyDescent="0.2">
      <c r="A438" t="s">
        <v>476</v>
      </c>
      <c r="B438" t="s">
        <v>735</v>
      </c>
      <c r="C438" s="17">
        <v>1.41596968479E-20</v>
      </c>
      <c r="D438">
        <v>0.68085099999999998</v>
      </c>
      <c r="E438" t="s">
        <v>610</v>
      </c>
      <c r="F438">
        <v>0.76978146194423502</v>
      </c>
      <c r="G438" t="s">
        <v>736</v>
      </c>
      <c r="H438">
        <v>4986</v>
      </c>
      <c r="I438">
        <v>1024</v>
      </c>
      <c r="J438">
        <f t="shared" si="6"/>
        <v>19.848946044576586</v>
      </c>
    </row>
    <row r="439" spans="1:10" x14ac:dyDescent="0.2">
      <c r="A439" t="s">
        <v>117</v>
      </c>
      <c r="B439" t="s">
        <v>735</v>
      </c>
      <c r="C439" s="17">
        <v>6.8754047939600002E-5</v>
      </c>
      <c r="D439">
        <v>0.65671599999999997</v>
      </c>
      <c r="E439" t="s">
        <v>610</v>
      </c>
      <c r="F439">
        <v>0.81751824817518204</v>
      </c>
      <c r="G439" t="s">
        <v>738</v>
      </c>
      <c r="H439">
        <v>4986</v>
      </c>
      <c r="I439">
        <v>2283</v>
      </c>
      <c r="J439">
        <f t="shared" si="6"/>
        <v>4.1627017273729185</v>
      </c>
    </row>
    <row r="440" spans="1:10" x14ac:dyDescent="0.2">
      <c r="A440" t="s">
        <v>430</v>
      </c>
      <c r="B440" t="s">
        <v>739</v>
      </c>
      <c r="C440" s="17">
        <v>3.8541841241700001E-17</v>
      </c>
      <c r="D440">
        <v>0.64827599999999996</v>
      </c>
      <c r="E440" t="s">
        <v>610</v>
      </c>
      <c r="F440">
        <v>0.105200945626478</v>
      </c>
      <c r="G440" t="s">
        <v>740</v>
      </c>
      <c r="H440">
        <v>4988</v>
      </c>
      <c r="I440">
        <v>1215</v>
      </c>
      <c r="J440">
        <f t="shared" si="6"/>
        <v>16.41406754183393</v>
      </c>
    </row>
    <row r="441" spans="1:10" x14ac:dyDescent="0.2">
      <c r="A441" t="s">
        <v>547</v>
      </c>
      <c r="B441" t="s">
        <v>739</v>
      </c>
      <c r="C441" s="17">
        <v>6.6829643208300001E-7</v>
      </c>
      <c r="D441">
        <v>0.38461499999999998</v>
      </c>
      <c r="E441" t="s">
        <v>610</v>
      </c>
      <c r="F441">
        <v>0.77600472813238797</v>
      </c>
      <c r="G441" t="s">
        <v>740</v>
      </c>
      <c r="H441">
        <v>4988</v>
      </c>
      <c r="I441">
        <v>2025</v>
      </c>
      <c r="J441">
        <f t="shared" si="6"/>
        <v>6.1750308574919002</v>
      </c>
    </row>
    <row r="442" spans="1:10" x14ac:dyDescent="0.2">
      <c r="A442" t="s">
        <v>432</v>
      </c>
      <c r="B442" t="s">
        <v>739</v>
      </c>
      <c r="C442" s="17">
        <v>7.0691147766899903E-14</v>
      </c>
      <c r="D442">
        <v>0.60283699999999996</v>
      </c>
      <c r="E442" t="s">
        <v>610</v>
      </c>
      <c r="F442">
        <v>0.77600472813238797</v>
      </c>
      <c r="G442" t="s">
        <v>740</v>
      </c>
      <c r="H442">
        <v>4988</v>
      </c>
      <c r="I442">
        <v>1408</v>
      </c>
      <c r="J442">
        <f t="shared" si="6"/>
        <v>13.15063496692005</v>
      </c>
    </row>
    <row r="443" spans="1:10" x14ac:dyDescent="0.2">
      <c r="A443" t="s">
        <v>449</v>
      </c>
      <c r="B443" t="s">
        <v>739</v>
      </c>
      <c r="C443" s="17">
        <v>3.4676134953799998E-33</v>
      </c>
      <c r="D443">
        <v>0.66292099999999998</v>
      </c>
      <c r="E443" t="s">
        <v>610</v>
      </c>
      <c r="F443">
        <v>0.76322869955156902</v>
      </c>
      <c r="G443" t="s">
        <v>741</v>
      </c>
      <c r="H443">
        <v>4988</v>
      </c>
      <c r="I443">
        <v>295</v>
      </c>
      <c r="J443">
        <f t="shared" si="6"/>
        <v>32.459969315514776</v>
      </c>
    </row>
    <row r="444" spans="1:10" x14ac:dyDescent="0.2">
      <c r="A444" t="s">
        <v>515</v>
      </c>
      <c r="B444" t="s">
        <v>739</v>
      </c>
      <c r="C444" s="17">
        <v>4.1886881917000003E-55</v>
      </c>
      <c r="D444">
        <v>0.68656700000000004</v>
      </c>
      <c r="E444" t="s">
        <v>610</v>
      </c>
      <c r="F444">
        <v>0.105200945626478</v>
      </c>
      <c r="G444" t="s">
        <v>740</v>
      </c>
      <c r="H444">
        <v>4988</v>
      </c>
      <c r="I444">
        <v>275</v>
      </c>
      <c r="J444">
        <f t="shared" si="6"/>
        <v>54.377921967560532</v>
      </c>
    </row>
    <row r="445" spans="1:10" x14ac:dyDescent="0.2">
      <c r="A445" t="s">
        <v>90</v>
      </c>
      <c r="B445" t="s">
        <v>739</v>
      </c>
      <c r="C445" s="17">
        <v>3.5770901611899998E-13</v>
      </c>
      <c r="D445">
        <v>0.52452799999999999</v>
      </c>
      <c r="E445" t="s">
        <v>610</v>
      </c>
      <c r="F445">
        <v>0.80392156862745101</v>
      </c>
      <c r="G445" t="s">
        <v>742</v>
      </c>
      <c r="H445">
        <v>4988</v>
      </c>
      <c r="I445">
        <v>1467</v>
      </c>
      <c r="J445">
        <f t="shared" si="6"/>
        <v>12.446470113243867</v>
      </c>
    </row>
    <row r="446" spans="1:10" x14ac:dyDescent="0.2">
      <c r="A446" t="s">
        <v>426</v>
      </c>
      <c r="B446" t="s">
        <v>739</v>
      </c>
      <c r="C446" s="17">
        <v>3.06268411099E-21</v>
      </c>
      <c r="D446">
        <v>0.63013699999999995</v>
      </c>
      <c r="E446" t="s">
        <v>610</v>
      </c>
      <c r="F446">
        <v>0.77600472813238797</v>
      </c>
      <c r="G446" t="s">
        <v>740</v>
      </c>
      <c r="H446">
        <v>4988</v>
      </c>
      <c r="I446">
        <v>992</v>
      </c>
      <c r="J446">
        <f t="shared" si="6"/>
        <v>20.513897794551117</v>
      </c>
    </row>
    <row r="447" spans="1:10" x14ac:dyDescent="0.2">
      <c r="A447" t="s">
        <v>495</v>
      </c>
      <c r="B447" t="s">
        <v>739</v>
      </c>
      <c r="C447" s="17">
        <v>6.3586750546999997E-15</v>
      </c>
      <c r="D447">
        <v>0.64921499999999999</v>
      </c>
      <c r="E447" t="s">
        <v>610</v>
      </c>
      <c r="F447">
        <v>0.105200945626478</v>
      </c>
      <c r="G447" t="s">
        <v>740</v>
      </c>
      <c r="H447">
        <v>4988</v>
      </c>
      <c r="I447">
        <v>1345</v>
      </c>
      <c r="J447">
        <f t="shared" si="6"/>
        <v>14.196633368058768</v>
      </c>
    </row>
    <row r="448" spans="1:10" x14ac:dyDescent="0.2">
      <c r="A448" t="s">
        <v>496</v>
      </c>
      <c r="B448" t="s">
        <v>739</v>
      </c>
      <c r="C448" s="17">
        <v>5.1164732208600001E-55</v>
      </c>
      <c r="D448">
        <v>0.75568199999999996</v>
      </c>
      <c r="E448" t="s">
        <v>610</v>
      </c>
      <c r="F448">
        <v>0.105200945626478</v>
      </c>
      <c r="G448" t="s">
        <v>740</v>
      </c>
      <c r="H448">
        <v>4988</v>
      </c>
      <c r="I448">
        <v>277</v>
      </c>
      <c r="J448">
        <f t="shared" si="6"/>
        <v>54.291029294587474</v>
      </c>
    </row>
    <row r="449" spans="1:10" x14ac:dyDescent="0.2">
      <c r="A449" t="s">
        <v>44</v>
      </c>
      <c r="B449" t="s">
        <v>739</v>
      </c>
      <c r="C449" s="17">
        <v>8.59914531629E-23</v>
      </c>
      <c r="D449">
        <v>0.782609</v>
      </c>
      <c r="E449" t="s">
        <v>610</v>
      </c>
      <c r="F449">
        <v>0.77600472813238797</v>
      </c>
      <c r="G449" t="s">
        <v>740</v>
      </c>
      <c r="H449">
        <v>4988</v>
      </c>
      <c r="I449">
        <v>920</v>
      </c>
      <c r="J449">
        <f t="shared" si="6"/>
        <v>22.065544711880239</v>
      </c>
    </row>
    <row r="450" spans="1:10" x14ac:dyDescent="0.2">
      <c r="A450" t="s">
        <v>452</v>
      </c>
      <c r="B450" t="s">
        <v>739</v>
      </c>
      <c r="C450" s="17">
        <v>1.06782932607E-7</v>
      </c>
      <c r="D450">
        <v>0.60139900000000002</v>
      </c>
      <c r="E450" t="s">
        <v>610</v>
      </c>
      <c r="F450">
        <v>0.77600472813238797</v>
      </c>
      <c r="G450" t="s">
        <v>740</v>
      </c>
      <c r="H450">
        <v>4988</v>
      </c>
      <c r="I450">
        <v>1949</v>
      </c>
      <c r="J450">
        <f t="shared" si="6"/>
        <v>6.9714981561738512</v>
      </c>
    </row>
    <row r="451" spans="1:10" x14ac:dyDescent="0.2">
      <c r="A451" t="s">
        <v>435</v>
      </c>
      <c r="B451" t="s">
        <v>739</v>
      </c>
      <c r="C451" s="17">
        <v>3.6817385184299999E-34</v>
      </c>
      <c r="D451">
        <v>0.717557</v>
      </c>
      <c r="E451" t="s">
        <v>610</v>
      </c>
      <c r="F451">
        <v>0.105200945626478</v>
      </c>
      <c r="G451" t="s">
        <v>740</v>
      </c>
      <c r="H451">
        <v>4988</v>
      </c>
      <c r="I451">
        <v>628</v>
      </c>
      <c r="J451">
        <f t="shared" ref="J451:J514" si="7">-LOG10(C451)</f>
        <v>33.433947058861733</v>
      </c>
    </row>
    <row r="452" spans="1:10" x14ac:dyDescent="0.2">
      <c r="A452" t="s">
        <v>517</v>
      </c>
      <c r="B452" t="s">
        <v>739</v>
      </c>
      <c r="C452" s="17">
        <v>4.2745438298200003E-89</v>
      </c>
      <c r="D452">
        <v>0.72289199999999998</v>
      </c>
      <c r="E452" t="s">
        <v>610</v>
      </c>
      <c r="F452">
        <v>0.105200945626478</v>
      </c>
      <c r="G452" t="s">
        <v>740</v>
      </c>
      <c r="H452">
        <v>4988</v>
      </c>
      <c r="I452">
        <v>120</v>
      </c>
      <c r="J452">
        <f t="shared" si="7"/>
        <v>88.369110225441688</v>
      </c>
    </row>
    <row r="453" spans="1:10" x14ac:dyDescent="0.2">
      <c r="A453" t="s">
        <v>439</v>
      </c>
      <c r="B453" t="s">
        <v>739</v>
      </c>
      <c r="C453" s="17">
        <v>2.2515765635000001E-11</v>
      </c>
      <c r="D453">
        <v>0.58415799999999996</v>
      </c>
      <c r="E453" t="s">
        <v>610</v>
      </c>
      <c r="F453">
        <v>0.105200945626478</v>
      </c>
      <c r="G453" t="s">
        <v>740</v>
      </c>
      <c r="H453">
        <v>4988</v>
      </c>
      <c r="I453">
        <v>1625</v>
      </c>
      <c r="J453">
        <f t="shared" si="7"/>
        <v>10.647513280528623</v>
      </c>
    </row>
    <row r="454" spans="1:10" x14ac:dyDescent="0.2">
      <c r="A454" t="s">
        <v>73</v>
      </c>
      <c r="B454" t="s">
        <v>739</v>
      </c>
      <c r="C454" s="17">
        <v>2.0567067343900002E-12</v>
      </c>
      <c r="D454">
        <v>0.60606099999999996</v>
      </c>
      <c r="E454" t="s">
        <v>610</v>
      </c>
      <c r="F454">
        <v>0.77600472813238797</v>
      </c>
      <c r="G454" t="s">
        <v>740</v>
      </c>
      <c r="H454">
        <v>4988</v>
      </c>
      <c r="I454">
        <v>1527</v>
      </c>
      <c r="J454">
        <f t="shared" si="7"/>
        <v>11.686827629897939</v>
      </c>
    </row>
    <row r="455" spans="1:10" x14ac:dyDescent="0.2">
      <c r="A455" t="s">
        <v>526</v>
      </c>
      <c r="B455" t="s">
        <v>739</v>
      </c>
      <c r="C455" s="17">
        <v>5.7928681996900004E-50</v>
      </c>
      <c r="D455">
        <v>0.603352</v>
      </c>
      <c r="E455" t="s">
        <v>610</v>
      </c>
      <c r="F455">
        <v>0.105200945626478</v>
      </c>
      <c r="G455" t="s">
        <v>740</v>
      </c>
      <c r="H455">
        <v>4988</v>
      </c>
      <c r="I455">
        <v>322</v>
      </c>
      <c r="J455">
        <f t="shared" si="7"/>
        <v>49.237106352529516</v>
      </c>
    </row>
    <row r="456" spans="1:10" x14ac:dyDescent="0.2">
      <c r="A456" t="s">
        <v>436</v>
      </c>
      <c r="B456" t="s">
        <v>739</v>
      </c>
      <c r="C456" s="17">
        <v>6.4496956963599902E-14</v>
      </c>
      <c r="D456">
        <v>0.70676700000000003</v>
      </c>
      <c r="E456" t="s">
        <v>610</v>
      </c>
      <c r="F456">
        <v>0.13703703703703701</v>
      </c>
      <c r="G456" t="s">
        <v>743</v>
      </c>
      <c r="H456">
        <v>4988</v>
      </c>
      <c r="I456">
        <v>627</v>
      </c>
      <c r="J456">
        <f t="shared" si="7"/>
        <v>13.190460775366173</v>
      </c>
    </row>
    <row r="457" spans="1:10" x14ac:dyDescent="0.2">
      <c r="A457" t="s">
        <v>519</v>
      </c>
      <c r="B457" t="s">
        <v>739</v>
      </c>
      <c r="C457" s="17">
        <v>5.7798610342300002E-10</v>
      </c>
      <c r="D457">
        <v>0.57534200000000002</v>
      </c>
      <c r="E457" t="s">
        <v>610</v>
      </c>
      <c r="F457">
        <v>0.76322869955156902</v>
      </c>
      <c r="G457" t="s">
        <v>741</v>
      </c>
      <c r="H457">
        <v>4988</v>
      </c>
      <c r="I457">
        <v>1729</v>
      </c>
      <c r="J457">
        <f t="shared" si="7"/>
        <v>9.238082603239091</v>
      </c>
    </row>
    <row r="458" spans="1:10" x14ac:dyDescent="0.2">
      <c r="A458" t="s">
        <v>500</v>
      </c>
      <c r="B458" t="s">
        <v>739</v>
      </c>
      <c r="C458" s="17">
        <v>7.0734990381599896E-46</v>
      </c>
      <c r="D458">
        <v>0.60451999999999995</v>
      </c>
      <c r="E458" t="s">
        <v>610</v>
      </c>
      <c r="F458">
        <v>0.105200945626478</v>
      </c>
      <c r="G458" t="s">
        <v>740</v>
      </c>
      <c r="H458">
        <v>4988</v>
      </c>
      <c r="I458">
        <v>364</v>
      </c>
      <c r="J458">
        <f t="shared" si="7"/>
        <v>45.150365701188896</v>
      </c>
    </row>
    <row r="459" spans="1:10" x14ac:dyDescent="0.2">
      <c r="A459" t="s">
        <v>520</v>
      </c>
      <c r="B459" t="s">
        <v>739</v>
      </c>
      <c r="C459" s="17">
        <v>9.4091862767799993E-28</v>
      </c>
      <c r="D459">
        <v>0.69696999999999998</v>
      </c>
      <c r="E459" t="s">
        <v>610</v>
      </c>
      <c r="F459">
        <v>0.105200945626478</v>
      </c>
      <c r="G459" t="s">
        <v>740</v>
      </c>
      <c r="H459">
        <v>4988</v>
      </c>
      <c r="I459">
        <v>767</v>
      </c>
      <c r="J459">
        <f t="shared" si="7"/>
        <v>27.026447933510568</v>
      </c>
    </row>
    <row r="460" spans="1:10" x14ac:dyDescent="0.2">
      <c r="A460" t="s">
        <v>476</v>
      </c>
      <c r="B460" t="s">
        <v>739</v>
      </c>
      <c r="C460" s="17">
        <v>6.8482844625300005E-17</v>
      </c>
      <c r="D460">
        <v>0.68085099999999998</v>
      </c>
      <c r="E460" t="s">
        <v>610</v>
      </c>
      <c r="F460">
        <v>0.76322869955156902</v>
      </c>
      <c r="G460" t="s">
        <v>741</v>
      </c>
      <c r="H460">
        <v>4988</v>
      </c>
      <c r="I460">
        <v>948</v>
      </c>
      <c r="J460">
        <f t="shared" si="7"/>
        <v>16.164418208327799</v>
      </c>
    </row>
    <row r="461" spans="1:10" x14ac:dyDescent="0.2">
      <c r="A461" t="s">
        <v>521</v>
      </c>
      <c r="B461" t="s">
        <v>739</v>
      </c>
      <c r="C461" s="17">
        <v>5.0410874194999997E-40</v>
      </c>
      <c r="D461">
        <v>0.81388000000000005</v>
      </c>
      <c r="E461" t="s">
        <v>610</v>
      </c>
      <c r="F461">
        <v>0.105200945626478</v>
      </c>
      <c r="G461" t="s">
        <v>740</v>
      </c>
      <c r="H461">
        <v>4988</v>
      </c>
      <c r="I461">
        <v>480</v>
      </c>
      <c r="J461">
        <f t="shared" si="7"/>
        <v>39.297475771223368</v>
      </c>
    </row>
    <row r="462" spans="1:10" x14ac:dyDescent="0.2">
      <c r="A462" t="s">
        <v>536</v>
      </c>
      <c r="B462" t="s">
        <v>739</v>
      </c>
      <c r="C462" s="17">
        <v>5.4922730613299999E-31</v>
      </c>
      <c r="D462">
        <v>0.62171100000000001</v>
      </c>
      <c r="E462" t="s">
        <v>610</v>
      </c>
      <c r="F462">
        <v>0.105200945626478</v>
      </c>
      <c r="G462" t="s">
        <v>740</v>
      </c>
      <c r="H462">
        <v>4988</v>
      </c>
      <c r="I462">
        <v>701</v>
      </c>
      <c r="J462">
        <f t="shared" si="7"/>
        <v>30.260247878922385</v>
      </c>
    </row>
    <row r="463" spans="1:10" x14ac:dyDescent="0.2">
      <c r="A463" t="s">
        <v>196</v>
      </c>
      <c r="B463" t="s">
        <v>739</v>
      </c>
      <c r="C463" s="17">
        <v>2.7707931315500001E-5</v>
      </c>
      <c r="D463">
        <v>0.57352899999999996</v>
      </c>
      <c r="E463" t="s">
        <v>610</v>
      </c>
      <c r="F463">
        <v>0.77600472813238797</v>
      </c>
      <c r="G463" t="s">
        <v>740</v>
      </c>
      <c r="H463">
        <v>4988</v>
      </c>
      <c r="I463">
        <v>2232</v>
      </c>
      <c r="J463">
        <f t="shared" si="7"/>
        <v>4.5573958975956259</v>
      </c>
    </row>
    <row r="464" spans="1:10" x14ac:dyDescent="0.2">
      <c r="A464" t="s">
        <v>477</v>
      </c>
      <c r="B464" t="s">
        <v>739</v>
      </c>
      <c r="C464" s="17">
        <v>2.22791839844E-20</v>
      </c>
      <c r="D464">
        <v>0.68449199999999999</v>
      </c>
      <c r="E464" t="s">
        <v>610</v>
      </c>
      <c r="F464">
        <v>0.76322869955156902</v>
      </c>
      <c r="G464" t="s">
        <v>741</v>
      </c>
      <c r="H464">
        <v>4988</v>
      </c>
      <c r="I464">
        <v>1027</v>
      </c>
      <c r="J464">
        <f t="shared" si="7"/>
        <v>19.652100720031623</v>
      </c>
    </row>
    <row r="465" spans="1:10" x14ac:dyDescent="0.2">
      <c r="A465" t="s">
        <v>92</v>
      </c>
      <c r="B465" t="s">
        <v>739</v>
      </c>
      <c r="C465" s="17">
        <v>3.14380020737E-20</v>
      </c>
      <c r="D465">
        <v>0.59868399999999999</v>
      </c>
      <c r="E465" t="s">
        <v>610</v>
      </c>
      <c r="F465">
        <v>0.77600472813238797</v>
      </c>
      <c r="G465" t="s">
        <v>740</v>
      </c>
      <c r="H465">
        <v>4988</v>
      </c>
      <c r="I465">
        <v>1037</v>
      </c>
      <c r="J465">
        <f t="shared" si="7"/>
        <v>19.502545061740076</v>
      </c>
    </row>
    <row r="466" spans="1:10" x14ac:dyDescent="0.2">
      <c r="A466" t="s">
        <v>454</v>
      </c>
      <c r="B466" t="s">
        <v>739</v>
      </c>
      <c r="C466" s="17">
        <v>5.5456321658200003E-6</v>
      </c>
      <c r="D466">
        <v>0.685083</v>
      </c>
      <c r="E466" t="s">
        <v>610</v>
      </c>
      <c r="F466">
        <v>0.76322869955156902</v>
      </c>
      <c r="G466" t="s">
        <v>741</v>
      </c>
      <c r="H466">
        <v>4988</v>
      </c>
      <c r="I466">
        <v>1071</v>
      </c>
      <c r="J466">
        <f t="shared" si="7"/>
        <v>5.2560489399605475</v>
      </c>
    </row>
    <row r="467" spans="1:10" x14ac:dyDescent="0.2">
      <c r="A467" t="s">
        <v>117</v>
      </c>
      <c r="B467" t="s">
        <v>739</v>
      </c>
      <c r="C467" s="17">
        <v>4.6238888273799999E-9</v>
      </c>
      <c r="D467">
        <v>0.65671599999999997</v>
      </c>
      <c r="E467" t="s">
        <v>610</v>
      </c>
      <c r="F467">
        <v>0.77600472813238797</v>
      </c>
      <c r="G467" t="s">
        <v>740</v>
      </c>
      <c r="H467">
        <v>4988</v>
      </c>
      <c r="I467">
        <v>1804</v>
      </c>
      <c r="J467">
        <f t="shared" si="7"/>
        <v>8.3349926162475239</v>
      </c>
    </row>
    <row r="468" spans="1:10" x14ac:dyDescent="0.2">
      <c r="A468" t="s">
        <v>523</v>
      </c>
      <c r="B468" t="s">
        <v>522</v>
      </c>
      <c r="C468" s="17">
        <v>5.5363121399000002E-5</v>
      </c>
      <c r="D468">
        <v>0.56772299999999998</v>
      </c>
      <c r="E468" t="s">
        <v>610</v>
      </c>
      <c r="F468">
        <v>0.172786177105832</v>
      </c>
      <c r="G468" t="s">
        <v>744</v>
      </c>
      <c r="H468">
        <v>5139</v>
      </c>
      <c r="I468">
        <v>2269</v>
      </c>
      <c r="J468">
        <f t="shared" si="7"/>
        <v>4.2567794321324772</v>
      </c>
    </row>
    <row r="469" spans="1:10" x14ac:dyDescent="0.2">
      <c r="A469" t="s">
        <v>524</v>
      </c>
      <c r="B469" t="s">
        <v>522</v>
      </c>
      <c r="C469" s="17">
        <v>2.9157388923800001E-19</v>
      </c>
      <c r="D469">
        <v>0.54418599999999995</v>
      </c>
      <c r="E469" t="s">
        <v>610</v>
      </c>
      <c r="F469">
        <v>0.172786177105832</v>
      </c>
      <c r="G469" t="s">
        <v>744</v>
      </c>
      <c r="H469">
        <v>5139</v>
      </c>
      <c r="I469">
        <v>1080</v>
      </c>
      <c r="J469">
        <f t="shared" si="7"/>
        <v>18.535251370160591</v>
      </c>
    </row>
    <row r="470" spans="1:10" x14ac:dyDescent="0.2">
      <c r="A470" t="s">
        <v>449</v>
      </c>
      <c r="B470" t="s">
        <v>522</v>
      </c>
      <c r="C470" s="17">
        <v>4.8001745889300002E-7</v>
      </c>
      <c r="D470">
        <v>0.39130399999999999</v>
      </c>
      <c r="E470" t="s">
        <v>610</v>
      </c>
      <c r="F470">
        <v>0.172786177105832</v>
      </c>
      <c r="G470" t="s">
        <v>744</v>
      </c>
      <c r="H470">
        <v>5139</v>
      </c>
      <c r="I470">
        <v>2006</v>
      </c>
      <c r="J470">
        <f t="shared" si="7"/>
        <v>6.3187429664514978</v>
      </c>
    </row>
    <row r="471" spans="1:10" x14ac:dyDescent="0.2">
      <c r="A471" t="s">
        <v>72</v>
      </c>
      <c r="B471" t="s">
        <v>94</v>
      </c>
      <c r="C471" s="17">
        <v>1.4449652585599999E-10</v>
      </c>
      <c r="D471">
        <v>0.51867200000000002</v>
      </c>
      <c r="E471" t="s">
        <v>610</v>
      </c>
      <c r="F471">
        <v>0.103489771359807</v>
      </c>
      <c r="G471" t="s">
        <v>745</v>
      </c>
      <c r="H471">
        <v>5144</v>
      </c>
      <c r="I471">
        <v>1658</v>
      </c>
      <c r="J471">
        <f t="shared" si="7"/>
        <v>9.8401425945663021</v>
      </c>
    </row>
    <row r="472" spans="1:10" x14ac:dyDescent="0.2">
      <c r="A472" t="s">
        <v>525</v>
      </c>
      <c r="B472" t="s">
        <v>94</v>
      </c>
      <c r="C472" s="17">
        <v>1.9927515880800001E-6</v>
      </c>
      <c r="D472">
        <v>0.34939799999999999</v>
      </c>
      <c r="E472" t="s">
        <v>610</v>
      </c>
      <c r="F472">
        <v>0.122743682310469</v>
      </c>
      <c r="G472" t="s">
        <v>745</v>
      </c>
      <c r="H472">
        <v>5144</v>
      </c>
      <c r="I472">
        <v>2091</v>
      </c>
      <c r="J472">
        <f t="shared" si="7"/>
        <v>5.7005468360963505</v>
      </c>
    </row>
    <row r="473" spans="1:10" x14ac:dyDescent="0.2">
      <c r="A473" t="s">
        <v>595</v>
      </c>
      <c r="B473" t="s">
        <v>94</v>
      </c>
      <c r="C473" s="17">
        <v>1.46374980692E-7</v>
      </c>
      <c r="D473">
        <v>0.34782600000000002</v>
      </c>
      <c r="E473" t="s">
        <v>610</v>
      </c>
      <c r="F473">
        <v>0.133333333333333</v>
      </c>
      <c r="G473" t="s">
        <v>746</v>
      </c>
      <c r="H473">
        <v>5144</v>
      </c>
      <c r="I473">
        <v>1961</v>
      </c>
      <c r="J473">
        <f t="shared" si="7"/>
        <v>6.8345331492064014</v>
      </c>
    </row>
    <row r="474" spans="1:10" x14ac:dyDescent="0.2">
      <c r="A474" t="s">
        <v>83</v>
      </c>
      <c r="B474" t="s">
        <v>94</v>
      </c>
      <c r="C474" s="17">
        <v>1.9119780301199998E-6</v>
      </c>
      <c r="D474">
        <v>0.56722700000000004</v>
      </c>
      <c r="E474" t="s">
        <v>610</v>
      </c>
      <c r="F474">
        <v>0.85207100591716001</v>
      </c>
      <c r="G474" t="s">
        <v>747</v>
      </c>
      <c r="H474">
        <v>5144</v>
      </c>
      <c r="I474">
        <v>2086</v>
      </c>
      <c r="J474">
        <f t="shared" si="7"/>
        <v>5.7185171023593275</v>
      </c>
    </row>
    <row r="475" spans="1:10" x14ac:dyDescent="0.2">
      <c r="A475" t="s">
        <v>440</v>
      </c>
      <c r="B475" t="s">
        <v>94</v>
      </c>
      <c r="C475" s="17">
        <v>1.4449652585599999E-10</v>
      </c>
      <c r="D475">
        <v>0.31034499999999998</v>
      </c>
      <c r="E475" t="s">
        <v>610</v>
      </c>
      <c r="F475">
        <v>0.133333333333333</v>
      </c>
      <c r="G475" t="s">
        <v>746</v>
      </c>
      <c r="H475">
        <v>5144</v>
      </c>
      <c r="I475">
        <v>1673</v>
      </c>
      <c r="J475">
        <f t="shared" si="7"/>
        <v>9.8401425945663021</v>
      </c>
    </row>
    <row r="476" spans="1:10" x14ac:dyDescent="0.2">
      <c r="A476" t="s">
        <v>526</v>
      </c>
      <c r="B476" t="s">
        <v>94</v>
      </c>
      <c r="C476" s="17">
        <v>1.5869435691000001E-19</v>
      </c>
      <c r="D476">
        <v>0.60683799999999999</v>
      </c>
      <c r="E476" t="s">
        <v>610</v>
      </c>
      <c r="F476">
        <v>0.76774969915764102</v>
      </c>
      <c r="G476" t="s">
        <v>745</v>
      </c>
      <c r="H476">
        <v>5144</v>
      </c>
      <c r="I476">
        <v>1013</v>
      </c>
      <c r="J476">
        <f t="shared" si="7"/>
        <v>18.79943851625978</v>
      </c>
    </row>
    <row r="477" spans="1:10" x14ac:dyDescent="0.2">
      <c r="A477" t="s">
        <v>500</v>
      </c>
      <c r="B477" t="s">
        <v>94</v>
      </c>
      <c r="C477" s="17">
        <v>3.3214683079499999E-18</v>
      </c>
      <c r="D477">
        <v>0.60775900000000005</v>
      </c>
      <c r="E477" t="s">
        <v>610</v>
      </c>
      <c r="F477">
        <v>0.76774969915764102</v>
      </c>
      <c r="G477" t="s">
        <v>745</v>
      </c>
      <c r="H477">
        <v>5144</v>
      </c>
      <c r="I477">
        <v>1012</v>
      </c>
      <c r="J477">
        <f t="shared" si="7"/>
        <v>17.478669887057475</v>
      </c>
    </row>
    <row r="478" spans="1:10" x14ac:dyDescent="0.2">
      <c r="A478" t="s">
        <v>542</v>
      </c>
      <c r="B478" t="s">
        <v>94</v>
      </c>
      <c r="C478" s="17">
        <v>2.3747763154200002E-13</v>
      </c>
      <c r="D478">
        <v>0.36734699999999998</v>
      </c>
      <c r="E478" t="s">
        <v>610</v>
      </c>
      <c r="F478">
        <v>0.86666666666666703</v>
      </c>
      <c r="G478" t="s">
        <v>746</v>
      </c>
      <c r="H478">
        <v>5144</v>
      </c>
      <c r="I478">
        <v>1452</v>
      </c>
      <c r="J478">
        <f t="shared" si="7"/>
        <v>12.624377291114387</v>
      </c>
    </row>
    <row r="479" spans="1:10" x14ac:dyDescent="0.2">
      <c r="A479" t="s">
        <v>85</v>
      </c>
      <c r="B479" t="s">
        <v>94</v>
      </c>
      <c r="C479" s="17">
        <v>4.23414570507E-12</v>
      </c>
      <c r="D479">
        <v>0.64016700000000004</v>
      </c>
      <c r="E479" t="s">
        <v>610</v>
      </c>
      <c r="F479">
        <v>0.85207100591716001</v>
      </c>
      <c r="G479" t="s">
        <v>747</v>
      </c>
      <c r="H479">
        <v>5144</v>
      </c>
      <c r="I479">
        <v>1567</v>
      </c>
      <c r="J479">
        <f t="shared" si="7"/>
        <v>11.373234201153853</v>
      </c>
    </row>
    <row r="480" spans="1:10" x14ac:dyDescent="0.2">
      <c r="A480" t="s">
        <v>445</v>
      </c>
      <c r="B480" t="s">
        <v>748</v>
      </c>
      <c r="C480" s="17">
        <v>1.8699408821100002E-27</v>
      </c>
      <c r="D480">
        <v>0.34210499999999999</v>
      </c>
      <c r="E480" t="s">
        <v>610</v>
      </c>
      <c r="F480">
        <v>0.96964285714285703</v>
      </c>
      <c r="G480" t="s">
        <v>749</v>
      </c>
      <c r="H480">
        <v>5241</v>
      </c>
      <c r="I480">
        <v>777</v>
      </c>
      <c r="J480">
        <f t="shared" si="7"/>
        <v>26.728172123398931</v>
      </c>
    </row>
    <row r="481" spans="1:10" x14ac:dyDescent="0.2">
      <c r="A481" t="s">
        <v>527</v>
      </c>
      <c r="B481" t="s">
        <v>748</v>
      </c>
      <c r="C481" s="17">
        <v>3.8595789773500003E-11</v>
      </c>
      <c r="D481">
        <v>0.611765</v>
      </c>
      <c r="E481" t="s">
        <v>610</v>
      </c>
      <c r="F481">
        <v>0.96964285714285703</v>
      </c>
      <c r="G481" t="s">
        <v>749</v>
      </c>
      <c r="H481">
        <v>5241</v>
      </c>
      <c r="I481">
        <v>1638</v>
      </c>
      <c r="J481">
        <f t="shared" si="7"/>
        <v>10.413460067811737</v>
      </c>
    </row>
    <row r="482" spans="1:10" x14ac:dyDescent="0.2">
      <c r="A482" t="s">
        <v>485</v>
      </c>
      <c r="B482" t="s">
        <v>748</v>
      </c>
      <c r="C482" s="17">
        <v>1.83572113571E-16</v>
      </c>
      <c r="D482">
        <v>0.70121900000000004</v>
      </c>
      <c r="E482" t="s">
        <v>610</v>
      </c>
      <c r="F482">
        <v>0.96964285714285703</v>
      </c>
      <c r="G482" t="s">
        <v>749</v>
      </c>
      <c r="H482">
        <v>5241</v>
      </c>
      <c r="I482">
        <v>1259</v>
      </c>
      <c r="J482">
        <f t="shared" si="7"/>
        <v>15.736193291773517</v>
      </c>
    </row>
    <row r="483" spans="1:10" x14ac:dyDescent="0.2">
      <c r="A483" t="s">
        <v>596</v>
      </c>
      <c r="B483" t="s">
        <v>750</v>
      </c>
      <c r="C483" s="17">
        <v>2.8899305171099998E-10</v>
      </c>
      <c r="D483">
        <v>0.36956499999999998</v>
      </c>
      <c r="E483" t="s">
        <v>610</v>
      </c>
      <c r="F483">
        <v>0.230769230769231</v>
      </c>
      <c r="G483" t="s">
        <v>751</v>
      </c>
      <c r="H483">
        <v>5742</v>
      </c>
      <c r="I483">
        <v>1695</v>
      </c>
      <c r="J483">
        <f t="shared" si="7"/>
        <v>9.5391125989038237</v>
      </c>
    </row>
    <row r="484" spans="1:10" x14ac:dyDescent="0.2">
      <c r="A484" t="s">
        <v>528</v>
      </c>
      <c r="B484" t="s">
        <v>750</v>
      </c>
      <c r="C484" s="17">
        <v>1.03291904311E-18</v>
      </c>
      <c r="D484">
        <v>0.369863</v>
      </c>
      <c r="E484" t="s">
        <v>610</v>
      </c>
      <c r="F484">
        <v>0.32746478873239399</v>
      </c>
      <c r="G484" t="s">
        <v>752</v>
      </c>
      <c r="H484">
        <v>5742</v>
      </c>
      <c r="I484">
        <v>1104</v>
      </c>
      <c r="J484">
        <f t="shared" si="7"/>
        <v>17.985933715758591</v>
      </c>
    </row>
    <row r="485" spans="1:10" x14ac:dyDescent="0.2">
      <c r="A485" t="s">
        <v>597</v>
      </c>
      <c r="B485" t="s">
        <v>750</v>
      </c>
      <c r="C485" s="17">
        <v>8.8168318916100009E-50</v>
      </c>
      <c r="D485">
        <v>0.5</v>
      </c>
      <c r="E485" t="s">
        <v>610</v>
      </c>
      <c r="F485">
        <v>0.66153846153846196</v>
      </c>
      <c r="G485" t="s">
        <v>751</v>
      </c>
      <c r="H485">
        <v>5742</v>
      </c>
      <c r="I485">
        <v>323</v>
      </c>
      <c r="J485">
        <f t="shared" si="7"/>
        <v>49.054687439716076</v>
      </c>
    </row>
    <row r="486" spans="1:10" x14ac:dyDescent="0.2">
      <c r="A486" t="s">
        <v>598</v>
      </c>
      <c r="B486" t="s">
        <v>750</v>
      </c>
      <c r="C486" s="17">
        <v>1.46770887727E-19</v>
      </c>
      <c r="D486">
        <v>0.56934300000000004</v>
      </c>
      <c r="E486" t="s">
        <v>610</v>
      </c>
      <c r="F486">
        <v>0.481012658227848</v>
      </c>
      <c r="G486" t="s">
        <v>753</v>
      </c>
      <c r="H486">
        <v>5742</v>
      </c>
      <c r="I486">
        <v>1066</v>
      </c>
      <c r="J486">
        <f t="shared" si="7"/>
        <v>18.833360078979535</v>
      </c>
    </row>
    <row r="487" spans="1:10" x14ac:dyDescent="0.2">
      <c r="A487" t="s">
        <v>439</v>
      </c>
      <c r="B487" t="s">
        <v>750</v>
      </c>
      <c r="C487" s="17">
        <v>5.2736319055399997E-5</v>
      </c>
      <c r="D487">
        <v>0.57926800000000001</v>
      </c>
      <c r="E487" t="s">
        <v>610</v>
      </c>
      <c r="F487">
        <v>0.506329113924051</v>
      </c>
      <c r="G487" t="s">
        <v>753</v>
      </c>
      <c r="H487">
        <v>5742</v>
      </c>
      <c r="I487">
        <v>2267</v>
      </c>
      <c r="J487">
        <f t="shared" si="7"/>
        <v>4.2778901868239183</v>
      </c>
    </row>
    <row r="488" spans="1:10" x14ac:dyDescent="0.2">
      <c r="A488" t="s">
        <v>440</v>
      </c>
      <c r="B488" t="s">
        <v>750</v>
      </c>
      <c r="C488" s="17">
        <v>5.6869157067600004E-12</v>
      </c>
      <c r="D488">
        <v>0.30232599999999998</v>
      </c>
      <c r="E488" t="s">
        <v>610</v>
      </c>
      <c r="F488">
        <v>0.506329113924051</v>
      </c>
      <c r="G488" t="s">
        <v>753</v>
      </c>
      <c r="H488">
        <v>5742</v>
      </c>
      <c r="I488">
        <v>1575</v>
      </c>
      <c r="J488">
        <f t="shared" si="7"/>
        <v>11.245123208948518</v>
      </c>
    </row>
    <row r="489" spans="1:10" x14ac:dyDescent="0.2">
      <c r="A489" t="s">
        <v>599</v>
      </c>
      <c r="B489" t="s">
        <v>750</v>
      </c>
      <c r="C489" s="17">
        <v>1.21377081719E-8</v>
      </c>
      <c r="D489">
        <v>0.39583299999999999</v>
      </c>
      <c r="E489" t="s">
        <v>610</v>
      </c>
      <c r="F489">
        <v>0.481012658227848</v>
      </c>
      <c r="G489" t="s">
        <v>753</v>
      </c>
      <c r="H489">
        <v>5742</v>
      </c>
      <c r="I489">
        <v>1846</v>
      </c>
      <c r="J489">
        <f t="shared" si="7"/>
        <v>7.9158633085045631</v>
      </c>
    </row>
    <row r="490" spans="1:10" x14ac:dyDescent="0.2">
      <c r="A490" t="s">
        <v>529</v>
      </c>
      <c r="B490" t="s">
        <v>750</v>
      </c>
      <c r="C490" s="17">
        <v>1.4449652585599999E-9</v>
      </c>
      <c r="D490">
        <v>0.41666700000000001</v>
      </c>
      <c r="E490" t="s">
        <v>610</v>
      </c>
      <c r="F490">
        <v>0.65845070422535201</v>
      </c>
      <c r="G490" t="s">
        <v>752</v>
      </c>
      <c r="H490">
        <v>5742</v>
      </c>
      <c r="I490">
        <v>396</v>
      </c>
      <c r="J490">
        <f t="shared" si="7"/>
        <v>8.8401425945663021</v>
      </c>
    </row>
    <row r="491" spans="1:10" x14ac:dyDescent="0.2">
      <c r="A491" t="s">
        <v>596</v>
      </c>
      <c r="B491" t="s">
        <v>754</v>
      </c>
      <c r="C491" s="17">
        <v>4.3325774127899999E-13</v>
      </c>
      <c r="D491">
        <v>0.36956499999999998</v>
      </c>
      <c r="E491" t="s">
        <v>610</v>
      </c>
      <c r="F491">
        <v>0.125</v>
      </c>
      <c r="G491" t="s">
        <v>755</v>
      </c>
      <c r="H491">
        <v>5743</v>
      </c>
      <c r="I491">
        <v>1476</v>
      </c>
      <c r="J491">
        <f t="shared" si="7"/>
        <v>12.363253668741645</v>
      </c>
    </row>
    <row r="492" spans="1:10" x14ac:dyDescent="0.2">
      <c r="A492" t="s">
        <v>528</v>
      </c>
      <c r="B492" t="s">
        <v>754</v>
      </c>
      <c r="C492" s="17">
        <v>9.6512119549499999E-6</v>
      </c>
      <c r="D492">
        <v>0.42029</v>
      </c>
      <c r="E492" t="s">
        <v>610</v>
      </c>
      <c r="F492">
        <v>0.137017411052233</v>
      </c>
      <c r="G492" t="s">
        <v>756</v>
      </c>
      <c r="H492">
        <v>5743</v>
      </c>
      <c r="I492">
        <v>2184</v>
      </c>
      <c r="J492">
        <f t="shared" si="7"/>
        <v>5.0154181465217311</v>
      </c>
    </row>
    <row r="493" spans="1:10" x14ac:dyDescent="0.2">
      <c r="A493" t="s">
        <v>597</v>
      </c>
      <c r="B493" t="s">
        <v>754</v>
      </c>
      <c r="C493" s="17">
        <v>3.1570224234799999E-13</v>
      </c>
      <c r="D493">
        <v>0.42553200000000002</v>
      </c>
      <c r="E493" t="s">
        <v>610</v>
      </c>
      <c r="F493">
        <v>0.34482758620689702</v>
      </c>
      <c r="G493" t="s">
        <v>757</v>
      </c>
      <c r="H493">
        <v>5743</v>
      </c>
      <c r="I493">
        <v>271</v>
      </c>
      <c r="J493">
        <f t="shared" si="7"/>
        <v>12.500722333420091</v>
      </c>
    </row>
    <row r="494" spans="1:10" x14ac:dyDescent="0.2">
      <c r="A494" t="s">
        <v>439</v>
      </c>
      <c r="B494" t="s">
        <v>754</v>
      </c>
      <c r="C494" s="17">
        <v>2.8899305171099998E-10</v>
      </c>
      <c r="D494">
        <v>0.60124599999999995</v>
      </c>
      <c r="E494" t="s">
        <v>610</v>
      </c>
      <c r="F494">
        <v>0.85314155942467795</v>
      </c>
      <c r="G494" t="s">
        <v>756</v>
      </c>
      <c r="H494">
        <v>5743</v>
      </c>
      <c r="I494">
        <v>1715</v>
      </c>
      <c r="J494">
        <f t="shared" si="7"/>
        <v>9.5391125989038237</v>
      </c>
    </row>
    <row r="495" spans="1:10" x14ac:dyDescent="0.2">
      <c r="A495" t="s">
        <v>531</v>
      </c>
      <c r="B495" t="s">
        <v>754</v>
      </c>
      <c r="C495" s="17">
        <v>3.1784811065399999E-12</v>
      </c>
      <c r="D495">
        <v>0.41379300000000002</v>
      </c>
      <c r="E495" t="s">
        <v>610</v>
      </c>
      <c r="F495">
        <v>0.85314155942467795</v>
      </c>
      <c r="G495" t="s">
        <v>756</v>
      </c>
      <c r="H495">
        <v>5743</v>
      </c>
      <c r="I495">
        <v>1544</v>
      </c>
      <c r="J495">
        <f t="shared" si="7"/>
        <v>11.497780365749902</v>
      </c>
    </row>
    <row r="496" spans="1:10" x14ac:dyDescent="0.2">
      <c r="A496" t="s">
        <v>513</v>
      </c>
      <c r="B496" t="s">
        <v>293</v>
      </c>
      <c r="C496" s="17">
        <v>2.20082658531E-6</v>
      </c>
      <c r="D496">
        <v>0.519231</v>
      </c>
      <c r="E496" t="s">
        <v>610</v>
      </c>
      <c r="F496">
        <v>0.16666666666666699</v>
      </c>
      <c r="G496" t="s">
        <v>758</v>
      </c>
      <c r="H496">
        <v>6331</v>
      </c>
      <c r="I496">
        <v>2099</v>
      </c>
      <c r="J496">
        <f t="shared" si="7"/>
        <v>5.6574141764425745</v>
      </c>
    </row>
    <row r="497" spans="1:10" x14ac:dyDescent="0.2">
      <c r="A497" t="s">
        <v>419</v>
      </c>
      <c r="B497" t="s">
        <v>759</v>
      </c>
      <c r="C497" s="17">
        <v>2.8148663369400001E-71</v>
      </c>
      <c r="D497">
        <v>0.633907</v>
      </c>
      <c r="E497" t="s">
        <v>610</v>
      </c>
      <c r="F497">
        <v>0.98581560283687897</v>
      </c>
      <c r="G497" t="s">
        <v>760</v>
      </c>
      <c r="H497">
        <v>2030</v>
      </c>
      <c r="I497">
        <v>185</v>
      </c>
      <c r="J497">
        <f t="shared" si="7"/>
        <v>70.550542222662585</v>
      </c>
    </row>
    <row r="498" spans="1:10" x14ac:dyDescent="0.2">
      <c r="A498" t="s">
        <v>423</v>
      </c>
      <c r="B498" t="s">
        <v>759</v>
      </c>
      <c r="C498" s="17">
        <v>6.6455881580399898E-43</v>
      </c>
      <c r="D498">
        <v>0.35593200000000003</v>
      </c>
      <c r="E498" t="s">
        <v>610</v>
      </c>
      <c r="F498">
        <v>0.98581560283687897</v>
      </c>
      <c r="G498" t="s">
        <v>760</v>
      </c>
      <c r="H498">
        <v>2030</v>
      </c>
      <c r="I498">
        <v>412</v>
      </c>
      <c r="J498">
        <f t="shared" si="7"/>
        <v>42.177466576423654</v>
      </c>
    </row>
    <row r="499" spans="1:10" x14ac:dyDescent="0.2">
      <c r="A499" t="s">
        <v>533</v>
      </c>
      <c r="B499" t="s">
        <v>761</v>
      </c>
      <c r="C499" s="17">
        <v>4.7659850386699904E-37</v>
      </c>
      <c r="D499">
        <v>0.64705900000000005</v>
      </c>
      <c r="E499" t="s">
        <v>610</v>
      </c>
      <c r="F499">
        <v>0.87040618955512605</v>
      </c>
      <c r="G499" t="s">
        <v>762</v>
      </c>
      <c r="H499">
        <v>6530</v>
      </c>
      <c r="I499">
        <v>37</v>
      </c>
      <c r="J499">
        <f t="shared" si="7"/>
        <v>36.321847325320086</v>
      </c>
    </row>
    <row r="500" spans="1:10" x14ac:dyDescent="0.2">
      <c r="A500" t="s">
        <v>72</v>
      </c>
      <c r="B500" t="s">
        <v>761</v>
      </c>
      <c r="C500" s="17">
        <v>1.21377081719E-8</v>
      </c>
      <c r="D500">
        <v>0.75568199999999996</v>
      </c>
      <c r="E500" t="s">
        <v>610</v>
      </c>
      <c r="F500">
        <v>0.87040618955512605</v>
      </c>
      <c r="G500" t="s">
        <v>762</v>
      </c>
      <c r="H500">
        <v>6530</v>
      </c>
      <c r="I500">
        <v>1845</v>
      </c>
      <c r="J500">
        <f t="shared" si="7"/>
        <v>7.9158633085045631</v>
      </c>
    </row>
    <row r="501" spans="1:10" x14ac:dyDescent="0.2">
      <c r="A501" t="s">
        <v>501</v>
      </c>
      <c r="B501" t="s">
        <v>761</v>
      </c>
      <c r="C501" s="17">
        <v>5.6452914196999997E-5</v>
      </c>
      <c r="D501">
        <v>0.56216200000000005</v>
      </c>
      <c r="E501" t="s">
        <v>610</v>
      </c>
      <c r="F501">
        <v>0.87040618955512605</v>
      </c>
      <c r="G501" t="s">
        <v>762</v>
      </c>
      <c r="H501">
        <v>6530</v>
      </c>
      <c r="I501">
        <v>2272</v>
      </c>
      <c r="J501">
        <f t="shared" si="7"/>
        <v>4.2483136341285794</v>
      </c>
    </row>
    <row r="502" spans="1:10" x14ac:dyDescent="0.2">
      <c r="A502" t="s">
        <v>534</v>
      </c>
      <c r="B502" t="s">
        <v>761</v>
      </c>
      <c r="C502" s="17">
        <v>6.8780490803800002E-5</v>
      </c>
      <c r="D502">
        <v>0.61963199999999996</v>
      </c>
      <c r="E502" t="s">
        <v>610</v>
      </c>
      <c r="F502">
        <v>0.87040618955512605</v>
      </c>
      <c r="G502" t="s">
        <v>762</v>
      </c>
      <c r="H502">
        <v>6530</v>
      </c>
      <c r="I502">
        <v>2284</v>
      </c>
      <c r="J502">
        <f t="shared" si="7"/>
        <v>4.1625347294645501</v>
      </c>
    </row>
    <row r="503" spans="1:10" x14ac:dyDescent="0.2">
      <c r="A503" t="s">
        <v>40</v>
      </c>
      <c r="B503" t="s">
        <v>761</v>
      </c>
      <c r="C503" s="17">
        <v>1.2784410753E-11</v>
      </c>
      <c r="D503">
        <v>0.67391299999999998</v>
      </c>
      <c r="E503" t="s">
        <v>610</v>
      </c>
      <c r="F503">
        <v>0.87040618955512605</v>
      </c>
      <c r="G503" t="s">
        <v>762</v>
      </c>
      <c r="H503">
        <v>6530</v>
      </c>
      <c r="I503">
        <v>843</v>
      </c>
      <c r="J503">
        <f t="shared" si="7"/>
        <v>10.893319284267916</v>
      </c>
    </row>
    <row r="504" spans="1:10" x14ac:dyDescent="0.2">
      <c r="A504" t="s">
        <v>111</v>
      </c>
      <c r="B504" t="s">
        <v>761</v>
      </c>
      <c r="C504" s="17">
        <v>2.5888631823700001E-13</v>
      </c>
      <c r="D504">
        <v>0.69333299999999998</v>
      </c>
      <c r="E504" t="s">
        <v>610</v>
      </c>
      <c r="F504">
        <v>0.87040618955512605</v>
      </c>
      <c r="G504" t="s">
        <v>762</v>
      </c>
      <c r="H504">
        <v>6530</v>
      </c>
      <c r="I504">
        <v>1456</v>
      </c>
      <c r="J504">
        <f t="shared" si="7"/>
        <v>12.586890900786377</v>
      </c>
    </row>
    <row r="505" spans="1:10" x14ac:dyDescent="0.2">
      <c r="A505" t="s">
        <v>535</v>
      </c>
      <c r="B505" t="s">
        <v>761</v>
      </c>
      <c r="C505" s="17">
        <v>3.7589037243E-5</v>
      </c>
      <c r="D505">
        <v>0.418182</v>
      </c>
      <c r="E505" t="s">
        <v>610</v>
      </c>
      <c r="F505">
        <v>0.87040618955512605</v>
      </c>
      <c r="G505" t="s">
        <v>762</v>
      </c>
      <c r="H505">
        <v>6530</v>
      </c>
      <c r="I505">
        <v>2245</v>
      </c>
      <c r="J505">
        <f t="shared" si="7"/>
        <v>4.4249387976010865</v>
      </c>
    </row>
    <row r="506" spans="1:10" x14ac:dyDescent="0.2">
      <c r="A506" t="s">
        <v>13</v>
      </c>
      <c r="B506" t="s">
        <v>761</v>
      </c>
      <c r="C506" s="17">
        <v>5.17356825440999E-14</v>
      </c>
      <c r="D506">
        <v>0.608491</v>
      </c>
      <c r="E506" t="s">
        <v>610</v>
      </c>
      <c r="F506">
        <v>0.87040618955512605</v>
      </c>
      <c r="G506" t="s">
        <v>762</v>
      </c>
      <c r="H506">
        <v>6530</v>
      </c>
      <c r="I506">
        <v>493</v>
      </c>
      <c r="J506">
        <f t="shared" si="7"/>
        <v>13.28620981693199</v>
      </c>
    </row>
    <row r="507" spans="1:10" x14ac:dyDescent="0.2">
      <c r="A507" t="s">
        <v>73</v>
      </c>
      <c r="B507" t="s">
        <v>761</v>
      </c>
      <c r="C507" s="17">
        <v>8.4546362243400003E-6</v>
      </c>
      <c r="D507">
        <v>0.84905699999999995</v>
      </c>
      <c r="E507" t="s">
        <v>610</v>
      </c>
      <c r="F507">
        <v>0.87040618955512605</v>
      </c>
      <c r="G507" t="s">
        <v>762</v>
      </c>
      <c r="H507">
        <v>6530</v>
      </c>
      <c r="I507">
        <v>2179</v>
      </c>
      <c r="J507">
        <f t="shared" si="7"/>
        <v>5.0729050739515795</v>
      </c>
    </row>
    <row r="508" spans="1:10" x14ac:dyDescent="0.2">
      <c r="A508" t="s">
        <v>476</v>
      </c>
      <c r="B508" t="s">
        <v>761</v>
      </c>
      <c r="C508" s="17">
        <v>2.5596995282199998E-77</v>
      </c>
      <c r="D508">
        <v>0.670103</v>
      </c>
      <c r="E508" t="s">
        <v>610</v>
      </c>
      <c r="F508">
        <v>0.87040618955512605</v>
      </c>
      <c r="G508" t="s">
        <v>762</v>
      </c>
      <c r="H508">
        <v>6530</v>
      </c>
      <c r="I508">
        <v>53</v>
      </c>
      <c r="J508">
        <f t="shared" si="7"/>
        <v>76.591811011600157</v>
      </c>
    </row>
    <row r="509" spans="1:10" x14ac:dyDescent="0.2">
      <c r="A509" t="s">
        <v>508</v>
      </c>
      <c r="B509" t="s">
        <v>761</v>
      </c>
      <c r="C509" s="17">
        <v>5.1620590157300003E-12</v>
      </c>
      <c r="D509">
        <v>0.53921600000000003</v>
      </c>
      <c r="E509" t="s">
        <v>610</v>
      </c>
      <c r="F509">
        <v>0.87040618955512605</v>
      </c>
      <c r="G509" t="s">
        <v>762</v>
      </c>
      <c r="H509">
        <v>6530</v>
      </c>
      <c r="I509">
        <v>344</v>
      </c>
      <c r="J509">
        <f t="shared" si="7"/>
        <v>11.287177034650853</v>
      </c>
    </row>
    <row r="510" spans="1:10" x14ac:dyDescent="0.2">
      <c r="A510" t="s">
        <v>533</v>
      </c>
      <c r="B510" t="s">
        <v>763</v>
      </c>
      <c r="C510" s="17">
        <v>1.2327482607100001E-100</v>
      </c>
      <c r="D510">
        <v>0.64705900000000005</v>
      </c>
      <c r="E510" t="s">
        <v>610</v>
      </c>
      <c r="F510">
        <v>0.82107574094401803</v>
      </c>
      <c r="G510" t="s">
        <v>764</v>
      </c>
      <c r="H510">
        <v>6531</v>
      </c>
      <c r="I510">
        <v>8</v>
      </c>
      <c r="J510">
        <f t="shared" si="7"/>
        <v>99.909125601544403</v>
      </c>
    </row>
    <row r="511" spans="1:10" x14ac:dyDescent="0.2">
      <c r="A511" t="s">
        <v>534</v>
      </c>
      <c r="B511" t="s">
        <v>763</v>
      </c>
      <c r="C511" s="17">
        <v>3.7569096722499999E-9</v>
      </c>
      <c r="D511">
        <v>0.61963199999999996</v>
      </c>
      <c r="E511" t="s">
        <v>610</v>
      </c>
      <c r="F511">
        <v>0.82107574094401803</v>
      </c>
      <c r="G511" t="s">
        <v>764</v>
      </c>
      <c r="H511">
        <v>6531</v>
      </c>
      <c r="I511">
        <v>1199</v>
      </c>
      <c r="J511">
        <f t="shared" si="7"/>
        <v>8.4251692465961785</v>
      </c>
    </row>
    <row r="512" spans="1:10" x14ac:dyDescent="0.2">
      <c r="A512" t="s">
        <v>40</v>
      </c>
      <c r="B512" t="s">
        <v>763</v>
      </c>
      <c r="C512" s="17">
        <v>2.47179250588E-36</v>
      </c>
      <c r="D512">
        <v>0.731132</v>
      </c>
      <c r="E512" t="s">
        <v>610</v>
      </c>
      <c r="F512">
        <v>0.82107574094401803</v>
      </c>
      <c r="G512" t="s">
        <v>764</v>
      </c>
      <c r="H512">
        <v>6531</v>
      </c>
      <c r="I512">
        <v>51</v>
      </c>
      <c r="J512">
        <f t="shared" si="7"/>
        <v>35.606987988815227</v>
      </c>
    </row>
    <row r="513" spans="1:10" x14ac:dyDescent="0.2">
      <c r="A513" t="s">
        <v>111</v>
      </c>
      <c r="B513" t="s">
        <v>763</v>
      </c>
      <c r="C513" s="17">
        <v>2.9887075947299999E-12</v>
      </c>
      <c r="D513">
        <v>0.67441899999999999</v>
      </c>
      <c r="E513" t="s">
        <v>610</v>
      </c>
      <c r="F513">
        <v>0.82107574094401803</v>
      </c>
      <c r="G513" t="s">
        <v>764</v>
      </c>
      <c r="H513">
        <v>6531</v>
      </c>
      <c r="I513">
        <v>1541</v>
      </c>
      <c r="J513">
        <f t="shared" si="7"/>
        <v>11.524516572818591</v>
      </c>
    </row>
    <row r="514" spans="1:10" x14ac:dyDescent="0.2">
      <c r="A514" t="s">
        <v>116</v>
      </c>
      <c r="B514" t="s">
        <v>763</v>
      </c>
      <c r="C514" s="17">
        <v>1.13877712027E-6</v>
      </c>
      <c r="D514">
        <v>0.34567900000000001</v>
      </c>
      <c r="E514" t="s">
        <v>610</v>
      </c>
      <c r="F514">
        <v>0.82107574094401803</v>
      </c>
      <c r="G514" t="s">
        <v>764</v>
      </c>
      <c r="H514">
        <v>6531</v>
      </c>
      <c r="I514">
        <v>930</v>
      </c>
      <c r="J514">
        <f t="shared" si="7"/>
        <v>5.9435612670610025</v>
      </c>
    </row>
    <row r="515" spans="1:10" x14ac:dyDescent="0.2">
      <c r="A515" t="s">
        <v>57</v>
      </c>
      <c r="B515" t="s">
        <v>763</v>
      </c>
      <c r="C515" s="17">
        <v>9.6812672323300002E-9</v>
      </c>
      <c r="D515">
        <v>0.42105300000000001</v>
      </c>
      <c r="E515" t="s">
        <v>610</v>
      </c>
      <c r="F515">
        <v>0.94952951240376404</v>
      </c>
      <c r="G515" t="s">
        <v>765</v>
      </c>
      <c r="H515">
        <v>6531</v>
      </c>
      <c r="I515">
        <v>1832</v>
      </c>
      <c r="J515">
        <f t="shared" ref="J515:J540" si="8">-LOG10(C515)</f>
        <v>8.0140677918664629</v>
      </c>
    </row>
    <row r="516" spans="1:10" x14ac:dyDescent="0.2">
      <c r="A516" t="s">
        <v>516</v>
      </c>
      <c r="B516" t="s">
        <v>763</v>
      </c>
      <c r="C516" s="17">
        <v>3.7006698843000003E-12</v>
      </c>
      <c r="D516">
        <v>0.42307699999999998</v>
      </c>
      <c r="E516" t="s">
        <v>610</v>
      </c>
      <c r="F516">
        <v>0.82107574094401803</v>
      </c>
      <c r="G516" t="s">
        <v>764</v>
      </c>
      <c r="H516">
        <v>6531</v>
      </c>
      <c r="I516">
        <v>455</v>
      </c>
      <c r="J516">
        <f t="shared" si="8"/>
        <v>11.431719654116238</v>
      </c>
    </row>
    <row r="517" spans="1:10" x14ac:dyDescent="0.2">
      <c r="A517" t="s">
        <v>476</v>
      </c>
      <c r="B517" t="s">
        <v>763</v>
      </c>
      <c r="C517" s="17">
        <v>4.9784963821800002E-120</v>
      </c>
      <c r="D517">
        <v>0.670103</v>
      </c>
      <c r="E517" t="s">
        <v>610</v>
      </c>
      <c r="F517">
        <v>0.82107574094401803</v>
      </c>
      <c r="G517" t="s">
        <v>764</v>
      </c>
      <c r="H517">
        <v>6531</v>
      </c>
      <c r="I517">
        <v>25</v>
      </c>
      <c r="J517">
        <f t="shared" si="8"/>
        <v>119.30290180413274</v>
      </c>
    </row>
    <row r="518" spans="1:10" x14ac:dyDescent="0.2">
      <c r="A518" t="s">
        <v>508</v>
      </c>
      <c r="B518" t="s">
        <v>763</v>
      </c>
      <c r="C518" s="17">
        <v>4.0386253671800001E-47</v>
      </c>
      <c r="D518">
        <v>0.55696199999999996</v>
      </c>
      <c r="E518" t="s">
        <v>610</v>
      </c>
      <c r="F518">
        <v>0.82107574094401803</v>
      </c>
      <c r="G518" t="s">
        <v>764</v>
      </c>
      <c r="H518">
        <v>6531</v>
      </c>
      <c r="I518">
        <v>121</v>
      </c>
      <c r="J518">
        <f t="shared" si="8"/>
        <v>46.393766431185668</v>
      </c>
    </row>
    <row r="519" spans="1:10" x14ac:dyDescent="0.2">
      <c r="A519" t="s">
        <v>453</v>
      </c>
      <c r="B519" t="s">
        <v>763</v>
      </c>
      <c r="C519" s="17">
        <v>7.1670276824400003E-8</v>
      </c>
      <c r="D519">
        <v>0.75287400000000004</v>
      </c>
      <c r="E519" t="s">
        <v>610</v>
      </c>
      <c r="F519">
        <v>0.94952951240376404</v>
      </c>
      <c r="G519" t="s">
        <v>765</v>
      </c>
      <c r="H519">
        <v>6531</v>
      </c>
      <c r="I519">
        <v>1926</v>
      </c>
      <c r="J519">
        <f t="shared" si="8"/>
        <v>7.1446609180771707</v>
      </c>
    </row>
    <row r="520" spans="1:10" x14ac:dyDescent="0.2">
      <c r="A520" t="s">
        <v>479</v>
      </c>
      <c r="B520" t="s">
        <v>766</v>
      </c>
      <c r="C520" s="17">
        <v>1.4449652585599999E-10</v>
      </c>
      <c r="D520">
        <v>0.69318199999999996</v>
      </c>
      <c r="E520" t="s">
        <v>610</v>
      </c>
      <c r="F520">
        <v>0.76704208654416095</v>
      </c>
      <c r="G520" t="s">
        <v>767</v>
      </c>
      <c r="H520">
        <v>6532</v>
      </c>
      <c r="I520">
        <v>1656</v>
      </c>
      <c r="J520">
        <f t="shared" si="8"/>
        <v>9.8401425945663021</v>
      </c>
    </row>
    <row r="521" spans="1:10" x14ac:dyDescent="0.2">
      <c r="A521" t="s">
        <v>533</v>
      </c>
      <c r="B521" t="s">
        <v>766</v>
      </c>
      <c r="C521" s="17">
        <v>1.49068374734E-47</v>
      </c>
      <c r="D521">
        <v>0.64705900000000005</v>
      </c>
      <c r="E521" t="s">
        <v>610</v>
      </c>
      <c r="F521">
        <v>0.76704208654416095</v>
      </c>
      <c r="G521" t="s">
        <v>767</v>
      </c>
      <c r="H521">
        <v>6532</v>
      </c>
      <c r="I521">
        <v>346</v>
      </c>
      <c r="J521">
        <f t="shared" si="8"/>
        <v>46.826614483544553</v>
      </c>
    </row>
    <row r="522" spans="1:10" x14ac:dyDescent="0.2">
      <c r="A522" t="s">
        <v>19</v>
      </c>
      <c r="B522" t="s">
        <v>766</v>
      </c>
      <c r="C522" s="17">
        <v>1.4093179656299999E-5</v>
      </c>
      <c r="D522">
        <v>0.60827200000000003</v>
      </c>
      <c r="E522" t="s">
        <v>610</v>
      </c>
      <c r="F522">
        <v>0.76704208654416095</v>
      </c>
      <c r="G522" t="s">
        <v>767</v>
      </c>
      <c r="H522">
        <v>6532</v>
      </c>
      <c r="I522">
        <v>2201</v>
      </c>
      <c r="J522">
        <f t="shared" si="8"/>
        <v>4.8509910117596373</v>
      </c>
    </row>
    <row r="523" spans="1:10" x14ac:dyDescent="0.2">
      <c r="A523" t="s">
        <v>501</v>
      </c>
      <c r="B523" t="s">
        <v>766</v>
      </c>
      <c r="C523" s="17">
        <v>2.31194441369E-9</v>
      </c>
      <c r="D523">
        <v>0.56756799999999996</v>
      </c>
      <c r="E523" t="s">
        <v>610</v>
      </c>
      <c r="F523">
        <v>0.76704208654416095</v>
      </c>
      <c r="G523" t="s">
        <v>767</v>
      </c>
      <c r="H523">
        <v>6532</v>
      </c>
      <c r="I523">
        <v>1772</v>
      </c>
      <c r="J523">
        <f t="shared" si="8"/>
        <v>8.6360226119115051</v>
      </c>
    </row>
    <row r="524" spans="1:10" x14ac:dyDescent="0.2">
      <c r="A524" t="s">
        <v>20</v>
      </c>
      <c r="B524" t="s">
        <v>766</v>
      </c>
      <c r="C524" s="17">
        <v>6.4125786568699901E-14</v>
      </c>
      <c r="D524">
        <v>0.64827599999999996</v>
      </c>
      <c r="E524" t="s">
        <v>610</v>
      </c>
      <c r="F524">
        <v>0.76704208654416095</v>
      </c>
      <c r="G524" t="s">
        <v>767</v>
      </c>
      <c r="H524">
        <v>6532</v>
      </c>
      <c r="I524">
        <v>1406</v>
      </c>
      <c r="J524">
        <f t="shared" si="8"/>
        <v>13.192967294779137</v>
      </c>
    </row>
    <row r="525" spans="1:10" x14ac:dyDescent="0.2">
      <c r="A525" t="s">
        <v>108</v>
      </c>
      <c r="B525" t="s">
        <v>766</v>
      </c>
      <c r="C525" s="17">
        <v>2.4018432297099999E-15</v>
      </c>
      <c r="D525">
        <v>0.61111099999999996</v>
      </c>
      <c r="E525" t="s">
        <v>610</v>
      </c>
      <c r="F525">
        <v>0.76704208654416095</v>
      </c>
      <c r="G525" t="s">
        <v>767</v>
      </c>
      <c r="H525">
        <v>6532</v>
      </c>
      <c r="I525">
        <v>1316</v>
      </c>
      <c r="J525">
        <f t="shared" si="8"/>
        <v>14.619455342767329</v>
      </c>
    </row>
    <row r="526" spans="1:10" x14ac:dyDescent="0.2">
      <c r="A526" t="s">
        <v>449</v>
      </c>
      <c r="B526" t="s">
        <v>766</v>
      </c>
      <c r="C526" s="17">
        <v>4.1020216042899999E-22</v>
      </c>
      <c r="D526">
        <v>0.71</v>
      </c>
      <c r="E526" t="s">
        <v>610</v>
      </c>
      <c r="F526">
        <v>0.76704208654416095</v>
      </c>
      <c r="G526" t="s">
        <v>767</v>
      </c>
      <c r="H526">
        <v>6532</v>
      </c>
      <c r="I526">
        <v>950</v>
      </c>
      <c r="J526">
        <f t="shared" si="8"/>
        <v>21.387002056644583</v>
      </c>
    </row>
    <row r="527" spans="1:10" x14ac:dyDescent="0.2">
      <c r="A527" t="s">
        <v>73</v>
      </c>
      <c r="B527" t="s">
        <v>766</v>
      </c>
      <c r="C527" s="17">
        <v>5.7798610342299998E-8</v>
      </c>
      <c r="D527">
        <v>0.62992099999999995</v>
      </c>
      <c r="E527" t="s">
        <v>610</v>
      </c>
      <c r="F527">
        <v>0.76704208654416095</v>
      </c>
      <c r="G527" t="s">
        <v>767</v>
      </c>
      <c r="H527">
        <v>6532</v>
      </c>
      <c r="I527">
        <v>1922</v>
      </c>
      <c r="J527">
        <f t="shared" si="8"/>
        <v>7.238082603239091</v>
      </c>
    </row>
    <row r="528" spans="1:10" x14ac:dyDescent="0.2">
      <c r="A528" t="s">
        <v>480</v>
      </c>
      <c r="B528" t="s">
        <v>766</v>
      </c>
      <c r="C528" s="17">
        <v>1.54957056708E-20</v>
      </c>
      <c r="D528">
        <v>0.68604699999999996</v>
      </c>
      <c r="E528" t="s">
        <v>610</v>
      </c>
      <c r="F528">
        <v>0.76704208654416095</v>
      </c>
      <c r="G528" t="s">
        <v>767</v>
      </c>
      <c r="H528">
        <v>6532</v>
      </c>
      <c r="I528">
        <v>1025</v>
      </c>
      <c r="J528">
        <f t="shared" si="8"/>
        <v>19.809788641305556</v>
      </c>
    </row>
    <row r="529" spans="1:10" x14ac:dyDescent="0.2">
      <c r="A529" t="s">
        <v>476</v>
      </c>
      <c r="B529" t="s">
        <v>766</v>
      </c>
      <c r="C529" s="17">
        <v>5.2310852823199897E-59</v>
      </c>
      <c r="D529">
        <v>0.62105299999999997</v>
      </c>
      <c r="E529" t="s">
        <v>610</v>
      </c>
      <c r="F529">
        <v>0.76704208654416095</v>
      </c>
      <c r="G529" t="s">
        <v>767</v>
      </c>
      <c r="H529">
        <v>6532</v>
      </c>
      <c r="I529">
        <v>247</v>
      </c>
      <c r="J529">
        <f t="shared" si="8"/>
        <v>58.281408199617168</v>
      </c>
    </row>
    <row r="530" spans="1:10" x14ac:dyDescent="0.2">
      <c r="A530" t="s">
        <v>536</v>
      </c>
      <c r="B530" t="s">
        <v>766</v>
      </c>
      <c r="C530" s="17">
        <v>2.3986423292E-8</v>
      </c>
      <c r="D530">
        <v>0.51176500000000003</v>
      </c>
      <c r="E530" t="s">
        <v>610</v>
      </c>
      <c r="F530">
        <v>0.85294117647058798</v>
      </c>
      <c r="G530" t="s">
        <v>768</v>
      </c>
      <c r="H530">
        <v>6532</v>
      </c>
      <c r="I530">
        <v>1881</v>
      </c>
      <c r="J530">
        <f t="shared" si="8"/>
        <v>7.6200345065279853</v>
      </c>
    </row>
    <row r="531" spans="1:10" x14ac:dyDescent="0.2">
      <c r="A531" t="s">
        <v>508</v>
      </c>
      <c r="B531" t="s">
        <v>766</v>
      </c>
      <c r="C531" s="17">
        <v>4.8972878237599998E-20</v>
      </c>
      <c r="D531">
        <v>0.55520499999999995</v>
      </c>
      <c r="E531" t="s">
        <v>610</v>
      </c>
      <c r="F531">
        <v>0.76704208654416095</v>
      </c>
      <c r="G531" t="s">
        <v>767</v>
      </c>
      <c r="H531">
        <v>6532</v>
      </c>
      <c r="I531">
        <v>1047</v>
      </c>
      <c r="J531">
        <f t="shared" si="8"/>
        <v>19.310044370844473</v>
      </c>
    </row>
    <row r="532" spans="1:10" x14ac:dyDescent="0.2">
      <c r="A532" t="s">
        <v>477</v>
      </c>
      <c r="B532" t="s">
        <v>766</v>
      </c>
      <c r="C532" s="17">
        <v>1.9426112936000001E-6</v>
      </c>
      <c r="D532">
        <v>0.66995099999999996</v>
      </c>
      <c r="E532" t="s">
        <v>610</v>
      </c>
      <c r="F532">
        <v>0.76704208654416095</v>
      </c>
      <c r="G532" t="s">
        <v>767</v>
      </c>
      <c r="H532">
        <v>6532</v>
      </c>
      <c r="I532">
        <v>2088</v>
      </c>
      <c r="J532">
        <f t="shared" si="8"/>
        <v>5.7116140907706647</v>
      </c>
    </row>
    <row r="533" spans="1:10" x14ac:dyDescent="0.2">
      <c r="A533" t="s">
        <v>439</v>
      </c>
      <c r="B533" t="s">
        <v>769</v>
      </c>
      <c r="C533" s="17">
        <v>4.2651162667399997E-22</v>
      </c>
      <c r="D533">
        <v>0.65480400000000005</v>
      </c>
      <c r="E533" t="s">
        <v>610</v>
      </c>
      <c r="F533">
        <v>0.39926962872793698</v>
      </c>
      <c r="G533" t="s">
        <v>770</v>
      </c>
      <c r="H533">
        <v>6869</v>
      </c>
      <c r="I533">
        <v>951</v>
      </c>
      <c r="J533">
        <f t="shared" si="8"/>
        <v>21.370069125501061</v>
      </c>
    </row>
    <row r="534" spans="1:10" x14ac:dyDescent="0.2">
      <c r="A534" t="s">
        <v>538</v>
      </c>
      <c r="B534" t="s">
        <v>771</v>
      </c>
      <c r="C534" s="17">
        <v>2.1862324362E-7</v>
      </c>
      <c r="D534">
        <v>0.57191800000000004</v>
      </c>
      <c r="E534" t="s">
        <v>610</v>
      </c>
      <c r="F534">
        <v>0.79104477611940305</v>
      </c>
      <c r="G534" t="s">
        <v>772</v>
      </c>
      <c r="H534">
        <v>6915</v>
      </c>
      <c r="I534">
        <v>1975</v>
      </c>
      <c r="J534">
        <f t="shared" si="8"/>
        <v>6.6603036665433697</v>
      </c>
    </row>
    <row r="535" spans="1:10" x14ac:dyDescent="0.2">
      <c r="A535" t="s">
        <v>539</v>
      </c>
      <c r="B535" t="s">
        <v>771</v>
      </c>
      <c r="C535" s="17">
        <v>3.4680975871700001E-28</v>
      </c>
      <c r="D535">
        <v>0.50769200000000003</v>
      </c>
      <c r="E535" t="s">
        <v>610</v>
      </c>
      <c r="F535">
        <v>0.5</v>
      </c>
      <c r="G535" t="s">
        <v>773</v>
      </c>
      <c r="H535">
        <v>6915</v>
      </c>
      <c r="I535">
        <v>758</v>
      </c>
      <c r="J535">
        <f t="shared" si="8"/>
        <v>27.459908690615332</v>
      </c>
    </row>
    <row r="536" spans="1:10" x14ac:dyDescent="0.2">
      <c r="A536" t="s">
        <v>528</v>
      </c>
      <c r="B536" t="s">
        <v>771</v>
      </c>
      <c r="C536" s="17">
        <v>1.5750121318300001E-8</v>
      </c>
      <c r="D536">
        <v>0.446154</v>
      </c>
      <c r="E536" t="s">
        <v>610</v>
      </c>
      <c r="F536">
        <v>0.79104477611940305</v>
      </c>
      <c r="G536" t="s">
        <v>772</v>
      </c>
      <c r="H536">
        <v>6915</v>
      </c>
      <c r="I536">
        <v>1859</v>
      </c>
      <c r="J536">
        <f t="shared" si="8"/>
        <v>7.8027160966257885</v>
      </c>
    </row>
    <row r="537" spans="1:10" x14ac:dyDescent="0.2">
      <c r="A537" t="s">
        <v>540</v>
      </c>
      <c r="B537" t="s">
        <v>771</v>
      </c>
      <c r="C537" s="17">
        <v>2.2782767231699999E-5</v>
      </c>
      <c r="D537">
        <v>0.41304299999999999</v>
      </c>
      <c r="E537" t="s">
        <v>610</v>
      </c>
      <c r="F537">
        <v>0.79104477611940305</v>
      </c>
      <c r="G537" t="s">
        <v>772</v>
      </c>
      <c r="H537">
        <v>6915</v>
      </c>
      <c r="I537">
        <v>2223</v>
      </c>
      <c r="J537">
        <f t="shared" si="8"/>
        <v>4.6423935269439855</v>
      </c>
    </row>
    <row r="538" spans="1:10" x14ac:dyDescent="0.2">
      <c r="A538" t="s">
        <v>541</v>
      </c>
      <c r="B538" t="s">
        <v>771</v>
      </c>
      <c r="C538" s="17">
        <v>3.9750994262900001E-7</v>
      </c>
      <c r="D538">
        <v>0.37036999999999998</v>
      </c>
      <c r="E538" t="s">
        <v>610</v>
      </c>
      <c r="F538">
        <v>0.79104477611940305</v>
      </c>
      <c r="G538" t="s">
        <v>772</v>
      </c>
      <c r="H538">
        <v>6915</v>
      </c>
      <c r="I538">
        <v>1996</v>
      </c>
      <c r="J538">
        <f t="shared" si="8"/>
        <v>6.4006520041775534</v>
      </c>
    </row>
    <row r="539" spans="1:10" x14ac:dyDescent="0.2">
      <c r="A539" t="s">
        <v>542</v>
      </c>
      <c r="B539" t="s">
        <v>771</v>
      </c>
      <c r="C539" s="17">
        <v>4.6657928198800001E-7</v>
      </c>
      <c r="D539">
        <v>0.45945900000000001</v>
      </c>
      <c r="E539" t="s">
        <v>610</v>
      </c>
      <c r="F539">
        <v>0.79104477611940305</v>
      </c>
      <c r="G539" t="s">
        <v>772</v>
      </c>
      <c r="H539">
        <v>6915</v>
      </c>
      <c r="I539">
        <v>2004</v>
      </c>
      <c r="J539">
        <f t="shared" si="8"/>
        <v>6.3310745495500935</v>
      </c>
    </row>
    <row r="540" spans="1:10" x14ac:dyDescent="0.2">
      <c r="A540" t="s">
        <v>543</v>
      </c>
      <c r="B540" t="s">
        <v>771</v>
      </c>
      <c r="C540" s="17">
        <v>5.1641663305600004E-13</v>
      </c>
      <c r="D540">
        <v>0.600823</v>
      </c>
      <c r="E540" t="s">
        <v>610</v>
      </c>
      <c r="F540">
        <v>0.79104477611940305</v>
      </c>
      <c r="G540" t="s">
        <v>772</v>
      </c>
      <c r="H540">
        <v>6915</v>
      </c>
      <c r="I540">
        <v>1480</v>
      </c>
      <c r="J540">
        <f t="shared" si="8"/>
        <v>12.286999778163741</v>
      </c>
    </row>
    <row r="542" spans="1:10" x14ac:dyDescent="0.2">
      <c r="D542">
        <f>AVERAGE(D2:D540)</f>
        <v>0.61238106954887273</v>
      </c>
      <c r="I542" t="s">
        <v>777</v>
      </c>
      <c r="J542">
        <f>AVERAGE(J2:J540)</f>
        <v>18.759684429980023</v>
      </c>
    </row>
    <row r="543" spans="1:10" x14ac:dyDescent="0.2">
      <c r="D543">
        <f>STDEV(D2:D540)</f>
        <v>0.13348539986852528</v>
      </c>
      <c r="J543">
        <f>STDEV(J2:J540)</f>
        <v>23.206100650538737</v>
      </c>
    </row>
  </sheetData>
  <conditionalFormatting sqref="I1:J1">
    <cfRule type="duplicateValues" dxfId="72" priority="72"/>
  </conditionalFormatting>
  <conditionalFormatting sqref="I2:I10">
    <cfRule type="duplicateValues" dxfId="71" priority="71"/>
  </conditionalFormatting>
  <conditionalFormatting sqref="I11:I19">
    <cfRule type="duplicateValues" dxfId="70" priority="70"/>
  </conditionalFormatting>
  <conditionalFormatting sqref="I20:I23">
    <cfRule type="duplicateValues" dxfId="69" priority="69"/>
  </conditionalFormatting>
  <conditionalFormatting sqref="I24:I36">
    <cfRule type="duplicateValues" dxfId="68" priority="68"/>
  </conditionalFormatting>
  <conditionalFormatting sqref="I37:I49">
    <cfRule type="duplicateValues" dxfId="67" priority="67"/>
  </conditionalFormatting>
  <conditionalFormatting sqref="I50:I61">
    <cfRule type="duplicateValues" dxfId="66" priority="66"/>
  </conditionalFormatting>
  <conditionalFormatting sqref="I62:I73">
    <cfRule type="duplicateValues" dxfId="65" priority="65"/>
  </conditionalFormatting>
  <conditionalFormatting sqref="I74:I103">
    <cfRule type="duplicateValues" dxfId="64" priority="64"/>
  </conditionalFormatting>
  <conditionalFormatting sqref="I104:I108 I111:I112">
    <cfRule type="duplicateValues" dxfId="63" priority="63"/>
  </conditionalFormatting>
  <conditionalFormatting sqref="I116">
    <cfRule type="duplicateValues" dxfId="62" priority="62"/>
  </conditionalFormatting>
  <conditionalFormatting sqref="I121">
    <cfRule type="duplicateValues" dxfId="61" priority="61"/>
  </conditionalFormatting>
  <conditionalFormatting sqref="I123">
    <cfRule type="duplicateValues" dxfId="60" priority="60"/>
  </conditionalFormatting>
  <conditionalFormatting sqref="I113:I115">
    <cfRule type="duplicateValues" dxfId="59" priority="59"/>
  </conditionalFormatting>
  <conditionalFormatting sqref="I117:I120">
    <cfRule type="duplicateValues" dxfId="58" priority="58"/>
  </conditionalFormatting>
  <conditionalFormatting sqref="I122">
    <cfRule type="duplicateValues" dxfId="57" priority="57"/>
  </conditionalFormatting>
  <conditionalFormatting sqref="I124:I132">
    <cfRule type="duplicateValues" dxfId="56" priority="56"/>
  </conditionalFormatting>
  <conditionalFormatting sqref="I141:I142">
    <cfRule type="duplicateValues" dxfId="55" priority="55"/>
  </conditionalFormatting>
  <conditionalFormatting sqref="I143">
    <cfRule type="duplicateValues" dxfId="54" priority="54"/>
  </conditionalFormatting>
  <conditionalFormatting sqref="I145">
    <cfRule type="duplicateValues" dxfId="53" priority="53"/>
  </conditionalFormatting>
  <conditionalFormatting sqref="I146">
    <cfRule type="duplicateValues" dxfId="52" priority="52"/>
  </conditionalFormatting>
  <conditionalFormatting sqref="I147:I148">
    <cfRule type="duplicateValues" dxfId="51" priority="51"/>
  </conditionalFormatting>
  <conditionalFormatting sqref="I149:I161">
    <cfRule type="duplicateValues" dxfId="50" priority="50"/>
  </conditionalFormatting>
  <conditionalFormatting sqref="I182">
    <cfRule type="duplicateValues" dxfId="49" priority="49"/>
  </conditionalFormatting>
  <conditionalFormatting sqref="I183">
    <cfRule type="duplicateValues" dxfId="48" priority="48"/>
  </conditionalFormatting>
  <conditionalFormatting sqref="I184:I206">
    <cfRule type="duplicateValues" dxfId="47" priority="47"/>
  </conditionalFormatting>
  <conditionalFormatting sqref="I207:I230">
    <cfRule type="duplicateValues" dxfId="46" priority="46"/>
  </conditionalFormatting>
  <conditionalFormatting sqref="I231:I243">
    <cfRule type="duplicateValues" dxfId="45" priority="45"/>
  </conditionalFormatting>
  <conditionalFormatting sqref="I244">
    <cfRule type="duplicateValues" dxfId="44" priority="44"/>
  </conditionalFormatting>
  <conditionalFormatting sqref="I245:I253">
    <cfRule type="duplicateValues" dxfId="43" priority="43"/>
  </conditionalFormatting>
  <conditionalFormatting sqref="I254">
    <cfRule type="duplicateValues" dxfId="42" priority="42"/>
  </conditionalFormatting>
  <conditionalFormatting sqref="I255:I268">
    <cfRule type="duplicateValues" dxfId="41" priority="41"/>
  </conditionalFormatting>
  <conditionalFormatting sqref="I269:I274">
    <cfRule type="duplicateValues" dxfId="40" priority="40"/>
  </conditionalFormatting>
  <conditionalFormatting sqref="I162:I171">
    <cfRule type="duplicateValues" dxfId="39" priority="39"/>
  </conditionalFormatting>
  <conditionalFormatting sqref="I275:I286">
    <cfRule type="duplicateValues" dxfId="38" priority="38"/>
  </conditionalFormatting>
  <conditionalFormatting sqref="I397">
    <cfRule type="duplicateValues" dxfId="37" priority="37"/>
  </conditionalFormatting>
  <conditionalFormatting sqref="I287:I291">
    <cfRule type="duplicateValues" dxfId="36" priority="36"/>
  </conditionalFormatting>
  <conditionalFormatting sqref="I307:I311">
    <cfRule type="duplicateValues" dxfId="35" priority="35"/>
  </conditionalFormatting>
  <conditionalFormatting sqref="I312:I317">
    <cfRule type="duplicateValues" dxfId="34" priority="34"/>
  </conditionalFormatting>
  <conditionalFormatting sqref="I318:I324">
    <cfRule type="duplicateValues" dxfId="33" priority="33"/>
  </conditionalFormatting>
  <conditionalFormatting sqref="I325:I330">
    <cfRule type="duplicateValues" dxfId="32" priority="32"/>
  </conditionalFormatting>
  <conditionalFormatting sqref="I331:I343">
    <cfRule type="duplicateValues" dxfId="31" priority="31"/>
  </conditionalFormatting>
  <conditionalFormatting sqref="I344:I359">
    <cfRule type="duplicateValues" dxfId="30" priority="30"/>
  </conditionalFormatting>
  <conditionalFormatting sqref="I360:I383">
    <cfRule type="duplicateValues" dxfId="29" priority="29"/>
  </conditionalFormatting>
  <conditionalFormatting sqref="I384:I390">
    <cfRule type="duplicateValues" dxfId="28" priority="28"/>
  </conditionalFormatting>
  <conditionalFormatting sqref="I533">
    <cfRule type="duplicateValues" dxfId="27" priority="27"/>
  </conditionalFormatting>
  <conditionalFormatting sqref="I292:I306">
    <cfRule type="duplicateValues" dxfId="26" priority="26"/>
  </conditionalFormatting>
  <conditionalFormatting sqref="I391:I393">
    <cfRule type="duplicateValues" dxfId="25" priority="25"/>
  </conditionalFormatting>
  <conditionalFormatting sqref="I394">
    <cfRule type="duplicateValues" dxfId="24" priority="24"/>
  </conditionalFormatting>
  <conditionalFormatting sqref="I395:I396">
    <cfRule type="duplicateValues" dxfId="23" priority="23"/>
  </conditionalFormatting>
  <conditionalFormatting sqref="I398:I403">
    <cfRule type="duplicateValues" dxfId="22" priority="22"/>
  </conditionalFormatting>
  <conditionalFormatting sqref="I404:I433">
    <cfRule type="duplicateValues" dxfId="21" priority="21"/>
  </conditionalFormatting>
  <conditionalFormatting sqref="I434:I439">
    <cfRule type="duplicateValues" dxfId="20" priority="20"/>
  </conditionalFormatting>
  <conditionalFormatting sqref="I440:I467">
    <cfRule type="duplicateValues" dxfId="19" priority="19"/>
  </conditionalFormatting>
  <conditionalFormatting sqref="I468:I470">
    <cfRule type="duplicateValues" dxfId="18" priority="18"/>
  </conditionalFormatting>
  <conditionalFormatting sqref="I471:I479">
    <cfRule type="duplicateValues" dxfId="17" priority="73"/>
  </conditionalFormatting>
  <conditionalFormatting sqref="I483:I490">
    <cfRule type="duplicateValues" dxfId="16" priority="17"/>
  </conditionalFormatting>
  <conditionalFormatting sqref="I491:I495">
    <cfRule type="duplicateValues" dxfId="15" priority="16"/>
  </conditionalFormatting>
  <conditionalFormatting sqref="I480:I482">
    <cfRule type="duplicateValues" dxfId="14" priority="15"/>
  </conditionalFormatting>
  <conditionalFormatting sqref="I497:I498">
    <cfRule type="duplicateValues" dxfId="13" priority="14"/>
  </conditionalFormatting>
  <conditionalFormatting sqref="I499:I509">
    <cfRule type="duplicateValues" dxfId="12" priority="13"/>
  </conditionalFormatting>
  <conditionalFormatting sqref="I510:I519">
    <cfRule type="duplicateValues" dxfId="11" priority="12"/>
  </conditionalFormatting>
  <conditionalFormatting sqref="I520:I530">
    <cfRule type="duplicateValues" dxfId="10" priority="11"/>
  </conditionalFormatting>
  <conditionalFormatting sqref="I531:I532">
    <cfRule type="duplicateValues" dxfId="9" priority="10"/>
  </conditionalFormatting>
  <conditionalFormatting sqref="I496">
    <cfRule type="duplicateValues" dxfId="8" priority="9"/>
  </conditionalFormatting>
  <conditionalFormatting sqref="I534:I540">
    <cfRule type="duplicateValues" dxfId="7" priority="8"/>
  </conditionalFormatting>
  <conditionalFormatting sqref="I133:I136">
    <cfRule type="duplicateValues" dxfId="6" priority="7"/>
  </conditionalFormatting>
  <conditionalFormatting sqref="I137">
    <cfRule type="duplicateValues" dxfId="5" priority="6"/>
  </conditionalFormatting>
  <conditionalFormatting sqref="I138">
    <cfRule type="duplicateValues" dxfId="4" priority="5"/>
  </conditionalFormatting>
  <conditionalFormatting sqref="I109:I110">
    <cfRule type="duplicateValues" dxfId="3" priority="4"/>
  </conditionalFormatting>
  <conditionalFormatting sqref="I172:I173">
    <cfRule type="duplicateValues" dxfId="2" priority="3"/>
  </conditionalFormatting>
  <conditionalFormatting sqref="I174:I175">
    <cfRule type="duplicateValues" dxfId="1" priority="2"/>
  </conditionalFormatting>
  <conditionalFormatting sqref="I176:I179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6D2-B6A0-9D48-8662-6CE6FFBF382F}">
  <dimension ref="A1:C35"/>
  <sheetViews>
    <sheetView tabSelected="1" topLeftCell="A2" workbookViewId="0">
      <selection activeCell="A2" sqref="A2:A35"/>
    </sheetView>
  </sheetViews>
  <sheetFormatPr baseColWidth="10" defaultRowHeight="16" x14ac:dyDescent="0.2"/>
  <sheetData>
    <row r="1" spans="1:3" x14ac:dyDescent="0.2">
      <c r="A1" s="5"/>
      <c r="B1" t="s">
        <v>799</v>
      </c>
      <c r="C1" t="s">
        <v>800</v>
      </c>
    </row>
    <row r="2" spans="1:3" x14ac:dyDescent="0.2">
      <c r="A2" s="5" t="s">
        <v>7</v>
      </c>
    </row>
    <row r="3" spans="1:3" x14ac:dyDescent="0.2">
      <c r="A3" s="5" t="s">
        <v>18</v>
      </c>
    </row>
    <row r="4" spans="1:3" x14ac:dyDescent="0.2">
      <c r="A4" s="5" t="s">
        <v>25</v>
      </c>
    </row>
    <row r="5" spans="1:3" x14ac:dyDescent="0.2">
      <c r="A5" s="5" t="s">
        <v>115</v>
      </c>
    </row>
    <row r="6" spans="1:3" x14ac:dyDescent="0.2">
      <c r="A6" s="5" t="s">
        <v>28</v>
      </c>
    </row>
    <row r="7" spans="1:3" x14ac:dyDescent="0.2">
      <c r="A7" s="5" t="s">
        <v>30</v>
      </c>
    </row>
    <row r="8" spans="1:3" x14ac:dyDescent="0.2">
      <c r="A8" s="5" t="s">
        <v>34</v>
      </c>
    </row>
    <row r="9" spans="1:3" x14ac:dyDescent="0.2">
      <c r="A9" s="5" t="s">
        <v>39</v>
      </c>
    </row>
    <row r="10" spans="1:3" x14ac:dyDescent="0.2">
      <c r="A10" s="5" t="s">
        <v>43</v>
      </c>
    </row>
    <row r="11" spans="1:3" x14ac:dyDescent="0.2">
      <c r="A11" s="5" t="s">
        <v>46</v>
      </c>
    </row>
    <row r="12" spans="1:3" x14ac:dyDescent="0.2">
      <c r="A12" s="5" t="s">
        <v>50</v>
      </c>
    </row>
    <row r="13" spans="1:3" x14ac:dyDescent="0.2">
      <c r="A13" s="5" t="s">
        <v>52</v>
      </c>
    </row>
    <row r="14" spans="1:3" x14ac:dyDescent="0.2">
      <c r="A14" s="5" t="s">
        <v>56</v>
      </c>
    </row>
    <row r="15" spans="1:3" x14ac:dyDescent="0.2">
      <c r="A15" s="5" t="s">
        <v>58</v>
      </c>
    </row>
    <row r="16" spans="1:3" x14ac:dyDescent="0.2">
      <c r="A16" s="5" t="s">
        <v>60</v>
      </c>
    </row>
    <row r="17" spans="1:1" x14ac:dyDescent="0.2">
      <c r="A17" s="5" t="s">
        <v>62</v>
      </c>
    </row>
    <row r="18" spans="1:1" x14ac:dyDescent="0.2">
      <c r="A18" s="5" t="s">
        <v>63</v>
      </c>
    </row>
    <row r="19" spans="1:1" x14ac:dyDescent="0.2">
      <c r="A19" s="5" t="s">
        <v>66</v>
      </c>
    </row>
    <row r="20" spans="1:1" x14ac:dyDescent="0.2">
      <c r="A20" s="5" t="s">
        <v>67</v>
      </c>
    </row>
    <row r="21" spans="1:1" x14ac:dyDescent="0.2">
      <c r="A21" s="5" t="s">
        <v>70</v>
      </c>
    </row>
    <row r="22" spans="1:1" x14ac:dyDescent="0.2">
      <c r="A22" s="5" t="s">
        <v>75</v>
      </c>
    </row>
    <row r="23" spans="1:1" x14ac:dyDescent="0.2">
      <c r="A23" s="5" t="s">
        <v>76</v>
      </c>
    </row>
    <row r="24" spans="1:1" x14ac:dyDescent="0.2">
      <c r="A24" s="5" t="s">
        <v>77</v>
      </c>
    </row>
    <row r="25" spans="1:1" x14ac:dyDescent="0.2">
      <c r="A25" s="5" t="s">
        <v>78</v>
      </c>
    </row>
    <row r="26" spans="1:1" x14ac:dyDescent="0.2">
      <c r="A26" s="5" t="s">
        <v>86</v>
      </c>
    </row>
    <row r="27" spans="1:1" x14ac:dyDescent="0.2">
      <c r="A27" s="5" t="s">
        <v>88</v>
      </c>
    </row>
    <row r="28" spans="1:1" x14ac:dyDescent="0.2">
      <c r="A28" s="5" t="s">
        <v>93</v>
      </c>
    </row>
    <row r="29" spans="1:1" x14ac:dyDescent="0.2">
      <c r="A29" s="5" t="s">
        <v>94</v>
      </c>
    </row>
    <row r="30" spans="1:1" x14ac:dyDescent="0.2">
      <c r="A30" s="5" t="s">
        <v>96</v>
      </c>
    </row>
    <row r="31" spans="1:1" x14ac:dyDescent="0.2">
      <c r="A31" s="5" t="s">
        <v>103</v>
      </c>
    </row>
    <row r="32" spans="1:1" x14ac:dyDescent="0.2">
      <c r="A32" s="5" t="s">
        <v>106</v>
      </c>
    </row>
    <row r="33" spans="1:1" x14ac:dyDescent="0.2">
      <c r="A33" s="5" t="s">
        <v>107</v>
      </c>
    </row>
    <row r="34" spans="1:1" x14ac:dyDescent="0.2">
      <c r="A34" s="5" t="s">
        <v>110</v>
      </c>
    </row>
    <row r="35" spans="1:1" x14ac:dyDescent="0.2">
      <c r="A35" s="5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D78C-3556-6343-A5A2-AA1D227E9797}">
  <dimension ref="A1:H5"/>
  <sheetViews>
    <sheetView workbookViewId="0">
      <selection activeCell="B2" sqref="B2"/>
    </sheetView>
  </sheetViews>
  <sheetFormatPr baseColWidth="10" defaultRowHeight="16" x14ac:dyDescent="0.2"/>
  <cols>
    <col min="2" max="2" width="14.33203125" bestFit="1" customWidth="1"/>
    <col min="3" max="3" width="13.83203125" customWidth="1"/>
    <col min="6" max="6" width="13.1640625" customWidth="1"/>
    <col min="7" max="7" width="13.33203125" customWidth="1"/>
  </cols>
  <sheetData>
    <row r="1" spans="1:8" x14ac:dyDescent="0.2">
      <c r="A1" t="s">
        <v>792</v>
      </c>
      <c r="B1" t="s">
        <v>793</v>
      </c>
      <c r="C1" t="s">
        <v>794</v>
      </c>
      <c r="D1" t="s">
        <v>795</v>
      </c>
      <c r="F1" t="s">
        <v>798</v>
      </c>
      <c r="G1" t="s">
        <v>797</v>
      </c>
      <c r="H1" t="s">
        <v>796</v>
      </c>
    </row>
    <row r="2" spans="1:8" x14ac:dyDescent="0.2">
      <c r="A2">
        <v>0.6</v>
      </c>
      <c r="B2">
        <f>COUNTIF(TruePDB!C:C, "&gt;=" &amp; A2)</f>
        <v>120</v>
      </c>
      <c r="C2">
        <f>COUNTIF(FalsePDB!C:C, "&gt;=" &amp; A2)</f>
        <v>276</v>
      </c>
      <c r="D2">
        <f>IF(B2 + C2 = 0, "", B2 / (B2 + C2))</f>
        <v>0.30303030303030304</v>
      </c>
      <c r="F2">
        <f>COUNTIF(TrueUni!C:C, "&gt;=" &amp; A2)</f>
        <v>109</v>
      </c>
      <c r="G2">
        <f>COUNTIF(FalseUni!C:C, "&gt;=" &amp; A2)</f>
        <v>512</v>
      </c>
      <c r="H2">
        <f>IF(F2 + G2 = 0, "", F2 / (F2 + G2))</f>
        <v>0.17552334943639292</v>
      </c>
    </row>
    <row r="3" spans="1:8" x14ac:dyDescent="0.2">
      <c r="A3">
        <v>0.7</v>
      </c>
      <c r="B3">
        <f>COUNTIF(TruePDB!C:C, "&gt;=" &amp; A3)</f>
        <v>116</v>
      </c>
      <c r="C3">
        <f>COUNTIF(FalsePDB!C:C, "&gt;=" &amp; A3)</f>
        <v>266</v>
      </c>
      <c r="D3">
        <f t="shared" ref="D3:D5" si="0">IF(B3 + C3 = 0, "", B3 / (B3 + C3))</f>
        <v>0.30366492146596857</v>
      </c>
      <c r="F3">
        <f>COUNTIF(TrueUni!C:C, "&gt;=" &amp; A3)</f>
        <v>105</v>
      </c>
      <c r="G3">
        <f>COUNTIF(FalseUni!C:C, "&gt;=" &amp; A3)</f>
        <v>461</v>
      </c>
      <c r="H3">
        <f t="shared" ref="H3:H5" si="1">IF(F3 + G3 = 0, "", F3 / (F3 + G3))</f>
        <v>0.18551236749116609</v>
      </c>
    </row>
    <row r="4" spans="1:8" x14ac:dyDescent="0.2">
      <c r="A4">
        <v>0.8</v>
      </c>
      <c r="B4">
        <f>COUNTIF(TruePDB!C:C, "&gt;=" &amp; A4)</f>
        <v>107</v>
      </c>
      <c r="C4">
        <f>COUNTIF(FalsePDB!C:C, "&gt;=" &amp; A4)</f>
        <v>219</v>
      </c>
      <c r="D4">
        <f t="shared" si="0"/>
        <v>0.32822085889570551</v>
      </c>
      <c r="F4">
        <f>COUNTIF(TrueUni!C:C, "&gt;=" &amp; A4)</f>
        <v>39</v>
      </c>
      <c r="G4">
        <f>COUNTIF(FalseUni!C:C, "&gt;=" &amp; A4)</f>
        <v>213</v>
      </c>
      <c r="H4">
        <f t="shared" si="1"/>
        <v>0.15476190476190477</v>
      </c>
    </row>
    <row r="5" spans="1:8" x14ac:dyDescent="0.2">
      <c r="A5">
        <v>0.9</v>
      </c>
      <c r="B5">
        <f>COUNTIF(TruePDB!C:C, "&gt;=" &amp; A5)</f>
        <v>67</v>
      </c>
      <c r="C5">
        <f>COUNTIF(FalsePDB!C:C, "&gt;=" &amp; A5)</f>
        <v>144</v>
      </c>
      <c r="D5">
        <f t="shared" si="0"/>
        <v>0.31753554502369669</v>
      </c>
      <c r="F5">
        <f>COUNTIF(TrueUni!C:C, "&gt;=" &amp; A5)</f>
        <v>3</v>
      </c>
      <c r="G5">
        <f>COUNTIF(FalseUni!C:C, "&gt;=" &amp; A5)</f>
        <v>20</v>
      </c>
      <c r="H5">
        <f t="shared" si="1"/>
        <v>0.13043478260869565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EBE7-F94F-1444-9BBD-2ACA9D45FE9A}">
  <dimension ref="A1:C5"/>
  <sheetViews>
    <sheetView workbookViewId="0">
      <selection activeCell="H16" sqref="H16"/>
    </sheetView>
  </sheetViews>
  <sheetFormatPr baseColWidth="10" defaultRowHeight="16" x14ac:dyDescent="0.2"/>
  <cols>
    <col min="2" max="2" width="12.1640625" customWidth="1"/>
  </cols>
  <sheetData>
    <row r="1" spans="1:3" x14ac:dyDescent="0.2">
      <c r="A1" t="s">
        <v>792</v>
      </c>
      <c r="B1" t="s">
        <v>795</v>
      </c>
      <c r="C1" t="s">
        <v>796</v>
      </c>
    </row>
    <row r="2" spans="1:3" x14ac:dyDescent="0.2">
      <c r="A2">
        <v>0.6</v>
      </c>
      <c r="B2">
        <v>0.30303030303030304</v>
      </c>
      <c r="C2">
        <v>0.17552334943639292</v>
      </c>
    </row>
    <row r="3" spans="1:3" x14ac:dyDescent="0.2">
      <c r="A3">
        <v>0.7</v>
      </c>
      <c r="B3">
        <v>0.30366492146596857</v>
      </c>
      <c r="C3">
        <v>0.18551236749116609</v>
      </c>
    </row>
    <row r="4" spans="1:3" x14ac:dyDescent="0.2">
      <c r="A4">
        <v>0.8</v>
      </c>
      <c r="B4">
        <v>0.32822085889570551</v>
      </c>
      <c r="C4">
        <v>0.15476190476190477</v>
      </c>
    </row>
    <row r="5" spans="1:3" x14ac:dyDescent="0.2">
      <c r="A5">
        <v>0.9</v>
      </c>
      <c r="B5">
        <v>0.31753554502369669</v>
      </c>
      <c r="C5">
        <v>0.13043478260869565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DCC2-C22B-CD4B-BE6D-35F5F79A7EAE}">
  <dimension ref="A1:I129"/>
  <sheetViews>
    <sheetView zoomScaleNormal="100" workbookViewId="0">
      <selection activeCell="H2" sqref="H2"/>
    </sheetView>
  </sheetViews>
  <sheetFormatPr baseColWidth="10" defaultRowHeight="16" x14ac:dyDescent="0.2"/>
  <sheetData>
    <row r="1" spans="1:9" x14ac:dyDescent="0.2">
      <c r="A1" s="7" t="s">
        <v>0</v>
      </c>
      <c r="B1" s="7" t="s">
        <v>1</v>
      </c>
      <c r="C1" t="s">
        <v>779</v>
      </c>
      <c r="D1" t="s">
        <v>780</v>
      </c>
      <c r="E1" t="s">
        <v>781</v>
      </c>
      <c r="H1" t="s">
        <v>781</v>
      </c>
      <c r="I1" t="s">
        <v>780</v>
      </c>
    </row>
    <row r="2" spans="1:9" x14ac:dyDescent="0.2">
      <c r="A2" s="5" t="s">
        <v>7</v>
      </c>
      <c r="B2" s="5" t="s">
        <v>8</v>
      </c>
      <c r="C2">
        <v>2.389339036844711E-2</v>
      </c>
      <c r="D2">
        <v>0.47010649344910505</v>
      </c>
      <c r="E2" s="24">
        <v>8.6419999999999995</v>
      </c>
      <c r="H2" s="24">
        <v>8.6419999999999995</v>
      </c>
      <c r="I2">
        <v>0.47010649344910505</v>
      </c>
    </row>
    <row r="3" spans="1:9" x14ac:dyDescent="0.2">
      <c r="A3" s="5" t="s">
        <v>7</v>
      </c>
      <c r="B3" s="5" t="s">
        <v>10</v>
      </c>
      <c r="C3">
        <v>2.6922334725527224E-2</v>
      </c>
      <c r="D3">
        <v>0.26587713411403596</v>
      </c>
      <c r="E3" s="24">
        <v>0.128</v>
      </c>
      <c r="H3" s="24">
        <v>0.128</v>
      </c>
      <c r="I3">
        <v>0.26587713411403596</v>
      </c>
    </row>
    <row r="4" spans="1:9" x14ac:dyDescent="0.2">
      <c r="A4" s="5" t="s">
        <v>7</v>
      </c>
      <c r="B4" s="5" t="s">
        <v>11</v>
      </c>
      <c r="C4">
        <v>0.76874586570283021</v>
      </c>
      <c r="D4">
        <v>1.0799688834510397</v>
      </c>
      <c r="E4" s="24">
        <v>9.6579999999999995</v>
      </c>
      <c r="H4" s="24">
        <v>9.6579999999999995</v>
      </c>
      <c r="I4">
        <v>1.0799688834510397</v>
      </c>
    </row>
    <row r="5" spans="1:9" x14ac:dyDescent="0.2">
      <c r="A5" s="5" t="s">
        <v>7</v>
      </c>
      <c r="B5" s="5" t="s">
        <v>12</v>
      </c>
      <c r="C5">
        <v>2.7409185649557306E-2</v>
      </c>
      <c r="D5">
        <v>0.18062898677665443</v>
      </c>
      <c r="E5" s="24">
        <v>10.379</v>
      </c>
      <c r="H5" s="24">
        <v>10.379</v>
      </c>
      <c r="I5">
        <v>0.18062898677665443</v>
      </c>
    </row>
    <row r="6" spans="1:9" x14ac:dyDescent="0.2">
      <c r="A6" s="5" t="s">
        <v>7</v>
      </c>
      <c r="B6" s="5" t="s">
        <v>13</v>
      </c>
      <c r="C6">
        <v>0.32131535770640945</v>
      </c>
      <c r="D6">
        <v>0.77478221987123197</v>
      </c>
      <c r="E6" s="24">
        <v>2.56</v>
      </c>
      <c r="H6" s="24">
        <v>2.56</v>
      </c>
      <c r="I6">
        <v>0.77478221987123197</v>
      </c>
    </row>
    <row r="7" spans="1:9" x14ac:dyDescent="0.2">
      <c r="A7" s="5" t="s">
        <v>7</v>
      </c>
      <c r="B7" s="5" t="s">
        <v>14</v>
      </c>
      <c r="C7">
        <v>1.1796693528120177E-2</v>
      </c>
      <c r="D7">
        <v>0.19550079685996155</v>
      </c>
      <c r="E7" s="24">
        <v>0.16200000000000001</v>
      </c>
      <c r="H7" s="24">
        <v>0.16200000000000001</v>
      </c>
      <c r="I7">
        <v>0.19550079685996155</v>
      </c>
    </row>
    <row r="8" spans="1:9" x14ac:dyDescent="0.2">
      <c r="A8" s="5" t="s">
        <v>7</v>
      </c>
      <c r="B8" s="5" t="s">
        <v>15</v>
      </c>
      <c r="C8">
        <v>6.1333817615615693</v>
      </c>
      <c r="D8">
        <v>1.3467883482881249</v>
      </c>
      <c r="E8" s="24">
        <v>3.5</v>
      </c>
      <c r="H8" s="24">
        <v>3.5</v>
      </c>
      <c r="I8">
        <v>1.3467883482881249</v>
      </c>
    </row>
    <row r="9" spans="1:9" x14ac:dyDescent="0.2">
      <c r="A9" s="5" t="s">
        <v>7</v>
      </c>
      <c r="B9" s="5" t="s">
        <v>16</v>
      </c>
      <c r="C9">
        <v>0.11589238656802596</v>
      </c>
      <c r="D9">
        <v>0.26025061074584954</v>
      </c>
      <c r="E9" s="24">
        <v>12</v>
      </c>
      <c r="H9" s="24">
        <v>12</v>
      </c>
      <c r="I9">
        <v>0.26025061074584954</v>
      </c>
    </row>
    <row r="10" spans="1:9" x14ac:dyDescent="0.2">
      <c r="A10" s="5" t="s">
        <v>7</v>
      </c>
      <c r="B10" s="5" t="s">
        <v>17</v>
      </c>
      <c r="C10">
        <v>1.164290064094518</v>
      </c>
      <c r="D10">
        <v>1.0058727301128421</v>
      </c>
      <c r="E10" s="24">
        <v>10.763999999999999</v>
      </c>
      <c r="H10" s="24">
        <v>10.763999999999999</v>
      </c>
      <c r="I10">
        <v>1.0058727301128421</v>
      </c>
    </row>
    <row r="11" spans="1:9" x14ac:dyDescent="0.2">
      <c r="A11" s="5" t="s">
        <v>18</v>
      </c>
      <c r="B11" s="5" t="s">
        <v>19</v>
      </c>
      <c r="C11">
        <v>5.3205299256556628E-2</v>
      </c>
      <c r="D11">
        <v>0.41726172469092354</v>
      </c>
      <c r="E11" s="24">
        <v>0.82499999999999996</v>
      </c>
      <c r="H11" s="24">
        <v>0.82499999999999996</v>
      </c>
      <c r="I11">
        <v>0.41726172469092354</v>
      </c>
    </row>
    <row r="12" spans="1:9" x14ac:dyDescent="0.2">
      <c r="A12" s="5" t="s">
        <v>18</v>
      </c>
      <c r="B12" s="5" t="s">
        <v>20</v>
      </c>
      <c r="C12">
        <v>0.80681265751170295</v>
      </c>
      <c r="D12">
        <v>0.66294792051843354</v>
      </c>
      <c r="E12" s="24">
        <v>9.39</v>
      </c>
      <c r="H12" s="24">
        <v>9.39</v>
      </c>
      <c r="I12">
        <v>0.66294792051843354</v>
      </c>
    </row>
    <row r="13" spans="1:9" x14ac:dyDescent="0.2">
      <c r="A13" s="5" t="s">
        <v>18</v>
      </c>
      <c r="B13" s="5" t="s">
        <v>21</v>
      </c>
      <c r="C13">
        <v>5.2789628292092132</v>
      </c>
      <c r="D13">
        <v>0.24711224274662405</v>
      </c>
      <c r="E13" s="24">
        <v>11.172000000000001</v>
      </c>
      <c r="H13" s="24">
        <v>11.172000000000001</v>
      </c>
      <c r="I13">
        <v>0.24711224274662405</v>
      </c>
    </row>
    <row r="14" spans="1:9" x14ac:dyDescent="0.2">
      <c r="A14" s="5" t="s">
        <v>18</v>
      </c>
      <c r="B14" s="5" t="s">
        <v>22</v>
      </c>
      <c r="C14">
        <v>0.43594938180395731</v>
      </c>
      <c r="D14">
        <v>0.2170673515297481</v>
      </c>
      <c r="E14" s="24">
        <v>10.831</v>
      </c>
      <c r="H14" s="24">
        <v>10.831</v>
      </c>
      <c r="I14">
        <v>0.2170673515297481</v>
      </c>
    </row>
    <row r="15" spans="1:9" x14ac:dyDescent="0.2">
      <c r="A15" s="5" t="s">
        <v>18</v>
      </c>
      <c r="B15" s="5" t="s">
        <v>23</v>
      </c>
      <c r="C15">
        <v>4.8965534987719597</v>
      </c>
      <c r="D15">
        <v>1.2930065521264165</v>
      </c>
      <c r="E15" s="24">
        <v>3.99</v>
      </c>
      <c r="H15" s="24">
        <v>3.99</v>
      </c>
      <c r="I15">
        <v>1.2930065521264165</v>
      </c>
    </row>
    <row r="16" spans="1:9" x14ac:dyDescent="0.2">
      <c r="A16" s="5" t="s">
        <v>18</v>
      </c>
      <c r="B16" s="5" t="s">
        <v>24</v>
      </c>
      <c r="C16">
        <v>1.5073115653180991</v>
      </c>
      <c r="D16">
        <v>0.2807565131362097</v>
      </c>
      <c r="E16" s="24">
        <v>8.98</v>
      </c>
      <c r="H16" s="24">
        <v>8.98</v>
      </c>
      <c r="I16">
        <v>0.2807565131362097</v>
      </c>
    </row>
    <row r="17" spans="1:9" x14ac:dyDescent="0.2">
      <c r="A17" s="5" t="s">
        <v>18</v>
      </c>
      <c r="B17" s="5" t="s">
        <v>14</v>
      </c>
      <c r="C17">
        <v>1.2472932991573968</v>
      </c>
      <c r="D17">
        <v>0.21376738822401412</v>
      </c>
      <c r="E17" s="24">
        <v>0.57699999999999996</v>
      </c>
      <c r="H17" s="24">
        <v>0.57699999999999996</v>
      </c>
      <c r="I17">
        <v>0.21376738822401412</v>
      </c>
    </row>
    <row r="18" spans="1:9" x14ac:dyDescent="0.2">
      <c r="A18" s="5" t="s">
        <v>25</v>
      </c>
      <c r="B18" s="5" t="s">
        <v>26</v>
      </c>
      <c r="C18">
        <v>0.31134214462907972</v>
      </c>
      <c r="D18">
        <v>0.70111943510819363</v>
      </c>
      <c r="E18" s="24">
        <v>0.73299999999999998</v>
      </c>
      <c r="H18" s="24">
        <v>0.73299999999999998</v>
      </c>
      <c r="I18">
        <v>0.70111943510819363</v>
      </c>
    </row>
    <row r="19" spans="1:9" x14ac:dyDescent="0.2">
      <c r="A19" s="5" t="s">
        <v>25</v>
      </c>
      <c r="B19" s="5" t="s">
        <v>19</v>
      </c>
      <c r="C19">
        <v>0.52989503184985576</v>
      </c>
      <c r="D19">
        <v>1.0380236693265839</v>
      </c>
      <c r="E19" s="24">
        <v>5.8</v>
      </c>
      <c r="H19" s="24">
        <v>5.8</v>
      </c>
      <c r="I19">
        <v>1.0380236693265839</v>
      </c>
    </row>
    <row r="20" spans="1:9" x14ac:dyDescent="0.2">
      <c r="A20" s="5" t="s">
        <v>25</v>
      </c>
      <c r="B20" s="5" t="s">
        <v>20</v>
      </c>
      <c r="C20">
        <v>1.2958319363291029</v>
      </c>
      <c r="D20">
        <v>1.297085462748597</v>
      </c>
      <c r="E20" s="24">
        <v>13.317</v>
      </c>
      <c r="H20" s="24">
        <v>13.317</v>
      </c>
      <c r="I20">
        <v>1.297085462748597</v>
      </c>
    </row>
    <row r="21" spans="1:9" x14ac:dyDescent="0.2">
      <c r="A21" s="5" t="s">
        <v>25</v>
      </c>
      <c r="B21" s="5" t="s">
        <v>27</v>
      </c>
      <c r="C21">
        <v>0.16475359609502996</v>
      </c>
      <c r="D21">
        <v>0.69085826309338794</v>
      </c>
      <c r="E21" s="24">
        <v>3.44</v>
      </c>
      <c r="H21" s="24">
        <v>3.44</v>
      </c>
      <c r="I21">
        <v>0.69085826309338794</v>
      </c>
    </row>
    <row r="22" spans="1:9" x14ac:dyDescent="0.2">
      <c r="A22" s="5" t="s">
        <v>115</v>
      </c>
      <c r="B22" s="5" t="s">
        <v>26</v>
      </c>
      <c r="D22">
        <v>0.45521456005621036</v>
      </c>
      <c r="E22" s="24">
        <v>0.68100000000000005</v>
      </c>
      <c r="H22" s="24">
        <v>0.68100000000000005</v>
      </c>
      <c r="I22">
        <v>0.45521456005621036</v>
      </c>
    </row>
    <row r="23" spans="1:9" x14ac:dyDescent="0.2">
      <c r="A23" s="5" t="s">
        <v>115</v>
      </c>
      <c r="B23" s="5" t="s">
        <v>19</v>
      </c>
      <c r="D23">
        <v>0.7702839670972994</v>
      </c>
      <c r="E23" s="24">
        <v>1.7390000000000001</v>
      </c>
      <c r="H23" s="24">
        <v>1.7390000000000001</v>
      </c>
      <c r="I23">
        <v>0.7702839670972994</v>
      </c>
    </row>
    <row r="24" spans="1:9" x14ac:dyDescent="0.2">
      <c r="A24" s="5" t="s">
        <v>115</v>
      </c>
      <c r="B24" s="5" t="s">
        <v>72</v>
      </c>
      <c r="D24">
        <v>1.1345228316119398</v>
      </c>
      <c r="E24" s="24">
        <v>9.3699999999999992</v>
      </c>
      <c r="H24" s="24">
        <v>9.3699999999999992</v>
      </c>
      <c r="I24">
        <v>1.1345228316119398</v>
      </c>
    </row>
    <row r="25" spans="1:9" x14ac:dyDescent="0.2">
      <c r="A25" s="5" t="s">
        <v>115</v>
      </c>
      <c r="B25" s="5" t="s">
        <v>20</v>
      </c>
      <c r="D25">
        <v>0.60383113834845714</v>
      </c>
      <c r="E25" s="24">
        <v>0.64100000000000001</v>
      </c>
      <c r="H25" s="24">
        <v>0.64100000000000001</v>
      </c>
      <c r="I25">
        <v>0.60383113834845714</v>
      </c>
    </row>
    <row r="26" spans="1:9" x14ac:dyDescent="0.2">
      <c r="A26" s="5" t="s">
        <v>115</v>
      </c>
      <c r="B26" s="5" t="s">
        <v>116</v>
      </c>
      <c r="D26">
        <v>1.1779254242300394</v>
      </c>
      <c r="E26" s="24">
        <v>11.785</v>
      </c>
      <c r="H26" s="24">
        <v>11.785</v>
      </c>
      <c r="I26">
        <v>1.1779254242300394</v>
      </c>
    </row>
    <row r="27" spans="1:9" x14ac:dyDescent="0.2">
      <c r="A27" s="5" t="s">
        <v>115</v>
      </c>
      <c r="B27" s="5" t="s">
        <v>21</v>
      </c>
      <c r="D27">
        <v>0.35388566278766892</v>
      </c>
      <c r="E27" s="24">
        <v>10.64</v>
      </c>
      <c r="H27" s="24">
        <v>10.64</v>
      </c>
      <c r="I27">
        <v>0.35388566278766892</v>
      </c>
    </row>
    <row r="28" spans="1:9" x14ac:dyDescent="0.2">
      <c r="A28" s="5" t="s">
        <v>115</v>
      </c>
      <c r="B28" s="5" t="s">
        <v>22</v>
      </c>
      <c r="D28">
        <v>0.25719879185568362</v>
      </c>
      <c r="E28" s="24">
        <v>0.49</v>
      </c>
      <c r="H28" s="24">
        <v>0.49</v>
      </c>
      <c r="I28">
        <v>0.25719879185568362</v>
      </c>
    </row>
    <row r="29" spans="1:9" x14ac:dyDescent="0.2">
      <c r="A29" s="5" t="s">
        <v>115</v>
      </c>
      <c r="B29" s="5" t="s">
        <v>27</v>
      </c>
      <c r="D29">
        <v>0.45992913592707058</v>
      </c>
      <c r="E29" s="24">
        <v>0.35299999999999998</v>
      </c>
      <c r="H29" s="24">
        <v>0.35299999999999998</v>
      </c>
      <c r="I29">
        <v>0.45992913592707058</v>
      </c>
    </row>
    <row r="30" spans="1:9" x14ac:dyDescent="0.2">
      <c r="A30" s="5" t="s">
        <v>115</v>
      </c>
      <c r="B30" s="5" t="s">
        <v>117</v>
      </c>
      <c r="D30">
        <v>1.9566195719337878</v>
      </c>
      <c r="E30" s="24">
        <v>4.3310000000000004</v>
      </c>
      <c r="H30" s="24">
        <v>4.3310000000000004</v>
      </c>
      <c r="I30">
        <v>1.9566195719337878</v>
      </c>
    </row>
    <row r="31" spans="1:9" x14ac:dyDescent="0.2">
      <c r="A31" s="5" t="s">
        <v>28</v>
      </c>
      <c r="B31" s="5" t="s">
        <v>29</v>
      </c>
      <c r="C31">
        <v>3.7316740768419819E-3</v>
      </c>
      <c r="D31">
        <v>0.22082993762434994</v>
      </c>
      <c r="E31" s="24">
        <v>2.5</v>
      </c>
      <c r="H31" s="24">
        <v>2.5</v>
      </c>
      <c r="I31">
        <v>0.22082993762434994</v>
      </c>
    </row>
    <row r="32" spans="1:9" x14ac:dyDescent="0.2">
      <c r="A32" s="5" t="s">
        <v>30</v>
      </c>
      <c r="B32" s="5" t="s">
        <v>31</v>
      </c>
      <c r="C32">
        <v>0.72197118918850833</v>
      </c>
      <c r="D32">
        <v>0.61769623264475515</v>
      </c>
      <c r="E32" s="24">
        <v>12.545999999999999</v>
      </c>
      <c r="H32" s="24">
        <v>12.545999999999999</v>
      </c>
      <c r="I32">
        <v>0.61769623264475515</v>
      </c>
    </row>
    <row r="33" spans="1:9" x14ac:dyDescent="0.2">
      <c r="A33" s="5" t="s">
        <v>30</v>
      </c>
      <c r="B33" s="5" t="s">
        <v>32</v>
      </c>
      <c r="C33">
        <v>1.9815881751097265E-2</v>
      </c>
      <c r="D33">
        <v>0.19759083465087196</v>
      </c>
      <c r="E33" s="24">
        <v>6.3</v>
      </c>
      <c r="H33" s="24">
        <v>6.3</v>
      </c>
      <c r="I33">
        <v>0.19759083465087196</v>
      </c>
    </row>
    <row r="34" spans="1:9" x14ac:dyDescent="0.2">
      <c r="A34" s="5" t="s">
        <v>30</v>
      </c>
      <c r="B34" s="5" t="s">
        <v>14</v>
      </c>
      <c r="C34">
        <v>8.0881787812121755E-2</v>
      </c>
      <c r="D34">
        <v>0.39024780606812126</v>
      </c>
      <c r="E34" s="24">
        <v>5.8</v>
      </c>
      <c r="H34" s="24">
        <v>5.8</v>
      </c>
      <c r="I34">
        <v>0.39024780606812126</v>
      </c>
    </row>
    <row r="35" spans="1:9" x14ac:dyDescent="0.2">
      <c r="A35" s="5" t="s">
        <v>30</v>
      </c>
      <c r="B35" s="5" t="s">
        <v>33</v>
      </c>
      <c r="C35">
        <v>0.18161666255026207</v>
      </c>
      <c r="D35">
        <v>0.42938030782573344</v>
      </c>
      <c r="E35" s="24">
        <v>3.4860000000000002</v>
      </c>
      <c r="H35" s="24">
        <v>3.4860000000000002</v>
      </c>
      <c r="I35">
        <v>0.42938030782573344</v>
      </c>
    </row>
    <row r="36" spans="1:9" x14ac:dyDescent="0.2">
      <c r="A36" s="5" t="s">
        <v>30</v>
      </c>
      <c r="B36" s="5" t="s">
        <v>29</v>
      </c>
      <c r="C36">
        <v>9.4757536184821682E-3</v>
      </c>
      <c r="D36">
        <v>0.1878187181324423</v>
      </c>
      <c r="E36" s="24">
        <v>2.2000000000000002</v>
      </c>
      <c r="H36" s="24">
        <v>2.2000000000000002</v>
      </c>
      <c r="I36">
        <v>0.1878187181324423</v>
      </c>
    </row>
    <row r="37" spans="1:9" x14ac:dyDescent="0.2">
      <c r="A37" s="5" t="s">
        <v>34</v>
      </c>
      <c r="B37" s="5" t="s">
        <v>35</v>
      </c>
      <c r="C37">
        <v>0.49501613800645661</v>
      </c>
      <c r="D37">
        <v>0.29941316728729866</v>
      </c>
      <c r="E37" s="24">
        <v>17</v>
      </c>
      <c r="H37" s="24">
        <v>17</v>
      </c>
      <c r="I37">
        <v>0.29941316728729866</v>
      </c>
    </row>
    <row r="38" spans="1:9" x14ac:dyDescent="0.2">
      <c r="A38" s="5" t="s">
        <v>34</v>
      </c>
      <c r="B38" s="5" t="s">
        <v>36</v>
      </c>
      <c r="C38">
        <v>1.5241768943610869E-2</v>
      </c>
      <c r="D38">
        <v>0.10975097746266463</v>
      </c>
      <c r="E38" s="24">
        <v>0.82899999999999996</v>
      </c>
      <c r="H38" s="24">
        <v>0.82899999999999996</v>
      </c>
      <c r="I38">
        <v>0.10975097746266463</v>
      </c>
    </row>
    <row r="39" spans="1:9" x14ac:dyDescent="0.2">
      <c r="A39" s="5" t="s">
        <v>34</v>
      </c>
      <c r="B39" s="5" t="s">
        <v>37</v>
      </c>
      <c r="C39">
        <v>6.7737757108941601E-2</v>
      </c>
      <c r="D39">
        <v>0.24463133113912694</v>
      </c>
      <c r="E39" s="24">
        <v>0.25700000000000001</v>
      </c>
      <c r="H39" s="24">
        <v>0.25700000000000001</v>
      </c>
      <c r="I39">
        <v>0.24463133113912694</v>
      </c>
    </row>
    <row r="40" spans="1:9" x14ac:dyDescent="0.2">
      <c r="A40" s="5" t="s">
        <v>34</v>
      </c>
      <c r="B40" s="5" t="s">
        <v>38</v>
      </c>
      <c r="C40">
        <v>7.0911837090290003E-2</v>
      </c>
      <c r="D40">
        <v>0.87892355979015313</v>
      </c>
      <c r="E40" s="24">
        <v>0.71</v>
      </c>
      <c r="H40" s="24">
        <v>0.71</v>
      </c>
      <c r="I40">
        <v>0.87892355979015313</v>
      </c>
    </row>
    <row r="41" spans="1:9" x14ac:dyDescent="0.2">
      <c r="A41" s="5" t="s">
        <v>39</v>
      </c>
      <c r="B41" s="5" t="s">
        <v>8</v>
      </c>
      <c r="C41">
        <v>0.3844254527368226</v>
      </c>
      <c r="D41">
        <v>0.60718507528878496</v>
      </c>
      <c r="E41" s="24">
        <v>0.111</v>
      </c>
      <c r="H41" s="24">
        <v>0.111</v>
      </c>
      <c r="I41">
        <v>0.60718507528878496</v>
      </c>
    </row>
    <row r="42" spans="1:9" x14ac:dyDescent="0.2">
      <c r="A42" s="5" t="s">
        <v>39</v>
      </c>
      <c r="B42" s="5" t="s">
        <v>40</v>
      </c>
      <c r="C42">
        <v>1.0468632416406198E-2</v>
      </c>
      <c r="D42">
        <v>0.16726658804256608</v>
      </c>
      <c r="E42" s="24">
        <v>0.13500000000000001</v>
      </c>
      <c r="H42" s="24">
        <v>0.13500000000000001</v>
      </c>
      <c r="I42">
        <v>0.16726658804256608</v>
      </c>
    </row>
    <row r="43" spans="1:9" x14ac:dyDescent="0.2">
      <c r="A43" s="5" t="s">
        <v>39</v>
      </c>
      <c r="B43" s="5" t="s">
        <v>41</v>
      </c>
      <c r="C43">
        <v>0.40809809085625109</v>
      </c>
      <c r="D43">
        <v>0.88146745922514547</v>
      </c>
      <c r="E43" s="24">
        <v>8.5739999999999998</v>
      </c>
      <c r="H43" s="24">
        <v>8.5739999999999998</v>
      </c>
      <c r="I43">
        <v>0.88146745922514547</v>
      </c>
    </row>
    <row r="44" spans="1:9" x14ac:dyDescent="0.2">
      <c r="A44" s="5" t="s">
        <v>39</v>
      </c>
      <c r="B44" s="5" t="s">
        <v>42</v>
      </c>
      <c r="C44">
        <v>0.69018829780841984</v>
      </c>
      <c r="D44">
        <v>0.86284032910007613</v>
      </c>
      <c r="E44" s="24">
        <v>11.082000000000001</v>
      </c>
      <c r="H44" s="24">
        <v>11.082000000000001</v>
      </c>
      <c r="I44">
        <v>0.86284032910007613</v>
      </c>
    </row>
    <row r="45" spans="1:9" x14ac:dyDescent="0.2">
      <c r="A45" s="5" t="s">
        <v>43</v>
      </c>
      <c r="B45" s="5" t="s">
        <v>8</v>
      </c>
      <c r="C45">
        <v>0.22768425787999363</v>
      </c>
      <c r="D45">
        <v>0.51122287059198801</v>
      </c>
      <c r="E45" s="24">
        <v>6.4000000000000001E-2</v>
      </c>
      <c r="H45" s="24">
        <v>6.4000000000000001E-2</v>
      </c>
      <c r="I45">
        <v>0.51122287059198801</v>
      </c>
    </row>
    <row r="46" spans="1:9" x14ac:dyDescent="0.2">
      <c r="A46" s="5" t="s">
        <v>43</v>
      </c>
      <c r="B46" s="5" t="s">
        <v>40</v>
      </c>
      <c r="C46">
        <v>2.0355352472832627E-3</v>
      </c>
      <c r="D46">
        <v>0.18262792565974162</v>
      </c>
      <c r="E46" s="24">
        <v>0.92900000000000005</v>
      </c>
      <c r="H46" s="24">
        <v>0.92900000000000005</v>
      </c>
      <c r="I46">
        <v>0.18262792565974162</v>
      </c>
    </row>
    <row r="47" spans="1:9" x14ac:dyDescent="0.2">
      <c r="A47" s="5" t="s">
        <v>43</v>
      </c>
      <c r="B47" s="5" t="s">
        <v>44</v>
      </c>
      <c r="C47">
        <v>8.4318407162312405E-3</v>
      </c>
      <c r="D47">
        <v>0.10064277991197416</v>
      </c>
      <c r="E47" s="24">
        <v>7.0000000000000001E-3</v>
      </c>
      <c r="H47" s="24">
        <v>7.0000000000000001E-3</v>
      </c>
      <c r="I47">
        <v>0.10064277991197416</v>
      </c>
    </row>
    <row r="48" spans="1:9" x14ac:dyDescent="0.2">
      <c r="A48" s="5" t="s">
        <v>43</v>
      </c>
      <c r="B48" s="5" t="s">
        <v>45</v>
      </c>
      <c r="C48">
        <v>0.15585543905840696</v>
      </c>
      <c r="D48">
        <v>0.44945825452264432</v>
      </c>
      <c r="E48" s="24">
        <v>1.123</v>
      </c>
      <c r="H48" s="24">
        <v>1.123</v>
      </c>
      <c r="I48">
        <v>0.44945825452264432</v>
      </c>
    </row>
    <row r="49" spans="1:9" x14ac:dyDescent="0.2">
      <c r="A49" s="5" t="s">
        <v>43</v>
      </c>
      <c r="B49" s="5" t="s">
        <v>41</v>
      </c>
      <c r="C49">
        <v>0.17374531627592163</v>
      </c>
      <c r="D49">
        <v>0.84181263036898601</v>
      </c>
      <c r="E49" s="24">
        <v>5.5629999999999997</v>
      </c>
      <c r="H49" s="24">
        <v>5.5629999999999997</v>
      </c>
      <c r="I49">
        <v>0.84181263036898601</v>
      </c>
    </row>
    <row r="50" spans="1:9" x14ac:dyDescent="0.2">
      <c r="A50" s="5" t="s">
        <v>46</v>
      </c>
      <c r="B50" s="5" t="s">
        <v>47</v>
      </c>
      <c r="C50">
        <v>0.10536591209071594</v>
      </c>
      <c r="D50">
        <v>0.44971376786295864</v>
      </c>
      <c r="E50" s="24">
        <v>4.8099999999999996</v>
      </c>
      <c r="H50" s="24">
        <v>4.8099999999999996</v>
      </c>
      <c r="I50">
        <v>0.44971376786295864</v>
      </c>
    </row>
    <row r="51" spans="1:9" x14ac:dyDescent="0.2">
      <c r="A51" s="5" t="s">
        <v>46</v>
      </c>
      <c r="B51" s="5" t="s">
        <v>22</v>
      </c>
      <c r="C51">
        <v>0.24484008286640446</v>
      </c>
      <c r="D51">
        <v>0.95330180641096263</v>
      </c>
      <c r="E51" s="24">
        <v>13</v>
      </c>
      <c r="H51" s="24">
        <v>13</v>
      </c>
      <c r="I51">
        <v>0.95330180641096263</v>
      </c>
    </row>
    <row r="52" spans="1:9" x14ac:dyDescent="0.2">
      <c r="A52" s="5" t="s">
        <v>46</v>
      </c>
      <c r="B52" s="5" t="s">
        <v>48</v>
      </c>
      <c r="C52">
        <v>0.40327647679376227</v>
      </c>
      <c r="D52">
        <v>0.72166137245237394</v>
      </c>
      <c r="E52" s="24">
        <v>2.8</v>
      </c>
      <c r="H52" s="24">
        <v>2.8</v>
      </c>
      <c r="I52">
        <v>0.72166137245237394</v>
      </c>
    </row>
    <row r="53" spans="1:9" x14ac:dyDescent="0.2">
      <c r="A53" s="5" t="s">
        <v>46</v>
      </c>
      <c r="B53" s="5" t="s">
        <v>49</v>
      </c>
      <c r="C53">
        <v>1.6686201994347567</v>
      </c>
      <c r="D53">
        <v>0.6919768513593888</v>
      </c>
      <c r="E53" s="24">
        <v>9.0869999999999997</v>
      </c>
      <c r="H53" s="24">
        <v>9.0869999999999997</v>
      </c>
      <c r="I53">
        <v>0.6919768513593888</v>
      </c>
    </row>
    <row r="54" spans="1:9" x14ac:dyDescent="0.2">
      <c r="A54" s="5" t="s">
        <v>50</v>
      </c>
      <c r="B54" s="5" t="s">
        <v>51</v>
      </c>
      <c r="C54">
        <v>0.16038635322567818</v>
      </c>
      <c r="D54">
        <v>0.38976277569446377</v>
      </c>
      <c r="E54" s="24">
        <v>6.9</v>
      </c>
      <c r="H54" s="24">
        <v>6.9</v>
      </c>
      <c r="I54">
        <v>0.38976277569446377</v>
      </c>
    </row>
    <row r="55" spans="1:9" x14ac:dyDescent="0.2">
      <c r="A55" s="5" t="s">
        <v>52</v>
      </c>
      <c r="B55" s="5" t="s">
        <v>20</v>
      </c>
      <c r="C55">
        <v>1.1853729911138802</v>
      </c>
      <c r="D55">
        <v>0.952300613558964</v>
      </c>
      <c r="E55" s="24">
        <v>1.2889999999999999</v>
      </c>
      <c r="H55" s="24">
        <v>1.2889999999999999</v>
      </c>
      <c r="I55">
        <v>0.952300613558964</v>
      </c>
    </row>
    <row r="56" spans="1:9" x14ac:dyDescent="0.2">
      <c r="A56" s="5" t="s">
        <v>52</v>
      </c>
      <c r="B56" s="5" t="s">
        <v>53</v>
      </c>
      <c r="C56">
        <v>1.9390242116050563E-2</v>
      </c>
      <c r="D56">
        <v>0.13580015196999085</v>
      </c>
      <c r="E56" s="24">
        <v>6.3230000000000004</v>
      </c>
      <c r="H56" s="24">
        <v>6.3230000000000004</v>
      </c>
      <c r="I56">
        <v>0.13580015196999085</v>
      </c>
    </row>
    <row r="57" spans="1:9" x14ac:dyDescent="0.2">
      <c r="A57" s="5" t="s">
        <v>52</v>
      </c>
      <c r="B57" s="5" t="s">
        <v>22</v>
      </c>
      <c r="C57">
        <v>4.8115005576688926E-3</v>
      </c>
      <c r="D57">
        <v>0.11088409952721973</v>
      </c>
      <c r="E57" s="24">
        <v>0.53</v>
      </c>
      <c r="H57" s="24">
        <v>0.53</v>
      </c>
      <c r="I57">
        <v>0.11088409952721973</v>
      </c>
    </row>
    <row r="58" spans="1:9" x14ac:dyDescent="0.2">
      <c r="A58" s="5" t="s">
        <v>52</v>
      </c>
      <c r="B58" s="5" t="s">
        <v>54</v>
      </c>
      <c r="C58">
        <v>1.1425625091599561</v>
      </c>
      <c r="D58">
        <v>1.0794723499793135</v>
      </c>
      <c r="E58" s="24">
        <v>0.94699999999999995</v>
      </c>
      <c r="H58" s="24">
        <v>0.94699999999999995</v>
      </c>
      <c r="I58">
        <v>1.0794723499793135</v>
      </c>
    </row>
    <row r="59" spans="1:9" x14ac:dyDescent="0.2">
      <c r="A59" s="5" t="s">
        <v>52</v>
      </c>
      <c r="B59" s="5" t="s">
        <v>55</v>
      </c>
      <c r="C59">
        <v>2.8008871179783688</v>
      </c>
      <c r="D59">
        <v>2.0356306131976636</v>
      </c>
      <c r="E59" s="24">
        <v>7.4</v>
      </c>
      <c r="H59" s="24">
        <v>7.4</v>
      </c>
      <c r="I59">
        <v>2.0356306131976636</v>
      </c>
    </row>
    <row r="60" spans="1:9" x14ac:dyDescent="0.2">
      <c r="A60" s="5" t="s">
        <v>52</v>
      </c>
      <c r="B60" s="5" t="s">
        <v>49</v>
      </c>
      <c r="C60">
        <v>0.16206465381288596</v>
      </c>
      <c r="D60">
        <v>0.44936088414974396</v>
      </c>
      <c r="E60" s="24">
        <v>5.0460000000000003</v>
      </c>
      <c r="H60" s="24">
        <v>5.0460000000000003</v>
      </c>
      <c r="I60">
        <v>0.44936088414974396</v>
      </c>
    </row>
    <row r="61" spans="1:9" x14ac:dyDescent="0.2">
      <c r="A61" s="5" t="s">
        <v>52</v>
      </c>
      <c r="B61" s="5" t="s">
        <v>27</v>
      </c>
      <c r="C61">
        <v>0.17283283530394256</v>
      </c>
      <c r="D61">
        <v>0.41871298794181427</v>
      </c>
      <c r="E61" s="24">
        <v>1.48</v>
      </c>
      <c r="H61" s="24">
        <v>1.48</v>
      </c>
      <c r="I61">
        <v>0.41871298794181427</v>
      </c>
    </row>
    <row r="62" spans="1:9" x14ac:dyDescent="0.2">
      <c r="A62" s="5" t="s">
        <v>56</v>
      </c>
      <c r="B62" s="5" t="s">
        <v>22</v>
      </c>
      <c r="C62">
        <v>2.2456765708613134E-2</v>
      </c>
      <c r="D62">
        <v>0.18847154812467962</v>
      </c>
      <c r="E62" s="24">
        <v>2.4169999999999998</v>
      </c>
      <c r="H62" s="24">
        <v>2.4169999999999998</v>
      </c>
      <c r="I62">
        <v>0.18847154812467962</v>
      </c>
    </row>
    <row r="63" spans="1:9" x14ac:dyDescent="0.2">
      <c r="A63" s="5" t="s">
        <v>56</v>
      </c>
      <c r="B63" s="5" t="s">
        <v>57</v>
      </c>
      <c r="C63">
        <v>0.49091867263660716</v>
      </c>
      <c r="D63">
        <v>0.90401985251700134</v>
      </c>
      <c r="E63" s="24">
        <v>0.82399999999999995</v>
      </c>
      <c r="H63" s="24">
        <v>0.82399999999999995</v>
      </c>
      <c r="I63">
        <v>0.90401985251700134</v>
      </c>
    </row>
    <row r="64" spans="1:9" x14ac:dyDescent="0.2">
      <c r="A64" s="5" t="s">
        <v>56</v>
      </c>
      <c r="B64" s="5" t="s">
        <v>11</v>
      </c>
      <c r="C64">
        <v>0.59279918761743444</v>
      </c>
      <c r="D64">
        <v>0.55569053802598045</v>
      </c>
      <c r="E64" s="24">
        <v>4.1070000000000002</v>
      </c>
      <c r="H64" s="24">
        <v>4.1070000000000002</v>
      </c>
      <c r="I64">
        <v>0.55569053802598045</v>
      </c>
    </row>
    <row r="65" spans="1:9" x14ac:dyDescent="0.2">
      <c r="A65" s="5" t="s">
        <v>56</v>
      </c>
      <c r="B65" s="5" t="s">
        <v>54</v>
      </c>
      <c r="C65">
        <v>1.1450079984156203</v>
      </c>
      <c r="D65">
        <v>0.98197942717287801</v>
      </c>
      <c r="E65" s="24">
        <v>4.24</v>
      </c>
      <c r="H65" s="24">
        <v>4.24</v>
      </c>
      <c r="I65">
        <v>0.98197942717287801</v>
      </c>
    </row>
    <row r="66" spans="1:9" x14ac:dyDescent="0.2">
      <c r="A66" s="5" t="s">
        <v>58</v>
      </c>
      <c r="B66" s="5" t="s">
        <v>59</v>
      </c>
      <c r="C66">
        <v>2.108168350996829</v>
      </c>
      <c r="D66">
        <v>1.2176553797793401</v>
      </c>
      <c r="E66" s="24">
        <v>13</v>
      </c>
      <c r="H66" s="24">
        <v>13</v>
      </c>
      <c r="I66">
        <v>1.2176553797793401</v>
      </c>
    </row>
    <row r="67" spans="1:9" x14ac:dyDescent="0.2">
      <c r="A67" s="5" t="s">
        <v>60</v>
      </c>
      <c r="B67" s="5" t="s">
        <v>11</v>
      </c>
      <c r="C67">
        <v>0.10139405673136162</v>
      </c>
      <c r="D67">
        <v>0.4696813341661239</v>
      </c>
      <c r="E67" s="24">
        <v>8.5229999999999997</v>
      </c>
      <c r="H67" s="24">
        <v>8.5229999999999997</v>
      </c>
      <c r="I67">
        <v>0.4696813341661239</v>
      </c>
    </row>
    <row r="68" spans="1:9" x14ac:dyDescent="0.2">
      <c r="A68" s="5" t="s">
        <v>60</v>
      </c>
      <c r="B68" s="5" t="s">
        <v>33</v>
      </c>
      <c r="C68">
        <v>0.45982671487860566</v>
      </c>
      <c r="D68">
        <v>0.78465902994295433</v>
      </c>
      <c r="E68" s="24">
        <v>7.8680000000000003</v>
      </c>
      <c r="H68" s="24">
        <v>7.8680000000000003</v>
      </c>
      <c r="I68">
        <v>0.78465902994295433</v>
      </c>
    </row>
    <row r="69" spans="1:9" x14ac:dyDescent="0.2">
      <c r="A69" s="5" t="s">
        <v>60</v>
      </c>
      <c r="B69" s="5" t="s">
        <v>61</v>
      </c>
      <c r="C69">
        <v>7.7148913963984364E-2</v>
      </c>
      <c r="D69">
        <v>0.30533275794874615</v>
      </c>
      <c r="E69" s="24">
        <v>23</v>
      </c>
      <c r="H69" s="24">
        <v>23</v>
      </c>
      <c r="I69">
        <v>0.30533275794874615</v>
      </c>
    </row>
    <row r="70" spans="1:9" x14ac:dyDescent="0.2">
      <c r="A70" s="5" t="s">
        <v>62</v>
      </c>
      <c r="B70" s="5" t="s">
        <v>11</v>
      </c>
      <c r="C70">
        <v>0.49077211798805337</v>
      </c>
      <c r="D70">
        <v>1.2584219903384852</v>
      </c>
      <c r="E70" s="24">
        <v>3.1269999999999998</v>
      </c>
      <c r="H70" s="24">
        <v>3.1269999999999998</v>
      </c>
      <c r="I70">
        <v>1.2584219903384852</v>
      </c>
    </row>
    <row r="71" spans="1:9" x14ac:dyDescent="0.2">
      <c r="A71" s="5" t="s">
        <v>62</v>
      </c>
      <c r="B71" s="5" t="s">
        <v>61</v>
      </c>
      <c r="C71">
        <v>0.69610334217757674</v>
      </c>
      <c r="D71">
        <v>0.87441534061923865</v>
      </c>
      <c r="E71" s="24">
        <v>1.44</v>
      </c>
      <c r="H71" s="24">
        <v>1.44</v>
      </c>
      <c r="I71">
        <v>0.87441534061923865</v>
      </c>
    </row>
    <row r="72" spans="1:9" x14ac:dyDescent="0.2">
      <c r="A72" s="5" t="s">
        <v>63</v>
      </c>
      <c r="B72" s="5" t="s">
        <v>64</v>
      </c>
      <c r="C72">
        <v>6.5125415250049237E-2</v>
      </c>
      <c r="D72">
        <v>0.22513651306463309</v>
      </c>
      <c r="E72" s="24">
        <v>3.0609999999999999</v>
      </c>
      <c r="H72" s="24">
        <v>3.0609999999999999</v>
      </c>
      <c r="I72">
        <v>0.22513651306463309</v>
      </c>
    </row>
    <row r="73" spans="1:9" x14ac:dyDescent="0.2">
      <c r="A73" s="5" t="s">
        <v>63</v>
      </c>
      <c r="B73" s="5" t="s">
        <v>65</v>
      </c>
      <c r="C73">
        <v>2.4065287168359298E-3</v>
      </c>
      <c r="D73">
        <v>0.11137118088012379</v>
      </c>
      <c r="E73" s="24">
        <v>3.778</v>
      </c>
      <c r="H73" s="24">
        <v>3.778</v>
      </c>
      <c r="I73">
        <v>0.11137118088012379</v>
      </c>
    </row>
    <row r="74" spans="1:9" x14ac:dyDescent="0.2">
      <c r="A74" s="5" t="s">
        <v>63</v>
      </c>
      <c r="B74" s="5" t="s">
        <v>11</v>
      </c>
      <c r="C74">
        <v>6.4775519382893817E-2</v>
      </c>
      <c r="D74">
        <v>0.36406930755707129</v>
      </c>
      <c r="E74" s="24">
        <v>3.8889999999999998</v>
      </c>
      <c r="H74" s="24">
        <v>3.8889999999999998</v>
      </c>
      <c r="I74">
        <v>0.36406930755707129</v>
      </c>
    </row>
    <row r="75" spans="1:9" x14ac:dyDescent="0.2">
      <c r="A75" s="5" t="s">
        <v>66</v>
      </c>
      <c r="B75" s="5" t="s">
        <v>20</v>
      </c>
      <c r="C75">
        <v>0.2403091931434127</v>
      </c>
      <c r="D75">
        <v>0.36394563730254903</v>
      </c>
      <c r="E75" s="24">
        <v>3.3820000000000001</v>
      </c>
      <c r="H75" s="24">
        <v>3.3820000000000001</v>
      </c>
      <c r="I75">
        <v>0.36394563730254903</v>
      </c>
    </row>
    <row r="76" spans="1:9" x14ac:dyDescent="0.2">
      <c r="A76" s="5" t="s">
        <v>66</v>
      </c>
      <c r="B76" s="5" t="s">
        <v>10</v>
      </c>
      <c r="C76">
        <v>0.29276963514401488</v>
      </c>
      <c r="D76">
        <v>0.70957362958220704</v>
      </c>
      <c r="E76" s="24">
        <v>7.22</v>
      </c>
      <c r="H76" s="24">
        <v>7.22</v>
      </c>
      <c r="I76">
        <v>0.70957362958220704</v>
      </c>
    </row>
    <row r="77" spans="1:9" x14ac:dyDescent="0.2">
      <c r="A77" s="5" t="s">
        <v>66</v>
      </c>
      <c r="B77" s="5" t="s">
        <v>59</v>
      </c>
      <c r="C77">
        <v>2.1098491894752536E-3</v>
      </c>
      <c r="D77">
        <v>0.18598358925911632</v>
      </c>
      <c r="E77" s="24">
        <v>0.14299999999999999</v>
      </c>
      <c r="H77" s="24">
        <v>0.14299999999999999</v>
      </c>
      <c r="I77">
        <v>0.18598358925911632</v>
      </c>
    </row>
    <row r="78" spans="1:9" x14ac:dyDescent="0.2">
      <c r="A78" s="5" t="s">
        <v>67</v>
      </c>
      <c r="B78" s="5" t="s">
        <v>68</v>
      </c>
      <c r="C78">
        <v>4608.8475038926126</v>
      </c>
      <c r="D78">
        <v>8.8073004873740626</v>
      </c>
      <c r="E78" s="24">
        <v>1.625</v>
      </c>
      <c r="H78" s="24">
        <v>1.625</v>
      </c>
      <c r="I78">
        <v>8.8073004873740626</v>
      </c>
    </row>
    <row r="79" spans="1:9" x14ac:dyDescent="0.2">
      <c r="A79" s="5" t="s">
        <v>67</v>
      </c>
      <c r="B79" s="5" t="s">
        <v>69</v>
      </c>
      <c r="C79">
        <v>166.02823152958746</v>
      </c>
      <c r="D79">
        <v>8.7097618343972272</v>
      </c>
      <c r="E79" s="24">
        <v>1.625</v>
      </c>
      <c r="H79" s="24">
        <v>1.625</v>
      </c>
      <c r="I79">
        <v>8.7097618343972272</v>
      </c>
    </row>
    <row r="80" spans="1:9" x14ac:dyDescent="0.2">
      <c r="A80" s="5" t="s">
        <v>70</v>
      </c>
      <c r="B80" s="5" t="s">
        <v>71</v>
      </c>
      <c r="C80">
        <v>0.10032303210468389</v>
      </c>
      <c r="D80">
        <v>0.32087653947921585</v>
      </c>
      <c r="E80" s="24">
        <v>1.7999999999999999E-2</v>
      </c>
      <c r="H80" s="24">
        <v>1.7999999999999999E-2</v>
      </c>
      <c r="I80">
        <v>0.32087653947921585</v>
      </c>
    </row>
    <row r="81" spans="1:9" x14ac:dyDescent="0.2">
      <c r="A81" s="5" t="s">
        <v>70</v>
      </c>
      <c r="B81" s="5" t="s">
        <v>72</v>
      </c>
      <c r="C81">
        <v>6.6123545271382783E-2</v>
      </c>
      <c r="D81">
        <v>0.33538872622999444</v>
      </c>
      <c r="E81" s="24">
        <v>13.96</v>
      </c>
      <c r="H81" s="24">
        <v>13.96</v>
      </c>
      <c r="I81">
        <v>0.33538872622999444</v>
      </c>
    </row>
    <row r="82" spans="1:9" x14ac:dyDescent="0.2">
      <c r="A82" s="5" t="s">
        <v>70</v>
      </c>
      <c r="B82" s="5" t="s">
        <v>57</v>
      </c>
      <c r="C82">
        <v>5.5687619417048788</v>
      </c>
      <c r="D82">
        <v>2.0626765745395534</v>
      </c>
      <c r="E82" s="24">
        <v>8.2059999999999995</v>
      </c>
      <c r="H82" s="24">
        <v>8.2059999999999995</v>
      </c>
      <c r="I82">
        <v>2.0626765745395534</v>
      </c>
    </row>
    <row r="83" spans="1:9" x14ac:dyDescent="0.2">
      <c r="A83" s="5" t="s">
        <v>70</v>
      </c>
      <c r="B83" s="5" t="s">
        <v>73</v>
      </c>
      <c r="C83">
        <v>1.3711756179036954</v>
      </c>
      <c r="D83">
        <v>1.1414930441374775</v>
      </c>
      <c r="E83" s="24">
        <v>7.38</v>
      </c>
      <c r="H83" s="24">
        <v>7.38</v>
      </c>
      <c r="I83">
        <v>1.1414930441374775</v>
      </c>
    </row>
    <row r="84" spans="1:9" x14ac:dyDescent="0.2">
      <c r="A84" s="5" t="s">
        <v>70</v>
      </c>
      <c r="B84" s="5" t="s">
        <v>74</v>
      </c>
      <c r="C84">
        <v>0.17108856924826396</v>
      </c>
      <c r="D84">
        <v>0.63448980446265202</v>
      </c>
      <c r="E84" s="24">
        <v>14</v>
      </c>
      <c r="H84" s="24">
        <v>14</v>
      </c>
      <c r="I84">
        <v>0.63448980446265202</v>
      </c>
    </row>
    <row r="85" spans="1:9" x14ac:dyDescent="0.2">
      <c r="A85" s="5" t="s">
        <v>70</v>
      </c>
      <c r="B85" s="5" t="s">
        <v>49</v>
      </c>
      <c r="C85">
        <v>0.14847752558254129</v>
      </c>
      <c r="D85">
        <v>0.40161205315634679</v>
      </c>
      <c r="E85" s="24">
        <v>0.66500000000000004</v>
      </c>
      <c r="H85" s="24">
        <v>0.66500000000000004</v>
      </c>
      <c r="I85">
        <v>0.40161205315634679</v>
      </c>
    </row>
    <row r="86" spans="1:9" x14ac:dyDescent="0.2">
      <c r="A86" s="5" t="s">
        <v>75</v>
      </c>
      <c r="B86" s="5" t="s">
        <v>71</v>
      </c>
      <c r="C86">
        <v>0.25334252825660675</v>
      </c>
      <c r="D86">
        <v>0.5376073878386729</v>
      </c>
      <c r="E86" s="24">
        <v>6.8319999999999999</v>
      </c>
      <c r="H86" s="24">
        <v>6.8319999999999999</v>
      </c>
      <c r="I86">
        <v>0.5376073878386729</v>
      </c>
    </row>
    <row r="87" spans="1:9" x14ac:dyDescent="0.2">
      <c r="A87" s="5" t="s">
        <v>75</v>
      </c>
      <c r="B87" s="5" t="s">
        <v>59</v>
      </c>
      <c r="C87">
        <v>1.6993539932727991E-2</v>
      </c>
      <c r="D87">
        <v>0.13300972532349431</v>
      </c>
      <c r="E87" s="24">
        <v>0.19700000000000001</v>
      </c>
      <c r="H87" s="24">
        <v>0.19700000000000001</v>
      </c>
      <c r="I87">
        <v>0.13300972532349431</v>
      </c>
    </row>
    <row r="88" spans="1:9" x14ac:dyDescent="0.2">
      <c r="A88" s="5" t="s">
        <v>75</v>
      </c>
      <c r="B88" s="5" t="s">
        <v>49</v>
      </c>
      <c r="C88">
        <v>6.3617079462695986E-2</v>
      </c>
      <c r="D88">
        <v>0.27224738932167392</v>
      </c>
      <c r="E88" s="24">
        <v>8.4580000000000002</v>
      </c>
      <c r="H88" s="24">
        <v>8.4580000000000002</v>
      </c>
      <c r="I88">
        <v>0.27224738932167392</v>
      </c>
    </row>
    <row r="89" spans="1:9" x14ac:dyDescent="0.2">
      <c r="A89" s="5" t="s">
        <v>76</v>
      </c>
      <c r="B89" s="5" t="s">
        <v>45</v>
      </c>
      <c r="C89">
        <v>0.25318162933763627</v>
      </c>
      <c r="D89">
        <v>8.7459019010757325E-2</v>
      </c>
      <c r="E89" s="24">
        <v>0.377</v>
      </c>
      <c r="H89" s="24">
        <v>0.377</v>
      </c>
      <c r="I89">
        <v>8.7459019010757325E-2</v>
      </c>
    </row>
    <row r="90" spans="1:9" x14ac:dyDescent="0.2">
      <c r="A90" s="5" t="s">
        <v>77</v>
      </c>
      <c r="B90" s="5" t="s">
        <v>11</v>
      </c>
      <c r="C90">
        <v>16.95016842451059</v>
      </c>
      <c r="D90">
        <v>0.94057370661382544</v>
      </c>
      <c r="E90" s="24">
        <v>3.3</v>
      </c>
      <c r="H90" s="24">
        <v>3.3</v>
      </c>
      <c r="I90">
        <v>0.94057370661382544</v>
      </c>
    </row>
    <row r="91" spans="1:9" x14ac:dyDescent="0.2">
      <c r="A91" s="5" t="s">
        <v>78</v>
      </c>
      <c r="B91" s="5" t="s">
        <v>79</v>
      </c>
      <c r="C91">
        <v>6.1710290339377907E-3</v>
      </c>
      <c r="D91">
        <v>0.14084526831374181</v>
      </c>
      <c r="E91" s="24">
        <v>1.7</v>
      </c>
      <c r="H91" s="24">
        <v>1.7</v>
      </c>
      <c r="I91">
        <v>0.14084526831374181</v>
      </c>
    </row>
    <row r="92" spans="1:9" x14ac:dyDescent="0.2">
      <c r="A92" s="5" t="s">
        <v>78</v>
      </c>
      <c r="B92" s="5" t="s">
        <v>80</v>
      </c>
      <c r="C92">
        <v>6.5928500820254749E-3</v>
      </c>
      <c r="D92">
        <v>0.10966957698071242</v>
      </c>
      <c r="E92" s="24">
        <v>0.12</v>
      </c>
      <c r="H92" s="24">
        <v>0.12</v>
      </c>
      <c r="I92">
        <v>0.10966957698071242</v>
      </c>
    </row>
    <row r="93" spans="1:9" x14ac:dyDescent="0.2">
      <c r="A93" s="5" t="s">
        <v>78</v>
      </c>
      <c r="B93" s="5" t="s">
        <v>81</v>
      </c>
      <c r="C93">
        <v>1.2156304069222823E-2</v>
      </c>
      <c r="D93">
        <v>0.13268722544935455</v>
      </c>
      <c r="E93" s="24">
        <v>6.76</v>
      </c>
      <c r="H93" s="24">
        <v>6.76</v>
      </c>
      <c r="I93">
        <v>0.13268722544935455</v>
      </c>
    </row>
    <row r="94" spans="1:9" x14ac:dyDescent="0.2">
      <c r="A94" s="5" t="s">
        <v>78</v>
      </c>
      <c r="B94" s="5" t="s">
        <v>82</v>
      </c>
      <c r="C94">
        <v>1.5625663846454994E-2</v>
      </c>
      <c r="D94">
        <v>0.13351114670827369</v>
      </c>
      <c r="E94" s="24">
        <v>1E-3</v>
      </c>
      <c r="H94" s="24">
        <v>1E-3</v>
      </c>
      <c r="I94">
        <v>0.13351114670827369</v>
      </c>
    </row>
    <row r="95" spans="1:9" x14ac:dyDescent="0.2">
      <c r="A95" s="5" t="s">
        <v>78</v>
      </c>
      <c r="B95" s="5" t="s">
        <v>83</v>
      </c>
      <c r="C95">
        <v>0.18075644328151202</v>
      </c>
      <c r="D95">
        <v>0.39193387583752104</v>
      </c>
      <c r="E95" s="24">
        <v>0.51600000000000001</v>
      </c>
      <c r="H95" s="24">
        <v>0.51600000000000001</v>
      </c>
      <c r="I95">
        <v>0.39193387583752104</v>
      </c>
    </row>
    <row r="96" spans="1:9" x14ac:dyDescent="0.2">
      <c r="A96" s="5" t="s">
        <v>78</v>
      </c>
      <c r="B96" s="5" t="s">
        <v>84</v>
      </c>
      <c r="C96">
        <v>3.0608117867963726E-2</v>
      </c>
      <c r="D96">
        <v>0.25604572927703073</v>
      </c>
      <c r="E96" s="24">
        <v>8.2000000000000003E-2</v>
      </c>
      <c r="H96" s="24">
        <v>8.2000000000000003E-2</v>
      </c>
      <c r="I96">
        <v>0.25604572927703073</v>
      </c>
    </row>
    <row r="97" spans="1:9" x14ac:dyDescent="0.2">
      <c r="A97" s="5" t="s">
        <v>78</v>
      </c>
      <c r="B97" s="5" t="s">
        <v>85</v>
      </c>
      <c r="C97">
        <v>0.13736647143000302</v>
      </c>
      <c r="D97">
        <v>0.19487051535695343</v>
      </c>
      <c r="E97" s="24">
        <v>9.7000000000000003E-2</v>
      </c>
      <c r="H97" s="24">
        <v>9.7000000000000003E-2</v>
      </c>
      <c r="I97">
        <v>0.19487051535695343</v>
      </c>
    </row>
    <row r="98" spans="1:9" x14ac:dyDescent="0.2">
      <c r="A98" s="5" t="s">
        <v>86</v>
      </c>
      <c r="B98" s="5" t="s">
        <v>87</v>
      </c>
      <c r="C98">
        <v>3.9723415956693886</v>
      </c>
      <c r="D98">
        <v>3.662937195280175</v>
      </c>
      <c r="E98" s="24">
        <v>24</v>
      </c>
      <c r="H98" s="24">
        <v>24</v>
      </c>
      <c r="I98">
        <v>3.662937195280175</v>
      </c>
    </row>
    <row r="99" spans="1:9" x14ac:dyDescent="0.2">
      <c r="A99" s="5" t="s">
        <v>88</v>
      </c>
      <c r="B99" s="5" t="s">
        <v>20</v>
      </c>
      <c r="C99">
        <v>0.13600733360036787</v>
      </c>
      <c r="D99">
        <v>0.4267649145184983</v>
      </c>
      <c r="E99" s="24">
        <v>4.9779999999999998</v>
      </c>
      <c r="H99" s="24">
        <v>4.9779999999999998</v>
      </c>
      <c r="I99">
        <v>0.4267649145184983</v>
      </c>
    </row>
    <row r="100" spans="1:9" x14ac:dyDescent="0.2">
      <c r="A100" s="5" t="s">
        <v>88</v>
      </c>
      <c r="B100" s="5" t="s">
        <v>89</v>
      </c>
      <c r="C100">
        <v>6.020181995544883</v>
      </c>
      <c r="D100">
        <v>2.3219131766111398</v>
      </c>
      <c r="E100" s="24">
        <v>1.423</v>
      </c>
      <c r="H100" s="24">
        <v>1.423</v>
      </c>
      <c r="I100">
        <v>2.3219131766111398</v>
      </c>
    </row>
    <row r="101" spans="1:9" x14ac:dyDescent="0.2">
      <c r="A101" s="5" t="s">
        <v>88</v>
      </c>
      <c r="B101" s="5" t="s">
        <v>22</v>
      </c>
      <c r="C101">
        <v>0.28758187652274114</v>
      </c>
      <c r="D101">
        <v>0.33553957017760633</v>
      </c>
      <c r="E101" s="24">
        <v>5.3</v>
      </c>
      <c r="H101" s="24">
        <v>5.3</v>
      </c>
      <c r="I101">
        <v>0.33553957017760633</v>
      </c>
    </row>
    <row r="102" spans="1:9" x14ac:dyDescent="0.2">
      <c r="A102" s="5" t="s">
        <v>88</v>
      </c>
      <c r="B102" s="5" t="s">
        <v>90</v>
      </c>
      <c r="C102">
        <v>27.899977144592892</v>
      </c>
      <c r="D102">
        <v>4.9973007887820344</v>
      </c>
      <c r="E102" s="24">
        <v>3.6030000000000002</v>
      </c>
      <c r="H102" s="24">
        <v>3.6030000000000002</v>
      </c>
      <c r="I102">
        <v>4.9973007887820344</v>
      </c>
    </row>
    <row r="103" spans="1:9" x14ac:dyDescent="0.2">
      <c r="A103" s="5" t="s">
        <v>88</v>
      </c>
      <c r="B103" s="5" t="s">
        <v>91</v>
      </c>
      <c r="C103">
        <v>9.1476113452613248</v>
      </c>
      <c r="D103">
        <v>4.6601631574909934</v>
      </c>
      <c r="E103" s="24">
        <v>6.9039999999999999</v>
      </c>
      <c r="H103" s="24">
        <v>6.9039999999999999</v>
      </c>
      <c r="I103">
        <v>4.6601631574909934</v>
      </c>
    </row>
    <row r="104" spans="1:9" x14ac:dyDescent="0.2">
      <c r="A104" s="5" t="s">
        <v>88</v>
      </c>
      <c r="B104" s="5" t="s">
        <v>49</v>
      </c>
      <c r="C104">
        <v>0.6681555649804366</v>
      </c>
      <c r="D104">
        <v>0.81292669554984143</v>
      </c>
      <c r="E104" s="24">
        <v>10.263</v>
      </c>
      <c r="H104" s="24">
        <v>10.263</v>
      </c>
      <c r="I104">
        <v>0.81292669554984143</v>
      </c>
    </row>
    <row r="105" spans="1:9" x14ac:dyDescent="0.2">
      <c r="A105" s="5" t="s">
        <v>88</v>
      </c>
      <c r="B105" s="5" t="s">
        <v>92</v>
      </c>
      <c r="C105">
        <v>0.44547773522543249</v>
      </c>
      <c r="D105">
        <v>0.18659073247880387</v>
      </c>
      <c r="E105" s="24">
        <v>6.7110000000000003</v>
      </c>
      <c r="H105" s="24">
        <v>6.7110000000000003</v>
      </c>
      <c r="I105">
        <v>0.18659073247880387</v>
      </c>
    </row>
    <row r="106" spans="1:9" x14ac:dyDescent="0.2">
      <c r="A106" s="5" t="s">
        <v>93</v>
      </c>
      <c r="B106" s="5" t="s">
        <v>10</v>
      </c>
      <c r="C106">
        <v>0.43735355658320824</v>
      </c>
      <c r="D106">
        <v>0.64155818031973777</v>
      </c>
      <c r="E106" s="24">
        <v>4.3849999999999998</v>
      </c>
      <c r="H106" s="24">
        <v>4.3849999999999998</v>
      </c>
      <c r="I106">
        <v>0.64155818031973777</v>
      </c>
    </row>
    <row r="107" spans="1:9" x14ac:dyDescent="0.2">
      <c r="A107" s="5" t="s">
        <v>93</v>
      </c>
      <c r="B107" s="5" t="s">
        <v>33</v>
      </c>
      <c r="C107">
        <v>0.83771144985459256</v>
      </c>
      <c r="D107">
        <v>0.93622643709700304</v>
      </c>
      <c r="E107" s="24">
        <v>1.794</v>
      </c>
      <c r="H107" s="24">
        <v>1.794</v>
      </c>
      <c r="I107">
        <v>0.93622643709700304</v>
      </c>
    </row>
    <row r="108" spans="1:9" x14ac:dyDescent="0.2">
      <c r="A108" s="5" t="s">
        <v>94</v>
      </c>
      <c r="B108" s="5" t="s">
        <v>11</v>
      </c>
      <c r="C108">
        <v>1.968916786494687</v>
      </c>
      <c r="D108">
        <v>1.9988212522244853</v>
      </c>
      <c r="E108" s="24">
        <v>11.302</v>
      </c>
      <c r="H108" s="24">
        <v>11.302</v>
      </c>
      <c r="I108">
        <v>1.9988212522244853</v>
      </c>
    </row>
    <row r="109" spans="1:9" x14ac:dyDescent="0.2">
      <c r="A109" s="5" t="s">
        <v>94</v>
      </c>
      <c r="B109" s="5" t="s">
        <v>95</v>
      </c>
      <c r="C109">
        <v>2.6329057284440887E-2</v>
      </c>
      <c r="D109">
        <v>0.22447934371135844</v>
      </c>
      <c r="E109" s="24">
        <v>5.3840000000000003</v>
      </c>
      <c r="H109" s="24">
        <v>5.3840000000000003</v>
      </c>
      <c r="I109">
        <v>0.22447934371135844</v>
      </c>
    </row>
    <row r="110" spans="1:9" x14ac:dyDescent="0.2">
      <c r="A110" s="5" t="s">
        <v>96</v>
      </c>
      <c r="B110" s="5" t="s">
        <v>97</v>
      </c>
      <c r="C110">
        <v>1.3892874279355368E-2</v>
      </c>
      <c r="D110">
        <v>0.19131021248954441</v>
      </c>
      <c r="E110" s="24">
        <v>3.0000000000000001E-3</v>
      </c>
      <c r="H110" s="24">
        <v>3.0000000000000001E-3</v>
      </c>
      <c r="I110">
        <v>0.19131021248954441</v>
      </c>
    </row>
    <row r="111" spans="1:9" x14ac:dyDescent="0.2">
      <c r="A111" s="5" t="s">
        <v>96</v>
      </c>
      <c r="B111" s="5" t="s">
        <v>81</v>
      </c>
      <c r="C111">
        <v>1.5571825902215133E-2</v>
      </c>
      <c r="D111">
        <v>0.1602311950007749</v>
      </c>
      <c r="E111" s="24">
        <v>29.26</v>
      </c>
      <c r="H111" s="24">
        <v>29.26</v>
      </c>
      <c r="I111">
        <v>0.1602311950007749</v>
      </c>
    </row>
    <row r="112" spans="1:9" x14ac:dyDescent="0.2">
      <c r="A112" s="5" t="s">
        <v>96</v>
      </c>
      <c r="B112" s="5" t="s">
        <v>36</v>
      </c>
      <c r="C112">
        <v>8.5382304844165025E-3</v>
      </c>
      <c r="D112">
        <v>8.4436620939698892E-2</v>
      </c>
      <c r="E112" s="24">
        <v>7.3999999999999996E-2</v>
      </c>
      <c r="H112" s="24">
        <v>7.3999999999999996E-2</v>
      </c>
      <c r="I112">
        <v>8.4436620939698892E-2</v>
      </c>
    </row>
    <row r="113" spans="1:9" x14ac:dyDescent="0.2">
      <c r="A113" s="5" t="s">
        <v>96</v>
      </c>
      <c r="B113" s="5" t="s">
        <v>98</v>
      </c>
      <c r="C113">
        <v>0.83410191433599634</v>
      </c>
      <c r="D113">
        <v>0.74526638569802139</v>
      </c>
      <c r="E113" s="24">
        <v>7.61</v>
      </c>
      <c r="H113" s="24">
        <v>7.61</v>
      </c>
      <c r="I113">
        <v>0.74526638569802139</v>
      </c>
    </row>
    <row r="114" spans="1:9" x14ac:dyDescent="0.2">
      <c r="A114" s="5" t="s">
        <v>96</v>
      </c>
      <c r="B114" s="5" t="s">
        <v>37</v>
      </c>
      <c r="C114">
        <v>1.8723422594697538E-2</v>
      </c>
      <c r="D114">
        <v>0.11330673706417502</v>
      </c>
      <c r="E114" s="24">
        <v>3.0000000000000001E-3</v>
      </c>
      <c r="H114" s="24">
        <v>3.0000000000000001E-3</v>
      </c>
      <c r="I114">
        <v>0.11330673706417502</v>
      </c>
    </row>
    <row r="115" spans="1:9" x14ac:dyDescent="0.2">
      <c r="A115" s="5" t="s">
        <v>96</v>
      </c>
      <c r="B115" s="5" t="s">
        <v>99</v>
      </c>
      <c r="C115">
        <v>5.6351628012389444E-2</v>
      </c>
      <c r="D115">
        <v>0.24026916359398273</v>
      </c>
      <c r="E115" s="24">
        <v>1.3</v>
      </c>
      <c r="H115" s="24">
        <v>1.3</v>
      </c>
      <c r="I115">
        <v>0.24026916359398273</v>
      </c>
    </row>
    <row r="116" spans="1:9" x14ac:dyDescent="0.2">
      <c r="A116" s="5" t="s">
        <v>96</v>
      </c>
      <c r="B116" s="5" t="s">
        <v>100</v>
      </c>
      <c r="C116">
        <v>3.3758647836827312E-2</v>
      </c>
      <c r="D116">
        <v>0.24560960754689806</v>
      </c>
      <c r="E116" s="24">
        <v>23.283999999999999</v>
      </c>
      <c r="H116" s="24">
        <v>23.283999999999999</v>
      </c>
      <c r="I116">
        <v>0.24560960754689806</v>
      </c>
    </row>
    <row r="117" spans="1:9" x14ac:dyDescent="0.2">
      <c r="A117" s="5" t="s">
        <v>96</v>
      </c>
      <c r="B117" s="5" t="s">
        <v>101</v>
      </c>
      <c r="C117">
        <v>2.4245547266539508E-2</v>
      </c>
      <c r="D117">
        <v>0.10217250755240334</v>
      </c>
      <c r="E117" s="24">
        <v>3.0000000000000001E-3</v>
      </c>
      <c r="H117" s="24">
        <v>3.0000000000000001E-3</v>
      </c>
      <c r="I117">
        <v>0.10217250755240334</v>
      </c>
    </row>
    <row r="118" spans="1:9" x14ac:dyDescent="0.2">
      <c r="A118" s="5" t="s">
        <v>96</v>
      </c>
      <c r="B118" s="5" t="s">
        <v>102</v>
      </c>
      <c r="C118">
        <v>4.8867074729647318E-2</v>
      </c>
      <c r="D118">
        <v>0.61293350485479769</v>
      </c>
      <c r="E118" s="24">
        <v>0.32800000000000001</v>
      </c>
      <c r="H118" s="24">
        <v>0.32800000000000001</v>
      </c>
      <c r="I118">
        <v>0.61293350485479769</v>
      </c>
    </row>
    <row r="119" spans="1:9" x14ac:dyDescent="0.2">
      <c r="A119" s="5" t="s">
        <v>103</v>
      </c>
      <c r="B119" s="5" t="s">
        <v>104</v>
      </c>
      <c r="C119">
        <v>9.2523774239143624</v>
      </c>
      <c r="D119">
        <v>3.4373396641761231</v>
      </c>
      <c r="E119" s="24">
        <v>0.16</v>
      </c>
      <c r="H119" s="24">
        <v>0.16</v>
      </c>
      <c r="I119">
        <v>3.4373396641761231</v>
      </c>
    </row>
    <row r="120" spans="1:9" x14ac:dyDescent="0.2">
      <c r="A120" s="5" t="s">
        <v>103</v>
      </c>
      <c r="B120" s="5" t="s">
        <v>105</v>
      </c>
      <c r="C120">
        <v>1.1964593379272332</v>
      </c>
      <c r="D120">
        <v>0.84436599733729134</v>
      </c>
      <c r="E120" s="24">
        <v>25</v>
      </c>
      <c r="H120" s="24">
        <v>25</v>
      </c>
      <c r="I120">
        <v>0.84436599733729134</v>
      </c>
    </row>
    <row r="121" spans="1:9" x14ac:dyDescent="0.2">
      <c r="A121" s="5" t="s">
        <v>106</v>
      </c>
      <c r="B121" s="5" t="s">
        <v>20</v>
      </c>
      <c r="C121">
        <v>0.8298828284661357</v>
      </c>
      <c r="D121">
        <v>1.1559020558159592</v>
      </c>
      <c r="E121" s="24">
        <v>11</v>
      </c>
      <c r="H121" s="24">
        <v>11</v>
      </c>
      <c r="I121">
        <v>1.1559020558159592</v>
      </c>
    </row>
    <row r="122" spans="1:9" x14ac:dyDescent="0.2">
      <c r="A122" s="5" t="s">
        <v>107</v>
      </c>
      <c r="B122" s="5" t="s">
        <v>108</v>
      </c>
      <c r="C122">
        <v>0.42359477238012239</v>
      </c>
      <c r="D122">
        <v>1.1021281703472667</v>
      </c>
      <c r="E122" s="24">
        <v>4.8</v>
      </c>
      <c r="H122" s="24">
        <v>4.8</v>
      </c>
      <c r="I122">
        <v>1.1021281703472667</v>
      </c>
    </row>
    <row r="123" spans="1:9" x14ac:dyDescent="0.2">
      <c r="A123" s="5" t="s">
        <v>107</v>
      </c>
      <c r="B123" s="5" t="s">
        <v>109</v>
      </c>
      <c r="C123">
        <v>0.82684702956049771</v>
      </c>
      <c r="D123">
        <v>1.241802927829375</v>
      </c>
      <c r="E123" s="24">
        <v>3</v>
      </c>
      <c r="H123" s="24">
        <v>3</v>
      </c>
      <c r="I123">
        <v>1.241802927829375</v>
      </c>
    </row>
    <row r="124" spans="1:9" x14ac:dyDescent="0.2">
      <c r="A124" s="5" t="s">
        <v>107</v>
      </c>
      <c r="B124" s="5" t="s">
        <v>16</v>
      </c>
      <c r="C124">
        <v>1.220099875704187</v>
      </c>
      <c r="D124">
        <v>0.57021015519593921</v>
      </c>
      <c r="E124" s="24">
        <v>13</v>
      </c>
      <c r="H124" s="24">
        <v>13</v>
      </c>
      <c r="I124">
        <v>0.57021015519593921</v>
      </c>
    </row>
    <row r="125" spans="1:9" x14ac:dyDescent="0.2">
      <c r="A125" s="5" t="s">
        <v>107</v>
      </c>
      <c r="B125" s="5" t="s">
        <v>49</v>
      </c>
      <c r="C125">
        <v>0.63779967888345679</v>
      </c>
      <c r="D125">
        <v>0.69182640583069299</v>
      </c>
      <c r="E125" s="24">
        <v>3.62</v>
      </c>
      <c r="H125" s="24">
        <v>3.62</v>
      </c>
      <c r="I125">
        <v>0.69182640583069299</v>
      </c>
    </row>
    <row r="126" spans="1:9" x14ac:dyDescent="0.2">
      <c r="A126" s="5" t="s">
        <v>110</v>
      </c>
      <c r="B126" s="5" t="s">
        <v>72</v>
      </c>
      <c r="C126">
        <v>0.15436380154154353</v>
      </c>
      <c r="D126">
        <v>0.60049923536738847</v>
      </c>
      <c r="E126" s="24">
        <v>3</v>
      </c>
      <c r="H126" s="24">
        <v>3</v>
      </c>
      <c r="I126">
        <v>0.60049923536738847</v>
      </c>
    </row>
    <row r="127" spans="1:9" x14ac:dyDescent="0.2">
      <c r="A127" s="5" t="s">
        <v>110</v>
      </c>
      <c r="B127" s="5" t="s">
        <v>40</v>
      </c>
      <c r="C127">
        <v>1.7826780349409905</v>
      </c>
      <c r="D127">
        <v>1.5680665707695571</v>
      </c>
      <c r="E127" s="24">
        <v>0.41899999999999998</v>
      </c>
      <c r="H127" s="24">
        <v>0.41899999999999998</v>
      </c>
      <c r="I127">
        <v>1.5680665707695571</v>
      </c>
    </row>
    <row r="128" spans="1:9" x14ac:dyDescent="0.2">
      <c r="A128" s="5" t="s">
        <v>110</v>
      </c>
      <c r="B128" s="5" t="s">
        <v>111</v>
      </c>
      <c r="C128">
        <v>1.5582828638303305</v>
      </c>
      <c r="D128">
        <v>1.2210579144376921</v>
      </c>
      <c r="E128" s="24">
        <v>17.8</v>
      </c>
      <c r="H128" s="24">
        <v>17.8</v>
      </c>
      <c r="I128">
        <v>1.2210579144376921</v>
      </c>
    </row>
    <row r="129" spans="1:9" x14ac:dyDescent="0.2">
      <c r="A129" s="5" t="s">
        <v>112</v>
      </c>
      <c r="B129" s="5" t="s">
        <v>113</v>
      </c>
      <c r="C129">
        <v>0.62096383549500533</v>
      </c>
      <c r="D129">
        <v>0.4250155326424313</v>
      </c>
      <c r="E129" s="25">
        <v>8.1620000000000008</v>
      </c>
      <c r="H129" s="25">
        <v>8.1620000000000008</v>
      </c>
      <c r="I129">
        <v>0.4250155326424313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E60E-03F9-7A4D-9921-F7AE35798E83}">
  <dimension ref="A1:Q129"/>
  <sheetViews>
    <sheetView workbookViewId="0">
      <selection activeCell="N2" sqref="N2:N35"/>
    </sheetView>
  </sheetViews>
  <sheetFormatPr baseColWidth="10" defaultRowHeight="16" x14ac:dyDescent="0.2"/>
  <sheetData>
    <row r="1" spans="1:17" x14ac:dyDescent="0.2">
      <c r="A1" s="7" t="s">
        <v>0</v>
      </c>
      <c r="B1" s="7" t="s">
        <v>1</v>
      </c>
      <c r="C1" t="s">
        <v>782</v>
      </c>
      <c r="D1" t="s">
        <v>783</v>
      </c>
      <c r="E1" t="s">
        <v>779</v>
      </c>
      <c r="G1" t="s">
        <v>784</v>
      </c>
      <c r="H1" t="s">
        <v>785</v>
      </c>
      <c r="I1" t="s">
        <v>786</v>
      </c>
      <c r="L1" t="s">
        <v>787</v>
      </c>
      <c r="M1" t="s">
        <v>788</v>
      </c>
      <c r="O1" t="s">
        <v>790</v>
      </c>
      <c r="P1" t="s">
        <v>789</v>
      </c>
      <c r="Q1" t="s">
        <v>791</v>
      </c>
    </row>
    <row r="2" spans="1:17" x14ac:dyDescent="0.2">
      <c r="A2" s="5" t="s">
        <v>7</v>
      </c>
      <c r="B2" s="5" t="s">
        <v>8</v>
      </c>
      <c r="C2" s="24">
        <v>8.6419999999999995</v>
      </c>
      <c r="D2">
        <v>0.47010649344910505</v>
      </c>
      <c r="E2">
        <v>2.389339036844711E-2</v>
      </c>
      <c r="G2">
        <f>LOG10(C2)</f>
        <v>0.93661426197521125</v>
      </c>
      <c r="H2">
        <f>LOG10(D2)</f>
        <v>-0.32780374998248057</v>
      </c>
      <c r="I2">
        <f>LOG10(E2)</f>
        <v>-1.6217222213745102</v>
      </c>
      <c r="K2" s="5" t="s">
        <v>7</v>
      </c>
      <c r="L2">
        <f>ABS(G2-H2)</f>
        <v>1.2644180119576918</v>
      </c>
      <c r="M2">
        <f>ABS(G2-I2)</f>
        <v>2.5583364833497213</v>
      </c>
      <c r="N2" s="5" t="s">
        <v>7</v>
      </c>
      <c r="O2">
        <f>AVERAGE(L2:L10)</f>
        <v>0.88904619224046755</v>
      </c>
      <c r="P2">
        <f>AVERAGE(M2:M10)</f>
        <v>1.3529479456351667</v>
      </c>
      <c r="Q2">
        <f>STDEV(L2:L10)</f>
        <v>0.59818879889712206</v>
      </c>
    </row>
    <row r="3" spans="1:17" x14ac:dyDescent="0.2">
      <c r="A3" s="5" t="s">
        <v>7</v>
      </c>
      <c r="B3" s="5" t="s">
        <v>10</v>
      </c>
      <c r="C3" s="24">
        <v>0.128</v>
      </c>
      <c r="D3">
        <v>0.26587713411403596</v>
      </c>
      <c r="E3">
        <v>2.6922334725527224E-2</v>
      </c>
      <c r="G3">
        <f t="shared" ref="G3:G66" si="0">LOG10(C3)</f>
        <v>-0.89279003035213167</v>
      </c>
      <c r="H3">
        <f t="shared" ref="H3:H66" si="1">LOG10(D3)</f>
        <v>-0.57531901112690198</v>
      </c>
      <c r="I3">
        <f t="shared" ref="I3:I66" si="2">LOG10(E3)</f>
        <v>-1.5698872804641701</v>
      </c>
      <c r="K3" s="5" t="s">
        <v>7</v>
      </c>
      <c r="L3">
        <f t="shared" ref="L3:L66" si="3">ABS(G3-H3)</f>
        <v>0.31747101922522969</v>
      </c>
      <c r="M3">
        <f t="shared" ref="M3:M66" si="4">ABS(G3-I3)</f>
        <v>0.67709725011203847</v>
      </c>
      <c r="N3" s="5" t="s">
        <v>18</v>
      </c>
      <c r="O3">
        <f>AVERAGE(L11:L17)</f>
        <v>1.0322993316004558</v>
      </c>
      <c r="P3">
        <f>AVERAGE(M11:M17)</f>
        <v>0.7394272071153819</v>
      </c>
      <c r="Q3">
        <f t="shared" ref="Q3:Q35" si="5">STDEV(L3:L11)</f>
        <v>0.60921986011340012</v>
      </c>
    </row>
    <row r="4" spans="1:17" x14ac:dyDescent="0.2">
      <c r="A4" s="5" t="s">
        <v>7</v>
      </c>
      <c r="B4" s="5" t="s">
        <v>11</v>
      </c>
      <c r="C4" s="24">
        <v>9.6579999999999995</v>
      </c>
      <c r="D4">
        <v>1.0799688834510397</v>
      </c>
      <c r="E4">
        <v>0.76874586570283021</v>
      </c>
      <c r="G4">
        <f t="shared" si="0"/>
        <v>0.98488720106432759</v>
      </c>
      <c r="H4">
        <f t="shared" si="1"/>
        <v>3.3411242579366812E-2</v>
      </c>
      <c r="I4">
        <f t="shared" si="2"/>
        <v>-0.11421720683574696</v>
      </c>
      <c r="K4" s="5" t="s">
        <v>7</v>
      </c>
      <c r="L4">
        <f t="shared" si="3"/>
        <v>0.9514759584849608</v>
      </c>
      <c r="M4">
        <f t="shared" si="4"/>
        <v>1.0991044079000745</v>
      </c>
      <c r="N4" s="5" t="s">
        <v>25</v>
      </c>
      <c r="O4">
        <f>AVERAGE(L18:L21)</f>
        <v>0.61878499991842184</v>
      </c>
      <c r="P4">
        <f>AVERAGE(M18:M21)</f>
        <v>0.93567136707031118</v>
      </c>
      <c r="Q4">
        <f t="shared" si="5"/>
        <v>0.59302077407194187</v>
      </c>
    </row>
    <row r="5" spans="1:17" x14ac:dyDescent="0.2">
      <c r="A5" s="5" t="s">
        <v>7</v>
      </c>
      <c r="B5" s="5" t="s">
        <v>12</v>
      </c>
      <c r="C5" s="24">
        <v>10.379</v>
      </c>
      <c r="D5">
        <v>0.18062898677665443</v>
      </c>
      <c r="E5">
        <v>2.7409185649557306E-2</v>
      </c>
      <c r="G5">
        <f t="shared" si="0"/>
        <v>1.0161555119514545</v>
      </c>
      <c r="H5">
        <f t="shared" si="1"/>
        <v>-0.74321255420529442</v>
      </c>
      <c r="I5">
        <f t="shared" si="2"/>
        <v>-1.5621038675308203</v>
      </c>
      <c r="K5" s="5" t="s">
        <v>7</v>
      </c>
      <c r="L5">
        <f t="shared" si="3"/>
        <v>1.7593680661567488</v>
      </c>
      <c r="M5">
        <f t="shared" si="4"/>
        <v>2.578259379482275</v>
      </c>
      <c r="N5" s="5" t="s">
        <v>115</v>
      </c>
      <c r="O5">
        <f>AVERAGE(L22:L30)</f>
        <v>0.52107379781841701</v>
      </c>
      <c r="Q5">
        <f t="shared" si="5"/>
        <v>0.64832165119722485</v>
      </c>
    </row>
    <row r="6" spans="1:17" x14ac:dyDescent="0.2">
      <c r="A6" s="5" t="s">
        <v>7</v>
      </c>
      <c r="B6" s="5" t="s">
        <v>13</v>
      </c>
      <c r="C6" s="24">
        <v>2.56</v>
      </c>
      <c r="D6">
        <v>0.77478221987123197</v>
      </c>
      <c r="E6">
        <v>0.32131535770640945</v>
      </c>
      <c r="G6">
        <f t="shared" si="0"/>
        <v>0.40823996531184958</v>
      </c>
      <c r="H6">
        <f t="shared" si="1"/>
        <v>-0.11082035426734729</v>
      </c>
      <c r="I6">
        <f t="shared" si="2"/>
        <v>-0.4930685162544251</v>
      </c>
      <c r="K6" s="5" t="s">
        <v>7</v>
      </c>
      <c r="L6">
        <f t="shared" si="3"/>
        <v>0.51906031957919685</v>
      </c>
      <c r="M6">
        <f t="shared" si="4"/>
        <v>0.90130848156627463</v>
      </c>
      <c r="N6" s="5" t="s">
        <v>28</v>
      </c>
      <c r="O6">
        <f>AVERAGE(L31)</f>
        <v>1.0538820588915887</v>
      </c>
      <c r="P6">
        <f>AVERAGE(M31)</f>
        <v>2.8260363030751177</v>
      </c>
      <c r="Q6">
        <f t="shared" si="5"/>
        <v>0.63903910971771472</v>
      </c>
    </row>
    <row r="7" spans="1:17" x14ac:dyDescent="0.2">
      <c r="A7" s="5" t="s">
        <v>7</v>
      </c>
      <c r="B7" s="5" t="s">
        <v>14</v>
      </c>
      <c r="C7" s="24">
        <v>0.16200000000000001</v>
      </c>
      <c r="D7">
        <v>0.19550079685996155</v>
      </c>
      <c r="E7">
        <v>1.1796693528120177E-2</v>
      </c>
      <c r="G7">
        <f t="shared" si="0"/>
        <v>-0.790484985457369</v>
      </c>
      <c r="H7">
        <f t="shared" si="1"/>
        <v>-0.70885146808305632</v>
      </c>
      <c r="I7">
        <f t="shared" si="2"/>
        <v>-1.9282397031784104</v>
      </c>
      <c r="K7" s="5" t="s">
        <v>7</v>
      </c>
      <c r="L7">
        <f t="shared" si="3"/>
        <v>8.1633517374312681E-2</v>
      </c>
      <c r="M7">
        <f t="shared" si="4"/>
        <v>1.1377547177210414</v>
      </c>
      <c r="N7" s="5" t="s">
        <v>30</v>
      </c>
      <c r="O7">
        <f>AVERAGE(L32:L36)</f>
        <v>1.1923121352303501</v>
      </c>
      <c r="P7">
        <f>AVERAGE(M32:M36)</f>
        <v>1.8493740855523328</v>
      </c>
      <c r="Q7">
        <f t="shared" si="5"/>
        <v>0.64158689199980479</v>
      </c>
    </row>
    <row r="8" spans="1:17" x14ac:dyDescent="0.2">
      <c r="A8" s="5" t="s">
        <v>7</v>
      </c>
      <c r="B8" s="5" t="s">
        <v>15</v>
      </c>
      <c r="C8" s="24">
        <v>3.5</v>
      </c>
      <c r="D8">
        <v>1.3467883482881249</v>
      </c>
      <c r="E8">
        <v>6.1333817615615693</v>
      </c>
      <c r="G8">
        <f t="shared" si="0"/>
        <v>0.54406804435027567</v>
      </c>
      <c r="H8">
        <f t="shared" si="1"/>
        <v>0.12929935044246807</v>
      </c>
      <c r="I8">
        <f t="shared" si="2"/>
        <v>0.78769999742507912</v>
      </c>
      <c r="K8" s="5" t="s">
        <v>7</v>
      </c>
      <c r="L8">
        <f t="shared" si="3"/>
        <v>0.41476869390780757</v>
      </c>
      <c r="M8">
        <f t="shared" si="4"/>
        <v>0.24363195307480345</v>
      </c>
      <c r="N8" s="5" t="s">
        <v>34</v>
      </c>
      <c r="O8">
        <f>AVERAGE(L37:L40)</f>
        <v>0.68660949045791242</v>
      </c>
      <c r="P8">
        <f>AVERAGE(M37:M40)</f>
        <v>1.2127476609006227</v>
      </c>
      <c r="Q8">
        <f t="shared" si="5"/>
        <v>0.5749098861847477</v>
      </c>
    </row>
    <row r="9" spans="1:17" x14ac:dyDescent="0.2">
      <c r="A9" s="5" t="s">
        <v>7</v>
      </c>
      <c r="B9" s="5" t="s">
        <v>16</v>
      </c>
      <c r="C9" s="24">
        <v>12</v>
      </c>
      <c r="D9">
        <v>0.26025061074584954</v>
      </c>
      <c r="E9">
        <v>0.11589238656802596</v>
      </c>
      <c r="G9">
        <f t="shared" si="0"/>
        <v>1.0791812460476249</v>
      </c>
      <c r="H9">
        <f t="shared" si="1"/>
        <v>-0.58460824263110123</v>
      </c>
      <c r="I9">
        <f t="shared" si="2"/>
        <v>-0.93594509363174416</v>
      </c>
      <c r="K9" s="5" t="s">
        <v>7</v>
      </c>
      <c r="L9">
        <f t="shared" si="3"/>
        <v>1.6637894886787261</v>
      </c>
      <c r="M9">
        <f t="shared" si="4"/>
        <v>2.015126339679369</v>
      </c>
      <c r="N9" s="5" t="s">
        <v>39</v>
      </c>
      <c r="O9">
        <f>AVERAGE(L41:L44)</f>
        <v>0.73193461094063117</v>
      </c>
      <c r="P9">
        <f>AVERAGE(M41:M44)</f>
        <v>1.044500610962783</v>
      </c>
      <c r="Q9">
        <f t="shared" si="5"/>
        <v>0.57247663727360365</v>
      </c>
    </row>
    <row r="10" spans="1:17" x14ac:dyDescent="0.2">
      <c r="A10" s="5" t="s">
        <v>7</v>
      </c>
      <c r="B10" s="5" t="s">
        <v>17</v>
      </c>
      <c r="C10" s="24">
        <v>10.763999999999999</v>
      </c>
      <c r="D10">
        <v>1.0058727301128421</v>
      </c>
      <c r="E10">
        <v>1.164290064094518</v>
      </c>
      <c r="G10">
        <f t="shared" si="0"/>
        <v>1.0319736890917168</v>
      </c>
      <c r="H10">
        <f t="shared" si="1"/>
        <v>2.5430342921832451E-3</v>
      </c>
      <c r="I10">
        <f t="shared" si="2"/>
        <v>6.6061191260814681E-2</v>
      </c>
      <c r="K10" s="5" t="s">
        <v>7</v>
      </c>
      <c r="L10">
        <f t="shared" si="3"/>
        <v>1.0294306547995336</v>
      </c>
      <c r="M10">
        <f t="shared" si="4"/>
        <v>0.96591249783090216</v>
      </c>
      <c r="N10" s="5" t="s">
        <v>43</v>
      </c>
      <c r="O10">
        <f>AVERAGE(L45:L49)</f>
        <v>0.79686948606040042</v>
      </c>
      <c r="P10">
        <f>AVERAGE(M45:M49)</f>
        <v>1.1308736437127322</v>
      </c>
      <c r="Q10">
        <f t="shared" si="5"/>
        <v>0.63032176195586498</v>
      </c>
    </row>
    <row r="11" spans="1:17" x14ac:dyDescent="0.2">
      <c r="A11" s="5" t="s">
        <v>18</v>
      </c>
      <c r="B11" s="5" t="s">
        <v>19</v>
      </c>
      <c r="C11" s="24">
        <v>0.82499999999999996</v>
      </c>
      <c r="D11">
        <v>0.41726172469092354</v>
      </c>
      <c r="E11">
        <v>5.3205299256556628E-2</v>
      </c>
      <c r="G11">
        <f t="shared" si="0"/>
        <v>-8.3546051450074932E-2</v>
      </c>
      <c r="H11">
        <f t="shared" si="1"/>
        <v>-0.37959145118070009</v>
      </c>
      <c r="I11">
        <f t="shared" si="2"/>
        <v>-1.2740451097488403</v>
      </c>
      <c r="K11" s="5" t="s">
        <v>18</v>
      </c>
      <c r="L11">
        <f t="shared" si="3"/>
        <v>0.29604539973062516</v>
      </c>
      <c r="M11">
        <f t="shared" si="4"/>
        <v>1.1904990582987653</v>
      </c>
      <c r="N11" s="5" t="s">
        <v>46</v>
      </c>
      <c r="O11">
        <f>AVERAGE(L50:L53)</f>
        <v>0.96776884057828561</v>
      </c>
      <c r="P11">
        <f>AVERAGE(M50:M53)</f>
        <v>1.2405309881122484</v>
      </c>
      <c r="Q11">
        <f t="shared" si="5"/>
        <v>0.63118429409723364</v>
      </c>
    </row>
    <row r="12" spans="1:17" x14ac:dyDescent="0.2">
      <c r="A12" s="5" t="s">
        <v>18</v>
      </c>
      <c r="B12" s="5" t="s">
        <v>20</v>
      </c>
      <c r="C12" s="24">
        <v>9.39</v>
      </c>
      <c r="D12">
        <v>0.66294792051843354</v>
      </c>
      <c r="E12">
        <v>0.80681265751170295</v>
      </c>
      <c r="G12">
        <f t="shared" si="0"/>
        <v>0.97266559226611093</v>
      </c>
      <c r="H12">
        <f t="shared" si="1"/>
        <v>-0.17852058731142706</v>
      </c>
      <c r="I12">
        <f t="shared" si="2"/>
        <v>-9.322729706764224E-2</v>
      </c>
      <c r="K12" s="5" t="s">
        <v>18</v>
      </c>
      <c r="L12">
        <f t="shared" si="3"/>
        <v>1.151186179577538</v>
      </c>
      <c r="M12">
        <f t="shared" si="4"/>
        <v>1.0658928893337531</v>
      </c>
      <c r="N12" s="5" t="s">
        <v>50</v>
      </c>
      <c r="O12">
        <f>AVERAGE(L54)</f>
        <v>1.248048731282601</v>
      </c>
      <c r="P12">
        <f>AVERAGE(M54)</f>
        <v>1.6336816779793826</v>
      </c>
      <c r="Q12">
        <f t="shared" si="5"/>
        <v>0.59108063780499154</v>
      </c>
    </row>
    <row r="13" spans="1:17" x14ac:dyDescent="0.2">
      <c r="A13" s="5" t="s">
        <v>18</v>
      </c>
      <c r="B13" s="5" t="s">
        <v>21</v>
      </c>
      <c r="C13" s="24">
        <v>11.172000000000001</v>
      </c>
      <c r="D13">
        <v>0.24711224274662405</v>
      </c>
      <c r="E13">
        <v>5.2789628292092132</v>
      </c>
      <c r="G13">
        <f t="shared" si="0"/>
        <v>1.0481309270289674</v>
      </c>
      <c r="H13">
        <f t="shared" si="1"/>
        <v>-0.60710573769953824</v>
      </c>
      <c r="I13">
        <f t="shared" si="2"/>
        <v>0.72254860401153609</v>
      </c>
      <c r="K13" s="5" t="s">
        <v>18</v>
      </c>
      <c r="L13">
        <f t="shared" si="3"/>
        <v>1.6552366647285055</v>
      </c>
      <c r="M13">
        <f t="shared" si="4"/>
        <v>0.32558232301743129</v>
      </c>
      <c r="N13" s="5" t="s">
        <v>52</v>
      </c>
      <c r="O13">
        <f>AVERAGE(L55:L61)</f>
        <v>0.67071427548802609</v>
      </c>
      <c r="P13">
        <f>AVERAGE(M55:M61)</f>
        <v>1.0744419534358443</v>
      </c>
      <c r="Q13">
        <f t="shared" si="5"/>
        <v>0.59282138786547867</v>
      </c>
    </row>
    <row r="14" spans="1:17" x14ac:dyDescent="0.2">
      <c r="A14" s="5" t="s">
        <v>18</v>
      </c>
      <c r="B14" s="5" t="s">
        <v>22</v>
      </c>
      <c r="C14" s="24">
        <v>10.831</v>
      </c>
      <c r="D14">
        <v>0.2170673515297481</v>
      </c>
      <c r="E14">
        <v>0.43594938180395731</v>
      </c>
      <c r="G14">
        <f t="shared" si="0"/>
        <v>1.0346685558342408</v>
      </c>
      <c r="H14">
        <f t="shared" si="1"/>
        <v>-0.66340549260607939</v>
      </c>
      <c r="I14">
        <f t="shared" si="2"/>
        <v>-0.36056393384933499</v>
      </c>
      <c r="K14" s="5" t="s">
        <v>18</v>
      </c>
      <c r="L14">
        <f t="shared" si="3"/>
        <v>1.6980740484403203</v>
      </c>
      <c r="M14">
        <f t="shared" si="4"/>
        <v>1.3952324896835757</v>
      </c>
      <c r="N14" s="5" t="s">
        <v>56</v>
      </c>
      <c r="O14">
        <f>AVERAGE(L62:L65)</f>
        <v>0.66305919421489423</v>
      </c>
      <c r="P14">
        <f>AVERAGE(M62:M65)</f>
        <v>0.91650538549957794</v>
      </c>
      <c r="Q14">
        <f t="shared" si="5"/>
        <v>0.56723259320222263</v>
      </c>
    </row>
    <row r="15" spans="1:17" x14ac:dyDescent="0.2">
      <c r="A15" s="5" t="s">
        <v>18</v>
      </c>
      <c r="B15" s="5" t="s">
        <v>23</v>
      </c>
      <c r="C15" s="24">
        <v>3.99</v>
      </c>
      <c r="D15">
        <v>1.2930065521264165</v>
      </c>
      <c r="E15">
        <v>4.8965534987719597</v>
      </c>
      <c r="G15">
        <f t="shared" si="0"/>
        <v>0.60097289568674828</v>
      </c>
      <c r="H15">
        <f t="shared" si="1"/>
        <v>0.11160072561135899</v>
      </c>
      <c r="I15">
        <f t="shared" si="2"/>
        <v>0.68989050388336215</v>
      </c>
      <c r="K15" s="5" t="s">
        <v>18</v>
      </c>
      <c r="L15">
        <f t="shared" si="3"/>
        <v>0.4893721700753893</v>
      </c>
      <c r="M15">
        <f t="shared" si="4"/>
        <v>8.8917608196613873E-2</v>
      </c>
      <c r="N15" s="5" t="s">
        <v>58</v>
      </c>
      <c r="O15">
        <f>AVERAGE(L66)</f>
        <v>1.0284189604282716</v>
      </c>
      <c r="P15">
        <f>AVERAGE(M66)</f>
        <v>0.79003806313371072</v>
      </c>
      <c r="Q15">
        <f t="shared" si="5"/>
        <v>0.45256511362989493</v>
      </c>
    </row>
    <row r="16" spans="1:17" x14ac:dyDescent="0.2">
      <c r="A16" s="5" t="s">
        <v>18</v>
      </c>
      <c r="B16" s="5" t="s">
        <v>24</v>
      </c>
      <c r="C16" s="24">
        <v>8.98</v>
      </c>
      <c r="D16">
        <v>0.2807565131362097</v>
      </c>
      <c r="E16">
        <v>1.5073115653180991</v>
      </c>
      <c r="G16">
        <f t="shared" si="0"/>
        <v>0.95327633666730438</v>
      </c>
      <c r="H16">
        <f t="shared" si="1"/>
        <v>-0.5516701599594499</v>
      </c>
      <c r="I16">
        <f t="shared" si="2"/>
        <v>0.17820303142070804</v>
      </c>
      <c r="K16" s="5" t="s">
        <v>18</v>
      </c>
      <c r="L16">
        <f t="shared" si="3"/>
        <v>1.5049464966267543</v>
      </c>
      <c r="M16">
        <f t="shared" si="4"/>
        <v>0.77507330524659634</v>
      </c>
      <c r="N16" s="5" t="s">
        <v>60</v>
      </c>
      <c r="O16">
        <f>AVERAGE(L67:L69)</f>
        <v>1.3789756657086407</v>
      </c>
      <c r="P16">
        <f>AVERAGE(M67:M69)</f>
        <v>1.8774160534587399</v>
      </c>
      <c r="Q16">
        <f t="shared" si="5"/>
        <v>0.4614694726249115</v>
      </c>
    </row>
    <row r="17" spans="1:17" x14ac:dyDescent="0.2">
      <c r="A17" s="5" t="s">
        <v>18</v>
      </c>
      <c r="B17" s="5" t="s">
        <v>14</v>
      </c>
      <c r="C17" s="24">
        <v>0.57699999999999996</v>
      </c>
      <c r="D17">
        <v>0.21376738822401412</v>
      </c>
      <c r="E17">
        <v>1.2472932991573968</v>
      </c>
      <c r="G17">
        <f t="shared" si="0"/>
        <v>-0.23882418684426859</v>
      </c>
      <c r="H17">
        <f t="shared" si="1"/>
        <v>-0.67005854886832616</v>
      </c>
      <c r="I17">
        <f t="shared" si="2"/>
        <v>9.5968589186668382E-2</v>
      </c>
      <c r="K17" s="5" t="s">
        <v>18</v>
      </c>
      <c r="L17">
        <f t="shared" si="3"/>
        <v>0.43123436202405757</v>
      </c>
      <c r="M17">
        <f t="shared" si="4"/>
        <v>0.33479277603093699</v>
      </c>
      <c r="N17" s="5" t="s">
        <v>62</v>
      </c>
      <c r="O17">
        <f>AVERAGE(L70:L71)</f>
        <v>0.30597315317660051</v>
      </c>
      <c r="P17">
        <f>AVERAGE(M70:M71)</f>
        <v>0.55996838651345193</v>
      </c>
      <c r="Q17">
        <f t="shared" si="5"/>
        <v>0.37438955127821194</v>
      </c>
    </row>
    <row r="18" spans="1:17" x14ac:dyDescent="0.2">
      <c r="A18" s="5" t="s">
        <v>25</v>
      </c>
      <c r="B18" s="5" t="s">
        <v>26</v>
      </c>
      <c r="C18" s="24">
        <v>0.73299999999999998</v>
      </c>
      <c r="D18">
        <v>0.70111943510819363</v>
      </c>
      <c r="E18">
        <v>0.31134214462907972</v>
      </c>
      <c r="G18">
        <f t="shared" si="0"/>
        <v>-0.13489602535887207</v>
      </c>
      <c r="H18">
        <f t="shared" si="1"/>
        <v>-0.15420799403023594</v>
      </c>
      <c r="I18">
        <f t="shared" si="2"/>
        <v>-0.50676208734512307</v>
      </c>
      <c r="K18" s="5" t="s">
        <v>25</v>
      </c>
      <c r="L18">
        <f t="shared" si="3"/>
        <v>1.9311968671363866E-2</v>
      </c>
      <c r="M18">
        <f t="shared" si="4"/>
        <v>0.371866061986251</v>
      </c>
      <c r="N18" s="5" t="s">
        <v>63</v>
      </c>
      <c r="O18">
        <f>AVERAGE(L72:L74)</f>
        <v>1.2308534661942228</v>
      </c>
      <c r="P18">
        <f>AVERAGE(M72:M74)</f>
        <v>2.2154702561737198</v>
      </c>
      <c r="Q18">
        <f t="shared" si="5"/>
        <v>0.41022871983206743</v>
      </c>
    </row>
    <row r="19" spans="1:17" x14ac:dyDescent="0.2">
      <c r="A19" s="5" t="s">
        <v>25</v>
      </c>
      <c r="B19" s="5" t="s">
        <v>19</v>
      </c>
      <c r="C19" s="24">
        <v>5.8</v>
      </c>
      <c r="D19">
        <v>1.0380236693265839</v>
      </c>
      <c r="E19">
        <v>0.52989503184985576</v>
      </c>
      <c r="G19">
        <f t="shared" si="0"/>
        <v>0.76342799356293722</v>
      </c>
      <c r="H19">
        <f t="shared" si="1"/>
        <v>1.62072565381878E-2</v>
      </c>
      <c r="I19">
        <f t="shared" si="2"/>
        <v>-0.27581015229225203</v>
      </c>
      <c r="K19" s="5" t="s">
        <v>25</v>
      </c>
      <c r="L19">
        <f t="shared" si="3"/>
        <v>0.74722073702474945</v>
      </c>
      <c r="M19">
        <f t="shared" si="4"/>
        <v>1.0392381458551894</v>
      </c>
      <c r="N19" s="5" t="s">
        <v>66</v>
      </c>
      <c r="O19">
        <f>AVERAGE(L75:L77)</f>
        <v>0.69660513443630634</v>
      </c>
      <c r="P19">
        <f>AVERAGE(M75:M77)</f>
        <v>1.4571663360638645</v>
      </c>
      <c r="Q19">
        <f t="shared" si="5"/>
        <v>0.45970014534657144</v>
      </c>
    </row>
    <row r="20" spans="1:17" x14ac:dyDescent="0.2">
      <c r="A20" s="5" t="s">
        <v>25</v>
      </c>
      <c r="B20" s="5" t="s">
        <v>20</v>
      </c>
      <c r="C20" s="24">
        <v>13.317</v>
      </c>
      <c r="D20">
        <v>1.297085462748597</v>
      </c>
      <c r="E20">
        <v>1.2958319363291029</v>
      </c>
      <c r="G20">
        <f t="shared" si="0"/>
        <v>1.1244063997450291</v>
      </c>
      <c r="H20">
        <f t="shared" si="1"/>
        <v>0.11296859194941714</v>
      </c>
      <c r="I20">
        <f t="shared" si="2"/>
        <v>0.11254867911338799</v>
      </c>
      <c r="K20" s="5" t="s">
        <v>25</v>
      </c>
      <c r="L20">
        <f t="shared" si="3"/>
        <v>1.0114378077956119</v>
      </c>
      <c r="M20">
        <f t="shared" si="4"/>
        <v>1.011857720631641</v>
      </c>
      <c r="N20" s="5" t="s">
        <v>67</v>
      </c>
      <c r="O20">
        <f>AVERAGE(L78:L79)</f>
        <v>0.73157118137448562</v>
      </c>
      <c r="P20">
        <f>AVERAGE(M78:M79)</f>
        <v>2.731033774959152</v>
      </c>
      <c r="Q20">
        <f t="shared" si="5"/>
        <v>0.48108276295353708</v>
      </c>
    </row>
    <row r="21" spans="1:17" x14ac:dyDescent="0.2">
      <c r="A21" s="5" t="s">
        <v>25</v>
      </c>
      <c r="B21" s="5" t="s">
        <v>27</v>
      </c>
      <c r="C21" s="24">
        <v>3.44</v>
      </c>
      <c r="D21">
        <v>0.69085826309338794</v>
      </c>
      <c r="E21">
        <v>0.16475359609502996</v>
      </c>
      <c r="G21">
        <f t="shared" si="0"/>
        <v>0.53655844257153007</v>
      </c>
      <c r="H21">
        <f t="shared" si="1"/>
        <v>-0.16061104361043227</v>
      </c>
      <c r="I21">
        <f t="shared" si="2"/>
        <v>-0.78316509723663308</v>
      </c>
      <c r="K21" s="5" t="s">
        <v>25</v>
      </c>
      <c r="L21">
        <f t="shared" si="3"/>
        <v>0.69716948618196239</v>
      </c>
      <c r="M21">
        <f t="shared" si="4"/>
        <v>1.3197235398081633</v>
      </c>
      <c r="N21" s="5" t="s">
        <v>70</v>
      </c>
      <c r="O21">
        <f>AVERAGE(L80:L85)</f>
        <v>0.97390069696555914</v>
      </c>
      <c r="P21">
        <f>AVERAGE(M80:M85)</f>
        <v>1.0890102561724586</v>
      </c>
      <c r="Q21">
        <f t="shared" si="5"/>
        <v>0.49186928670335922</v>
      </c>
    </row>
    <row r="22" spans="1:17" x14ac:dyDescent="0.2">
      <c r="A22" s="5" t="s">
        <v>115</v>
      </c>
      <c r="B22" s="5" t="s">
        <v>26</v>
      </c>
      <c r="C22" s="24">
        <v>0.68100000000000005</v>
      </c>
      <c r="D22">
        <v>0.45521456005621036</v>
      </c>
      <c r="G22">
        <f t="shared" si="0"/>
        <v>-0.16685288808721482</v>
      </c>
      <c r="H22">
        <f t="shared" si="1"/>
        <v>-0.34178385546416945</v>
      </c>
      <c r="K22" s="5" t="s">
        <v>115</v>
      </c>
      <c r="L22">
        <f t="shared" si="3"/>
        <v>0.17493096737695463</v>
      </c>
      <c r="N22" s="5" t="s">
        <v>75</v>
      </c>
      <c r="O22">
        <f>AVERAGE(L86:L88)</f>
        <v>0.9223231386714007</v>
      </c>
      <c r="P22">
        <f>AVERAGE(M86:M88)</f>
        <v>1.5395720267782913</v>
      </c>
      <c r="Q22">
        <f t="shared" si="5"/>
        <v>0.49361176908060317</v>
      </c>
    </row>
    <row r="23" spans="1:17" x14ac:dyDescent="0.2">
      <c r="A23" s="5" t="s">
        <v>115</v>
      </c>
      <c r="B23" s="5" t="s">
        <v>19</v>
      </c>
      <c r="C23" s="24">
        <v>1.7390000000000001</v>
      </c>
      <c r="D23">
        <v>0.7702839670972994</v>
      </c>
      <c r="G23">
        <f t="shared" si="0"/>
        <v>0.24029958200271248</v>
      </c>
      <c r="H23">
        <f t="shared" si="1"/>
        <v>-0.11334914156971522</v>
      </c>
      <c r="K23" s="5" t="s">
        <v>115</v>
      </c>
      <c r="L23">
        <f t="shared" si="3"/>
        <v>0.35364872357242771</v>
      </c>
      <c r="N23" s="5" t="s">
        <v>76</v>
      </c>
      <c r="O23">
        <f>AVERAGE(L89)</f>
        <v>0.63453674845929431</v>
      </c>
      <c r="P23">
        <f>AVERAGE(M89)</f>
        <v>0.17290915978754989</v>
      </c>
      <c r="Q23">
        <f t="shared" si="5"/>
        <v>0.50341967653645392</v>
      </c>
    </row>
    <row r="24" spans="1:17" x14ac:dyDescent="0.2">
      <c r="A24" s="5" t="s">
        <v>115</v>
      </c>
      <c r="B24" s="5" t="s">
        <v>72</v>
      </c>
      <c r="C24" s="24">
        <v>9.3699999999999992</v>
      </c>
      <c r="D24">
        <v>1.1345228316119398</v>
      </c>
      <c r="G24">
        <f t="shared" si="0"/>
        <v>0.97173959088777828</v>
      </c>
      <c r="H24">
        <f t="shared" si="1"/>
        <v>5.4813240232681942E-2</v>
      </c>
      <c r="K24" s="5" t="s">
        <v>115</v>
      </c>
      <c r="L24">
        <f t="shared" si="3"/>
        <v>0.91692635065509631</v>
      </c>
      <c r="N24" s="5" t="s">
        <v>77</v>
      </c>
      <c r="O24">
        <v>0.54512110583794438</v>
      </c>
      <c r="P24">
        <v>0.71066007802830267</v>
      </c>
      <c r="Q24">
        <f t="shared" si="5"/>
        <v>0.53976307747002361</v>
      </c>
    </row>
    <row r="25" spans="1:17" x14ac:dyDescent="0.2">
      <c r="A25" s="5" t="s">
        <v>115</v>
      </c>
      <c r="B25" s="5" t="s">
        <v>20</v>
      </c>
      <c r="C25" s="24">
        <v>0.64100000000000001</v>
      </c>
      <c r="D25">
        <v>0.60383113834845714</v>
      </c>
      <c r="G25">
        <f t="shared" si="0"/>
        <v>-0.19314197048118256</v>
      </c>
      <c r="H25">
        <f t="shared" si="1"/>
        <v>-0.21908449504888963</v>
      </c>
      <c r="K25" s="5" t="s">
        <v>115</v>
      </c>
      <c r="L25">
        <f t="shared" si="3"/>
        <v>2.594252456770707E-2</v>
      </c>
      <c r="N25" s="5" t="s">
        <v>78</v>
      </c>
      <c r="O25">
        <f>AVERAGE(L91:L97)</f>
        <v>0.83862168993086761</v>
      </c>
      <c r="P25">
        <f>AVERAGE(M91:M97)</f>
        <v>1.2391178779824223</v>
      </c>
      <c r="Q25">
        <f t="shared" si="5"/>
        <v>0.59813831899652914</v>
      </c>
    </row>
    <row r="26" spans="1:17" x14ac:dyDescent="0.2">
      <c r="A26" s="5" t="s">
        <v>115</v>
      </c>
      <c r="B26" s="5" t="s">
        <v>116</v>
      </c>
      <c r="C26" s="24">
        <v>11.785</v>
      </c>
      <c r="D26">
        <v>1.1779254242300394</v>
      </c>
      <c r="G26">
        <f t="shared" si="0"/>
        <v>1.0713295868603425</v>
      </c>
      <c r="H26">
        <f t="shared" si="1"/>
        <v>7.111779565429914E-2</v>
      </c>
      <c r="K26" s="5" t="s">
        <v>115</v>
      </c>
      <c r="L26">
        <f t="shared" si="3"/>
        <v>1.0002117912060433</v>
      </c>
      <c r="N26" s="5" t="s">
        <v>86</v>
      </c>
      <c r="O26">
        <f>AVERAGE(L98)</f>
        <v>0.81638176939625318</v>
      </c>
      <c r="P26">
        <f>AVERAGE(M98)</f>
        <v>0.78116465376757482</v>
      </c>
      <c r="Q26">
        <f t="shared" si="5"/>
        <v>0.53368632183646192</v>
      </c>
    </row>
    <row r="27" spans="1:17" x14ac:dyDescent="0.2">
      <c r="A27" s="5" t="s">
        <v>115</v>
      </c>
      <c r="B27" s="5" t="s">
        <v>21</v>
      </c>
      <c r="C27" s="24">
        <v>10.64</v>
      </c>
      <c r="D27">
        <v>0.35388566278766892</v>
      </c>
      <c r="G27">
        <f t="shared" si="0"/>
        <v>1.0269416279590293</v>
      </c>
      <c r="H27">
        <f t="shared" si="1"/>
        <v>-0.45113703187599247</v>
      </c>
      <c r="K27" s="5" t="s">
        <v>115</v>
      </c>
      <c r="L27">
        <f t="shared" si="3"/>
        <v>1.4780786598350217</v>
      </c>
      <c r="N27" s="5" t="s">
        <v>88</v>
      </c>
      <c r="O27">
        <f>AVERAGE(L99:L105)</f>
        <v>0.77827576971361523</v>
      </c>
      <c r="P27">
        <f>AVERAGE(M99:M105)</f>
        <v>0.97584516064624893</v>
      </c>
      <c r="Q27">
        <f t="shared" si="5"/>
        <v>0.5327800423583704</v>
      </c>
    </row>
    <row r="28" spans="1:17" x14ac:dyDescent="0.2">
      <c r="A28" s="5" t="s">
        <v>115</v>
      </c>
      <c r="B28" s="5" t="s">
        <v>22</v>
      </c>
      <c r="C28" s="24">
        <v>0.49</v>
      </c>
      <c r="D28">
        <v>0.25719879185568362</v>
      </c>
      <c r="G28">
        <f t="shared" si="0"/>
        <v>-0.30980391997148632</v>
      </c>
      <c r="H28">
        <f t="shared" si="1"/>
        <v>-0.5897310757619767</v>
      </c>
      <c r="K28" s="5" t="s">
        <v>115</v>
      </c>
      <c r="L28">
        <f t="shared" si="3"/>
        <v>0.27992715579049038</v>
      </c>
      <c r="N28" s="5" t="s">
        <v>93</v>
      </c>
      <c r="O28">
        <f>AVERAGE(L106:L107)</f>
        <v>0.55858754447956827</v>
      </c>
      <c r="P28">
        <f>AVERAGE(M106:M107)</f>
        <v>0.66593246120013805</v>
      </c>
      <c r="Q28">
        <f t="shared" si="5"/>
        <v>0.49401228386410628</v>
      </c>
    </row>
    <row r="29" spans="1:17" x14ac:dyDescent="0.2">
      <c r="A29" s="5" t="s">
        <v>115</v>
      </c>
      <c r="B29" s="5" t="s">
        <v>27</v>
      </c>
      <c r="C29" s="24">
        <v>0.35299999999999998</v>
      </c>
      <c r="D29">
        <v>0.45992913592707058</v>
      </c>
      <c r="G29">
        <f t="shared" si="0"/>
        <v>-0.45222529461217748</v>
      </c>
      <c r="H29">
        <f t="shared" si="1"/>
        <v>-0.33730907755022954</v>
      </c>
      <c r="K29" s="5" t="s">
        <v>115</v>
      </c>
      <c r="L29">
        <f t="shared" si="3"/>
        <v>0.11491621706194793</v>
      </c>
      <c r="N29" s="5" t="s">
        <v>94</v>
      </c>
      <c r="O29">
        <f>AVERAGE(L108:L109)</f>
        <v>1.0661550059090628</v>
      </c>
      <c r="P29">
        <f>AVERAGE(M108:M109)</f>
        <v>1.5347988415443112</v>
      </c>
      <c r="Q29">
        <f t="shared" si="5"/>
        <v>0.52068819939388178</v>
      </c>
    </row>
    <row r="30" spans="1:17" x14ac:dyDescent="0.2">
      <c r="A30" s="5" t="s">
        <v>115</v>
      </c>
      <c r="B30" s="5" t="s">
        <v>117</v>
      </c>
      <c r="C30" s="24">
        <v>4.3310000000000004</v>
      </c>
      <c r="D30">
        <v>1.9566195719337878</v>
      </c>
      <c r="G30">
        <f t="shared" si="0"/>
        <v>0.63658818372984238</v>
      </c>
      <c r="H30">
        <f t="shared" si="1"/>
        <v>0.2915063934297783</v>
      </c>
      <c r="K30" s="5" t="s">
        <v>115</v>
      </c>
      <c r="L30">
        <f t="shared" si="3"/>
        <v>0.34508179030006408</v>
      </c>
      <c r="N30" s="5" t="s">
        <v>96</v>
      </c>
      <c r="O30">
        <f>AVERAGE(L110:L118)</f>
        <v>1.2470511941565705</v>
      </c>
      <c r="P30">
        <f>AVERAGE(M110:M118)</f>
        <v>1.3965529636741745</v>
      </c>
      <c r="Q30">
        <f t="shared" si="5"/>
        <v>0.40260640925599467</v>
      </c>
    </row>
    <row r="31" spans="1:17" x14ac:dyDescent="0.2">
      <c r="A31" s="5" t="s">
        <v>28</v>
      </c>
      <c r="B31" s="5" t="s">
        <v>29</v>
      </c>
      <c r="C31" s="24">
        <v>2.5</v>
      </c>
      <c r="D31">
        <v>0.22082993762434994</v>
      </c>
      <c r="E31">
        <v>3.7316740768419819E-3</v>
      </c>
      <c r="G31">
        <f t="shared" si="0"/>
        <v>0.3979400086720376</v>
      </c>
      <c r="H31">
        <f t="shared" si="1"/>
        <v>-0.6559420502195511</v>
      </c>
      <c r="I31">
        <f t="shared" si="2"/>
        <v>-2.4280962944030802</v>
      </c>
      <c r="K31" s="5" t="s">
        <v>28</v>
      </c>
      <c r="L31">
        <f t="shared" si="3"/>
        <v>1.0538820588915887</v>
      </c>
      <c r="M31">
        <f t="shared" si="4"/>
        <v>2.8260363030751177</v>
      </c>
      <c r="N31" s="5" t="s">
        <v>103</v>
      </c>
      <c r="O31">
        <f>AVERAGE(L119:L120)</f>
        <v>1.4017558697967658</v>
      </c>
      <c r="P31">
        <f>AVERAGE(M119:M120)</f>
        <v>1.5410877113520485</v>
      </c>
      <c r="Q31">
        <f t="shared" si="5"/>
        <v>0.48543858318880984</v>
      </c>
    </row>
    <row r="32" spans="1:17" x14ac:dyDescent="0.2">
      <c r="A32" s="5" t="s">
        <v>30</v>
      </c>
      <c r="B32" s="5" t="s">
        <v>31</v>
      </c>
      <c r="C32" s="24">
        <v>12.545999999999999</v>
      </c>
      <c r="D32">
        <v>0.61769623264475515</v>
      </c>
      <c r="E32">
        <v>0.72197118918850833</v>
      </c>
      <c r="G32">
        <f t="shared" si="0"/>
        <v>1.0985052832013156</v>
      </c>
      <c r="H32">
        <f t="shared" si="1"/>
        <v>-0.20922504743449924</v>
      </c>
      <c r="I32">
        <f t="shared" si="2"/>
        <v>-0.141480132937431</v>
      </c>
      <c r="K32" s="5" t="s">
        <v>30</v>
      </c>
      <c r="L32">
        <f t="shared" si="3"/>
        <v>1.3077303306358148</v>
      </c>
      <c r="M32">
        <f t="shared" si="4"/>
        <v>1.2399854161387465</v>
      </c>
      <c r="N32" s="5" t="s">
        <v>106</v>
      </c>
      <c r="O32">
        <f>AVERAGE(L121)</f>
        <v>0.97847164901554973</v>
      </c>
      <c r="P32">
        <f>AVERAGE(M121)</f>
        <v>1.1223759066891394</v>
      </c>
      <c r="Q32">
        <f t="shared" si="5"/>
        <v>0.5858531363428825</v>
      </c>
    </row>
    <row r="33" spans="1:17" x14ac:dyDescent="0.2">
      <c r="A33" s="5" t="s">
        <v>30</v>
      </c>
      <c r="B33" s="5" t="s">
        <v>32</v>
      </c>
      <c r="C33" s="24">
        <v>6.3</v>
      </c>
      <c r="D33">
        <v>0.19759083465087196</v>
      </c>
      <c r="E33">
        <v>1.9815881751097265E-2</v>
      </c>
      <c r="G33">
        <f t="shared" si="0"/>
        <v>0.79934054945358168</v>
      </c>
      <c r="H33">
        <f t="shared" si="1"/>
        <v>-0.70423320424670754</v>
      </c>
      <c r="I33">
        <f t="shared" si="2"/>
        <v>-1.7029865980148302</v>
      </c>
      <c r="K33" s="5" t="s">
        <v>30</v>
      </c>
      <c r="L33">
        <f t="shared" si="3"/>
        <v>1.5035737537002891</v>
      </c>
      <c r="M33">
        <f t="shared" si="4"/>
        <v>2.5023271474684119</v>
      </c>
      <c r="N33" s="5" t="s">
        <v>107</v>
      </c>
      <c r="O33">
        <f>AVERAGE(L122:L125)</f>
        <v>0.77467438762150231</v>
      </c>
      <c r="P33">
        <f>AVERAGE(M122:M125)</f>
        <v>0.84888974336508449</v>
      </c>
      <c r="Q33">
        <f t="shared" si="5"/>
        <v>0.57518504203955279</v>
      </c>
    </row>
    <row r="34" spans="1:17" x14ac:dyDescent="0.2">
      <c r="A34" s="5" t="s">
        <v>30</v>
      </c>
      <c r="B34" s="5" t="s">
        <v>14</v>
      </c>
      <c r="C34" s="24">
        <v>5.8</v>
      </c>
      <c r="D34">
        <v>0.39024780606812126</v>
      </c>
      <c r="E34">
        <v>8.0881787812121755E-2</v>
      </c>
      <c r="G34">
        <f t="shared" si="0"/>
        <v>0.76342799356293722</v>
      </c>
      <c r="H34">
        <f t="shared" si="1"/>
        <v>-0.40865952981631209</v>
      </c>
      <c r="I34">
        <f t="shared" si="2"/>
        <v>-1.0921492576599101</v>
      </c>
      <c r="K34" s="5" t="s">
        <v>30</v>
      </c>
      <c r="L34">
        <f t="shared" si="3"/>
        <v>1.1720875233792494</v>
      </c>
      <c r="M34">
        <f t="shared" si="4"/>
        <v>1.8555772512228472</v>
      </c>
      <c r="N34" s="5" t="s">
        <v>110</v>
      </c>
      <c r="O34">
        <f>AVERAGE(L126:L128)</f>
        <v>0.81181433623995858</v>
      </c>
      <c r="P34">
        <f>AVERAGE(M126:M128)</f>
        <v>0.9917361290563167</v>
      </c>
      <c r="Q34">
        <f t="shared" si="5"/>
        <v>0.58357378058597276</v>
      </c>
    </row>
    <row r="35" spans="1:17" x14ac:dyDescent="0.2">
      <c r="A35" s="5" t="s">
        <v>30</v>
      </c>
      <c r="B35" s="5" t="s">
        <v>33</v>
      </c>
      <c r="C35" s="24">
        <v>3.4860000000000002</v>
      </c>
      <c r="D35">
        <v>0.42938030782573344</v>
      </c>
      <c r="E35">
        <v>0.18161666255026207</v>
      </c>
      <c r="G35">
        <f t="shared" si="0"/>
        <v>0.54232738277397441</v>
      </c>
      <c r="H35">
        <f t="shared" si="1"/>
        <v>-0.36715787699042579</v>
      </c>
      <c r="I35">
        <f t="shared" si="2"/>
        <v>-0.74084430932998713</v>
      </c>
      <c r="K35" s="5" t="s">
        <v>30</v>
      </c>
      <c r="L35">
        <f t="shared" si="3"/>
        <v>0.9094852597644002</v>
      </c>
      <c r="M35">
        <f t="shared" si="4"/>
        <v>1.2831716921039615</v>
      </c>
      <c r="N35" s="5" t="s">
        <v>112</v>
      </c>
      <c r="O35">
        <v>1.2833917883454566</v>
      </c>
      <c r="P35">
        <v>1.1187302825349161</v>
      </c>
      <c r="Q35">
        <f t="shared" si="5"/>
        <v>0.56989760632964415</v>
      </c>
    </row>
    <row r="36" spans="1:17" x14ac:dyDescent="0.2">
      <c r="A36" s="5" t="s">
        <v>30</v>
      </c>
      <c r="B36" s="5" t="s">
        <v>29</v>
      </c>
      <c r="C36" s="24">
        <v>2.2000000000000002</v>
      </c>
      <c r="D36">
        <v>0.1878187181324423</v>
      </c>
      <c r="E36">
        <v>9.4757536184821682E-3</v>
      </c>
      <c r="G36">
        <f t="shared" si="0"/>
        <v>0.34242268082220628</v>
      </c>
      <c r="H36">
        <f t="shared" si="1"/>
        <v>-0.72626112784979036</v>
      </c>
      <c r="I36">
        <f t="shared" si="2"/>
        <v>-2.0233862400054905</v>
      </c>
      <c r="K36" s="5" t="s">
        <v>30</v>
      </c>
      <c r="L36">
        <f t="shared" si="3"/>
        <v>1.0686838086719965</v>
      </c>
      <c r="M36">
        <f t="shared" si="4"/>
        <v>2.3658089208276967</v>
      </c>
    </row>
    <row r="37" spans="1:17" x14ac:dyDescent="0.2">
      <c r="A37" s="5" t="s">
        <v>34</v>
      </c>
      <c r="B37" s="5" t="s">
        <v>35</v>
      </c>
      <c r="C37" s="24">
        <v>17</v>
      </c>
      <c r="D37">
        <v>0.29941316728729866</v>
      </c>
      <c r="E37">
        <v>0.49501613800645661</v>
      </c>
      <c r="G37">
        <f t="shared" si="0"/>
        <v>1.2304489213782739</v>
      </c>
      <c r="H37">
        <f t="shared" si="1"/>
        <v>-0.52372910461262956</v>
      </c>
      <c r="I37">
        <f t="shared" si="2"/>
        <v>-0.30538064241409302</v>
      </c>
      <c r="K37" s="5" t="s">
        <v>34</v>
      </c>
      <c r="L37">
        <f t="shared" si="3"/>
        <v>1.7541780259909034</v>
      </c>
      <c r="M37">
        <f t="shared" si="4"/>
        <v>1.5358295637923669</v>
      </c>
    </row>
    <row r="38" spans="1:17" x14ac:dyDescent="0.2">
      <c r="A38" s="5" t="s">
        <v>34</v>
      </c>
      <c r="B38" s="5" t="s">
        <v>36</v>
      </c>
      <c r="C38" s="24">
        <v>0.82899999999999996</v>
      </c>
      <c r="D38">
        <v>0.10975097746266463</v>
      </c>
      <c r="E38">
        <v>1.5241768943610869E-2</v>
      </c>
      <c r="G38">
        <f t="shared" si="0"/>
        <v>-8.1445469449726471E-2</v>
      </c>
      <c r="H38">
        <f t="shared" si="1"/>
        <v>-0.95959160316100145</v>
      </c>
      <c r="I38">
        <f t="shared" si="2"/>
        <v>-1.8169646263122601</v>
      </c>
      <c r="K38" s="5" t="s">
        <v>34</v>
      </c>
      <c r="L38">
        <f t="shared" si="3"/>
        <v>0.87814613371127503</v>
      </c>
      <c r="M38">
        <f t="shared" si="4"/>
        <v>1.7355191568625337</v>
      </c>
    </row>
    <row r="39" spans="1:17" x14ac:dyDescent="0.2">
      <c r="A39" s="5" t="s">
        <v>34</v>
      </c>
      <c r="B39" s="5" t="s">
        <v>37</v>
      </c>
      <c r="C39" s="24">
        <v>0.25700000000000001</v>
      </c>
      <c r="D39">
        <v>0.24463133113912694</v>
      </c>
      <c r="E39">
        <v>6.7737757108941601E-2</v>
      </c>
      <c r="G39">
        <f t="shared" si="0"/>
        <v>-0.5900668766687055</v>
      </c>
      <c r="H39">
        <f t="shared" si="1"/>
        <v>-0.61148792150478892</v>
      </c>
      <c r="I39">
        <f t="shared" si="2"/>
        <v>-1.1691691875457801</v>
      </c>
      <c r="K39" s="5" t="s">
        <v>34</v>
      </c>
      <c r="L39">
        <f t="shared" si="3"/>
        <v>2.1421044836083425E-2</v>
      </c>
      <c r="M39">
        <f t="shared" si="4"/>
        <v>0.57910231087707464</v>
      </c>
    </row>
    <row r="40" spans="1:17" x14ac:dyDescent="0.2">
      <c r="A40" s="5" t="s">
        <v>34</v>
      </c>
      <c r="B40" s="5" t="s">
        <v>38</v>
      </c>
      <c r="C40" s="24">
        <v>0.71</v>
      </c>
      <c r="D40">
        <v>0.87892355979015313</v>
      </c>
      <c r="E40">
        <v>7.0911837090290003E-2</v>
      </c>
      <c r="G40">
        <f t="shared" si="0"/>
        <v>-0.14874165128092473</v>
      </c>
      <c r="H40">
        <f t="shared" si="1"/>
        <v>-5.6048893987536902E-2</v>
      </c>
      <c r="I40">
        <f t="shared" si="2"/>
        <v>-1.14928126335144</v>
      </c>
      <c r="K40" s="5" t="s">
        <v>34</v>
      </c>
      <c r="L40">
        <f t="shared" si="3"/>
        <v>9.2692757293387829E-2</v>
      </c>
      <c r="M40">
        <f t="shared" si="4"/>
        <v>1.0005396120705152</v>
      </c>
    </row>
    <row r="41" spans="1:17" x14ac:dyDescent="0.2">
      <c r="A41" s="5" t="s">
        <v>39</v>
      </c>
      <c r="B41" s="5" t="s">
        <v>8</v>
      </c>
      <c r="C41" s="24">
        <v>0.111</v>
      </c>
      <c r="D41">
        <v>0.60718507528878496</v>
      </c>
      <c r="E41">
        <v>0.3844254527368226</v>
      </c>
      <c r="G41">
        <f t="shared" si="0"/>
        <v>-0.95467702121334252</v>
      </c>
      <c r="H41">
        <f t="shared" si="1"/>
        <v>-0.21667891201274886</v>
      </c>
      <c r="I41">
        <f t="shared" si="2"/>
        <v>-0.41518786549568204</v>
      </c>
      <c r="K41" s="5" t="s">
        <v>39</v>
      </c>
      <c r="L41">
        <f t="shared" si="3"/>
        <v>0.73799810920059361</v>
      </c>
      <c r="M41">
        <f t="shared" si="4"/>
        <v>0.53948915571766043</v>
      </c>
    </row>
    <row r="42" spans="1:17" x14ac:dyDescent="0.2">
      <c r="A42" s="5" t="s">
        <v>39</v>
      </c>
      <c r="B42" s="5" t="s">
        <v>40</v>
      </c>
      <c r="C42" s="24">
        <v>0.13500000000000001</v>
      </c>
      <c r="D42">
        <v>0.16726658804256608</v>
      </c>
      <c r="E42">
        <v>1.0468632416406198E-2</v>
      </c>
      <c r="G42">
        <f t="shared" si="0"/>
        <v>-0.86966623150499389</v>
      </c>
      <c r="H42">
        <f t="shared" si="1"/>
        <v>-0.77659080188228868</v>
      </c>
      <c r="I42">
        <f t="shared" si="2"/>
        <v>-1.9801100492477399</v>
      </c>
      <c r="K42" s="5" t="s">
        <v>39</v>
      </c>
      <c r="L42">
        <f t="shared" si="3"/>
        <v>9.3075429622705208E-2</v>
      </c>
      <c r="M42">
        <f t="shared" si="4"/>
        <v>1.110443817742746</v>
      </c>
    </row>
    <row r="43" spans="1:17" x14ac:dyDescent="0.2">
      <c r="A43" s="5" t="s">
        <v>39</v>
      </c>
      <c r="B43" s="5" t="s">
        <v>41</v>
      </c>
      <c r="C43" s="24">
        <v>8.5739999999999998</v>
      </c>
      <c r="D43">
        <v>0.88146745922514547</v>
      </c>
      <c r="E43">
        <v>0.40809809085625109</v>
      </c>
      <c r="G43">
        <f t="shared" si="0"/>
        <v>0.93318347917461386</v>
      </c>
      <c r="H43">
        <f t="shared" si="1"/>
        <v>-5.4793715741075236E-2</v>
      </c>
      <c r="I43">
        <f t="shared" si="2"/>
        <v>-0.38923543691635099</v>
      </c>
      <c r="K43" s="5" t="s">
        <v>39</v>
      </c>
      <c r="L43">
        <f t="shared" si="3"/>
        <v>0.98797719491568914</v>
      </c>
      <c r="M43">
        <f t="shared" si="4"/>
        <v>1.3224189160909647</v>
      </c>
    </row>
    <row r="44" spans="1:17" x14ac:dyDescent="0.2">
      <c r="A44" s="5" t="s">
        <v>39</v>
      </c>
      <c r="B44" s="5" t="s">
        <v>42</v>
      </c>
      <c r="C44" s="24">
        <v>11.082000000000001</v>
      </c>
      <c r="D44">
        <v>0.86284032910007613</v>
      </c>
      <c r="E44">
        <v>0.69018829780841984</v>
      </c>
      <c r="G44">
        <f t="shared" si="0"/>
        <v>1.044618145823885</v>
      </c>
      <c r="H44">
        <f t="shared" si="1"/>
        <v>-6.406956419965168E-2</v>
      </c>
      <c r="I44">
        <f t="shared" si="2"/>
        <v>-0.16103240847587608</v>
      </c>
      <c r="K44" s="5" t="s">
        <v>39</v>
      </c>
      <c r="L44">
        <f t="shared" si="3"/>
        <v>1.1086877100235366</v>
      </c>
      <c r="M44">
        <f t="shared" si="4"/>
        <v>1.2056505542997611</v>
      </c>
    </row>
    <row r="45" spans="1:17" x14ac:dyDescent="0.2">
      <c r="A45" s="5" t="s">
        <v>43</v>
      </c>
      <c r="B45" s="5" t="s">
        <v>8</v>
      </c>
      <c r="C45" s="24">
        <v>6.4000000000000001E-2</v>
      </c>
      <c r="D45">
        <v>0.51122287059198801</v>
      </c>
      <c r="E45">
        <v>0.22768425787999363</v>
      </c>
      <c r="G45">
        <f t="shared" si="0"/>
        <v>-1.1938200260161129</v>
      </c>
      <c r="H45">
        <f t="shared" si="1"/>
        <v>-0.29138972537055208</v>
      </c>
      <c r="I45">
        <f t="shared" si="2"/>
        <v>-0.64266699552536011</v>
      </c>
      <c r="K45" s="5" t="s">
        <v>43</v>
      </c>
      <c r="L45">
        <f t="shared" si="3"/>
        <v>0.90243030064556085</v>
      </c>
      <c r="M45">
        <f t="shared" si="4"/>
        <v>0.55115303049075282</v>
      </c>
    </row>
    <row r="46" spans="1:17" x14ac:dyDescent="0.2">
      <c r="A46" s="5" t="s">
        <v>43</v>
      </c>
      <c r="B46" s="5" t="s">
        <v>40</v>
      </c>
      <c r="C46" s="24">
        <v>0.92900000000000005</v>
      </c>
      <c r="D46">
        <v>0.18262792565974162</v>
      </c>
      <c r="E46">
        <v>2.0355352472832627E-3</v>
      </c>
      <c r="G46">
        <f t="shared" si="0"/>
        <v>-3.1984286006358213E-2</v>
      </c>
      <c r="H46">
        <f t="shared" si="1"/>
        <v>-0.73843281369855407</v>
      </c>
      <c r="I46">
        <f t="shared" si="2"/>
        <v>-2.6913213729858403</v>
      </c>
      <c r="K46" s="5" t="s">
        <v>43</v>
      </c>
      <c r="L46">
        <f t="shared" si="3"/>
        <v>0.7064485276921959</v>
      </c>
      <c r="M46">
        <f t="shared" si="4"/>
        <v>2.6593370869794821</v>
      </c>
    </row>
    <row r="47" spans="1:17" x14ac:dyDescent="0.2">
      <c r="A47" s="5" t="s">
        <v>43</v>
      </c>
      <c r="B47" s="5" t="s">
        <v>44</v>
      </c>
      <c r="C47" s="24">
        <v>7.0000000000000001E-3</v>
      </c>
      <c r="D47">
        <v>0.10064277991197416</v>
      </c>
      <c r="E47">
        <v>8.4318407162312405E-3</v>
      </c>
      <c r="G47">
        <f t="shared" si="0"/>
        <v>-2.1549019599857431</v>
      </c>
      <c r="H47">
        <f t="shared" si="1"/>
        <v>-0.99721737583604164</v>
      </c>
      <c r="I47">
        <f t="shared" si="2"/>
        <v>-2.0740776062011701</v>
      </c>
      <c r="K47" s="5" t="s">
        <v>43</v>
      </c>
      <c r="L47">
        <f t="shared" si="3"/>
        <v>1.1576845841497014</v>
      </c>
      <c r="M47">
        <f t="shared" si="4"/>
        <v>8.0824353784572978E-2</v>
      </c>
    </row>
    <row r="48" spans="1:17" x14ac:dyDescent="0.2">
      <c r="A48" s="5" t="s">
        <v>43</v>
      </c>
      <c r="B48" s="5" t="s">
        <v>45</v>
      </c>
      <c r="C48" s="24">
        <v>1.123</v>
      </c>
      <c r="D48">
        <v>0.44945825452264432</v>
      </c>
      <c r="E48">
        <v>0.15585543905840696</v>
      </c>
      <c r="G48">
        <f t="shared" si="0"/>
        <v>5.0379756261457784E-2</v>
      </c>
      <c r="H48">
        <f t="shared" si="1"/>
        <v>-0.34731063913070598</v>
      </c>
      <c r="I48">
        <f t="shared" si="2"/>
        <v>-0.80727803707122803</v>
      </c>
      <c r="K48" s="5" t="s">
        <v>43</v>
      </c>
      <c r="L48">
        <f t="shared" si="3"/>
        <v>0.39769039539216378</v>
      </c>
      <c r="M48">
        <f t="shared" si="4"/>
        <v>0.85765779333268577</v>
      </c>
    </row>
    <row r="49" spans="1:13" x14ac:dyDescent="0.2">
      <c r="A49" s="5" t="s">
        <v>43</v>
      </c>
      <c r="B49" s="5" t="s">
        <v>41</v>
      </c>
      <c r="C49" s="24">
        <v>5.5629999999999997</v>
      </c>
      <c r="D49">
        <v>0.84181263036898601</v>
      </c>
      <c r="E49">
        <v>0.17374531627592163</v>
      </c>
      <c r="G49">
        <f t="shared" si="0"/>
        <v>0.74530905994082797</v>
      </c>
      <c r="H49">
        <f t="shared" si="1"/>
        <v>-7.4784562481552269E-2</v>
      </c>
      <c r="I49">
        <f t="shared" si="2"/>
        <v>-0.76008689403533913</v>
      </c>
      <c r="K49" s="5" t="s">
        <v>43</v>
      </c>
      <c r="L49">
        <f t="shared" si="3"/>
        <v>0.82009362242238026</v>
      </c>
      <c r="M49">
        <f t="shared" si="4"/>
        <v>1.505395953976167</v>
      </c>
    </row>
    <row r="50" spans="1:13" x14ac:dyDescent="0.2">
      <c r="A50" s="5" t="s">
        <v>46</v>
      </c>
      <c r="B50" s="5" t="s">
        <v>47</v>
      </c>
      <c r="C50" s="24">
        <v>4.8099999999999996</v>
      </c>
      <c r="D50">
        <v>0.44971376786295864</v>
      </c>
      <c r="E50">
        <v>0.10536591209071594</v>
      </c>
      <c r="G50">
        <f t="shared" si="0"/>
        <v>0.6821450763738317</v>
      </c>
      <c r="H50">
        <f t="shared" si="1"/>
        <v>-0.34706381642275813</v>
      </c>
      <c r="I50">
        <f t="shared" si="2"/>
        <v>-0.97729986906051625</v>
      </c>
      <c r="K50" s="5" t="s">
        <v>46</v>
      </c>
      <c r="L50">
        <f t="shared" si="3"/>
        <v>1.0292088927965899</v>
      </c>
      <c r="M50">
        <f t="shared" si="4"/>
        <v>1.6594449454343478</v>
      </c>
    </row>
    <row r="51" spans="1:13" x14ac:dyDescent="0.2">
      <c r="A51" s="5" t="s">
        <v>46</v>
      </c>
      <c r="B51" s="5" t="s">
        <v>22</v>
      </c>
      <c r="C51" s="24">
        <v>13</v>
      </c>
      <c r="D51">
        <v>0.95330180641096263</v>
      </c>
      <c r="E51">
        <v>0.24484008286640446</v>
      </c>
      <c r="G51">
        <f t="shared" si="0"/>
        <v>1.1139433523068367</v>
      </c>
      <c r="H51">
        <f t="shared" si="1"/>
        <v>-2.0769584032738351E-2</v>
      </c>
      <c r="I51">
        <f t="shared" si="2"/>
        <v>-0.6111174821853641</v>
      </c>
      <c r="K51" s="5" t="s">
        <v>46</v>
      </c>
      <c r="L51">
        <f t="shared" si="3"/>
        <v>1.1347129363395752</v>
      </c>
      <c r="M51">
        <f t="shared" si="4"/>
        <v>1.7250608344922007</v>
      </c>
    </row>
    <row r="52" spans="1:13" x14ac:dyDescent="0.2">
      <c r="A52" s="5" t="s">
        <v>46</v>
      </c>
      <c r="B52" s="5" t="s">
        <v>48</v>
      </c>
      <c r="C52" s="24">
        <v>2.8</v>
      </c>
      <c r="D52">
        <v>0.72166137245237394</v>
      </c>
      <c r="E52">
        <v>0.40327647679376227</v>
      </c>
      <c r="G52">
        <f t="shared" si="0"/>
        <v>0.44715803134221921</v>
      </c>
      <c r="H52">
        <f t="shared" si="1"/>
        <v>-0.14166654006698093</v>
      </c>
      <c r="I52">
        <f t="shared" si="2"/>
        <v>-0.39439710974693298</v>
      </c>
      <c r="K52" s="5" t="s">
        <v>46</v>
      </c>
      <c r="L52">
        <f t="shared" si="3"/>
        <v>0.58882457140920019</v>
      </c>
      <c r="M52">
        <f t="shared" si="4"/>
        <v>0.84155514108915219</v>
      </c>
    </row>
    <row r="53" spans="1:13" x14ac:dyDescent="0.2">
      <c r="A53" s="5" t="s">
        <v>46</v>
      </c>
      <c r="B53" s="5" t="s">
        <v>49</v>
      </c>
      <c r="C53" s="24">
        <v>9.0869999999999997</v>
      </c>
      <c r="D53">
        <v>0.6919768513593888</v>
      </c>
      <c r="E53">
        <v>1.6686201994347567</v>
      </c>
      <c r="G53">
        <f t="shared" si="0"/>
        <v>0.95842052805251821</v>
      </c>
      <c r="H53">
        <f t="shared" si="1"/>
        <v>-0.15990843371525904</v>
      </c>
      <c r="I53">
        <f t="shared" si="2"/>
        <v>0.22235749661922502</v>
      </c>
      <c r="K53" s="5" t="s">
        <v>46</v>
      </c>
      <c r="L53">
        <f t="shared" si="3"/>
        <v>1.1183289617677772</v>
      </c>
      <c r="M53">
        <f t="shared" si="4"/>
        <v>0.73606303143329321</v>
      </c>
    </row>
    <row r="54" spans="1:13" x14ac:dyDescent="0.2">
      <c r="A54" s="5" t="s">
        <v>50</v>
      </c>
      <c r="B54" s="5" t="s">
        <v>51</v>
      </c>
      <c r="C54" s="24">
        <v>6.9</v>
      </c>
      <c r="D54">
        <v>0.38976277569446377</v>
      </c>
      <c r="E54">
        <v>0.16038635322567818</v>
      </c>
      <c r="G54">
        <f t="shared" si="0"/>
        <v>0.83884909073725533</v>
      </c>
      <c r="H54">
        <f t="shared" si="1"/>
        <v>-0.40919964054534574</v>
      </c>
      <c r="I54">
        <f t="shared" si="2"/>
        <v>-0.79483258724212713</v>
      </c>
      <c r="K54" s="5" t="s">
        <v>50</v>
      </c>
      <c r="L54">
        <f t="shared" si="3"/>
        <v>1.248048731282601</v>
      </c>
      <c r="M54">
        <f t="shared" si="4"/>
        <v>1.6336816779793826</v>
      </c>
    </row>
    <row r="55" spans="1:13" x14ac:dyDescent="0.2">
      <c r="A55" s="5" t="s">
        <v>52</v>
      </c>
      <c r="B55" s="5" t="s">
        <v>20</v>
      </c>
      <c r="C55" s="24">
        <v>1.2889999999999999</v>
      </c>
      <c r="D55">
        <v>0.952300613558964</v>
      </c>
      <c r="E55">
        <v>1.1853729911138802</v>
      </c>
      <c r="G55">
        <f t="shared" si="0"/>
        <v>0.11025291735340299</v>
      </c>
      <c r="H55">
        <f t="shared" si="1"/>
        <v>-2.1225935857647659E-2</v>
      </c>
      <c r="I55">
        <f t="shared" si="2"/>
        <v>7.38550275564194E-2</v>
      </c>
      <c r="K55" s="5" t="s">
        <v>52</v>
      </c>
      <c r="L55">
        <f t="shared" si="3"/>
        <v>0.13147885321105066</v>
      </c>
      <c r="M55">
        <f t="shared" si="4"/>
        <v>3.6397889796983593E-2</v>
      </c>
    </row>
    <row r="56" spans="1:13" x14ac:dyDescent="0.2">
      <c r="A56" s="5" t="s">
        <v>52</v>
      </c>
      <c r="B56" s="5" t="s">
        <v>53</v>
      </c>
      <c r="C56" s="24">
        <v>6.3230000000000004</v>
      </c>
      <c r="D56">
        <v>0.13580015196999085</v>
      </c>
      <c r="E56">
        <v>1.9390242116050563E-2</v>
      </c>
      <c r="G56">
        <f t="shared" si="0"/>
        <v>0.80092318181321831</v>
      </c>
      <c r="H56">
        <f t="shared" si="1"/>
        <v>-0.86709974404895229</v>
      </c>
      <c r="I56">
        <f t="shared" si="2"/>
        <v>-1.7124167680740403</v>
      </c>
      <c r="K56" s="5" t="s">
        <v>52</v>
      </c>
      <c r="L56">
        <f t="shared" si="3"/>
        <v>1.6680229258621706</v>
      </c>
      <c r="M56">
        <f t="shared" si="4"/>
        <v>2.5133399498872588</v>
      </c>
    </row>
    <row r="57" spans="1:13" x14ac:dyDescent="0.2">
      <c r="A57" s="5" t="s">
        <v>52</v>
      </c>
      <c r="B57" s="5" t="s">
        <v>22</v>
      </c>
      <c r="C57" s="24">
        <v>0.53</v>
      </c>
      <c r="D57">
        <v>0.11088409952721973</v>
      </c>
      <c r="E57">
        <v>4.8115005576688926E-3</v>
      </c>
      <c r="G57">
        <f t="shared" si="0"/>
        <v>-0.27572413039921095</v>
      </c>
      <c r="H57">
        <f t="shared" si="1"/>
        <v>-0.95513072601205151</v>
      </c>
      <c r="I57">
        <f t="shared" si="2"/>
        <v>-2.3177194595336901</v>
      </c>
      <c r="K57" s="5" t="s">
        <v>52</v>
      </c>
      <c r="L57">
        <f t="shared" si="3"/>
        <v>0.67940659561284056</v>
      </c>
      <c r="M57">
        <f t="shared" si="4"/>
        <v>2.0419953291344792</v>
      </c>
    </row>
    <row r="58" spans="1:13" x14ac:dyDescent="0.2">
      <c r="A58" s="5" t="s">
        <v>52</v>
      </c>
      <c r="B58" s="5" t="s">
        <v>54</v>
      </c>
      <c r="C58" s="24">
        <v>0.94699999999999995</v>
      </c>
      <c r="D58">
        <v>1.0794723499793135</v>
      </c>
      <c r="E58">
        <v>1.1425625091599561</v>
      </c>
      <c r="G58">
        <f t="shared" si="0"/>
        <v>-2.3650020996726601E-2</v>
      </c>
      <c r="H58">
        <f t="shared" si="1"/>
        <v>3.3211522626526276E-2</v>
      </c>
      <c r="I58">
        <f t="shared" si="2"/>
        <v>5.7879969477653503E-2</v>
      </c>
      <c r="K58" s="5" t="s">
        <v>52</v>
      </c>
      <c r="L58">
        <f t="shared" si="3"/>
        <v>5.686154362325288E-2</v>
      </c>
      <c r="M58">
        <f t="shared" si="4"/>
        <v>8.1529990474380101E-2</v>
      </c>
    </row>
    <row r="59" spans="1:13" x14ac:dyDescent="0.2">
      <c r="A59" s="5" t="s">
        <v>52</v>
      </c>
      <c r="B59" s="5" t="s">
        <v>55</v>
      </c>
      <c r="C59" s="24">
        <v>7.4</v>
      </c>
      <c r="D59">
        <v>2.0356306131976636</v>
      </c>
      <c r="E59">
        <v>2.8008871179783688</v>
      </c>
      <c r="G59">
        <f t="shared" si="0"/>
        <v>0.86923171973097624</v>
      </c>
      <c r="H59">
        <f t="shared" si="1"/>
        <v>0.30869897346616543</v>
      </c>
      <c r="I59">
        <f t="shared" si="2"/>
        <v>0.44729560613632202</v>
      </c>
      <c r="K59" s="5" t="s">
        <v>52</v>
      </c>
      <c r="L59">
        <f t="shared" si="3"/>
        <v>0.56053274626481087</v>
      </c>
      <c r="M59">
        <f t="shared" si="4"/>
        <v>0.42193611359465422</v>
      </c>
    </row>
    <row r="60" spans="1:13" x14ac:dyDescent="0.2">
      <c r="A60" s="5" t="s">
        <v>52</v>
      </c>
      <c r="B60" s="5" t="s">
        <v>49</v>
      </c>
      <c r="C60" s="24">
        <v>5.0460000000000003</v>
      </c>
      <c r="D60">
        <v>0.44936088414974396</v>
      </c>
      <c r="E60">
        <v>0.16206465381288596</v>
      </c>
      <c r="G60">
        <f t="shared" si="0"/>
        <v>0.7029472461815558</v>
      </c>
      <c r="H60">
        <f t="shared" si="1"/>
        <v>-0.34740473462555571</v>
      </c>
      <c r="I60">
        <f t="shared" si="2"/>
        <v>-0.79031169414520308</v>
      </c>
      <c r="K60" s="5" t="s">
        <v>52</v>
      </c>
      <c r="L60">
        <f t="shared" si="3"/>
        <v>1.0503519808071116</v>
      </c>
      <c r="M60">
        <f t="shared" si="4"/>
        <v>1.4932589403267589</v>
      </c>
    </row>
    <row r="61" spans="1:13" x14ac:dyDescent="0.2">
      <c r="A61" s="5" t="s">
        <v>52</v>
      </c>
      <c r="B61" s="5" t="s">
        <v>27</v>
      </c>
      <c r="C61" s="24">
        <v>1.48</v>
      </c>
      <c r="D61">
        <v>0.41871298794181427</v>
      </c>
      <c r="E61">
        <v>0.17283283530394256</v>
      </c>
      <c r="G61">
        <f t="shared" si="0"/>
        <v>0.17026171539495738</v>
      </c>
      <c r="H61">
        <f t="shared" si="1"/>
        <v>-0.37808356763998913</v>
      </c>
      <c r="I61">
        <f t="shared" si="2"/>
        <v>-0.76237374544143699</v>
      </c>
      <c r="K61" s="5" t="s">
        <v>52</v>
      </c>
      <c r="L61">
        <f t="shared" si="3"/>
        <v>0.54834528303494645</v>
      </c>
      <c r="M61">
        <f t="shared" si="4"/>
        <v>0.93263546083639437</v>
      </c>
    </row>
    <row r="62" spans="1:13" x14ac:dyDescent="0.2">
      <c r="A62" s="5" t="s">
        <v>56</v>
      </c>
      <c r="B62" s="5" t="s">
        <v>22</v>
      </c>
      <c r="C62" s="24">
        <v>2.4169999999999998</v>
      </c>
      <c r="D62">
        <v>0.18847154812467962</v>
      </c>
      <c r="E62">
        <v>2.2456765708613134E-2</v>
      </c>
      <c r="G62">
        <f t="shared" si="0"/>
        <v>0.38327665040765035</v>
      </c>
      <c r="H62">
        <f t="shared" si="1"/>
        <v>-0.72475420208990959</v>
      </c>
      <c r="I62">
        <f t="shared" si="2"/>
        <v>-1.6486527919769303</v>
      </c>
      <c r="K62" s="5" t="s">
        <v>56</v>
      </c>
      <c r="L62">
        <f t="shared" si="3"/>
        <v>1.1080308524975599</v>
      </c>
      <c r="M62">
        <f t="shared" si="4"/>
        <v>2.0319294423845804</v>
      </c>
    </row>
    <row r="63" spans="1:13" x14ac:dyDescent="0.2">
      <c r="A63" s="5" t="s">
        <v>56</v>
      </c>
      <c r="B63" s="5" t="s">
        <v>57</v>
      </c>
      <c r="C63" s="24">
        <v>0.82399999999999995</v>
      </c>
      <c r="D63">
        <v>0.90401985251700134</v>
      </c>
      <c r="E63">
        <v>0.49091867263660716</v>
      </c>
      <c r="G63">
        <f t="shared" si="0"/>
        <v>-8.4072788302884227E-2</v>
      </c>
      <c r="H63">
        <f t="shared" si="1"/>
        <v>-4.3822032197296044E-2</v>
      </c>
      <c r="I63">
        <f t="shared" si="2"/>
        <v>-0.308990448713303</v>
      </c>
      <c r="K63" s="5" t="s">
        <v>56</v>
      </c>
      <c r="L63">
        <f t="shared" si="3"/>
        <v>4.0250756105588183E-2</v>
      </c>
      <c r="M63">
        <f t="shared" si="4"/>
        <v>0.22491766041041877</v>
      </c>
    </row>
    <row r="64" spans="1:13" x14ac:dyDescent="0.2">
      <c r="A64" s="5" t="s">
        <v>56</v>
      </c>
      <c r="B64" s="5" t="s">
        <v>11</v>
      </c>
      <c r="C64" s="24">
        <v>4.1070000000000002</v>
      </c>
      <c r="D64">
        <v>0.55569053802598045</v>
      </c>
      <c r="E64">
        <v>0.59279918761743444</v>
      </c>
      <c r="G64">
        <f t="shared" si="0"/>
        <v>0.61352470285365246</v>
      </c>
      <c r="H64">
        <f t="shared" si="1"/>
        <v>-0.2551669980645212</v>
      </c>
      <c r="I64">
        <f t="shared" si="2"/>
        <v>-0.22709240019321403</v>
      </c>
      <c r="K64" s="5" t="s">
        <v>56</v>
      </c>
      <c r="L64">
        <f t="shared" si="3"/>
        <v>0.8686917009181736</v>
      </c>
      <c r="M64">
        <f t="shared" si="4"/>
        <v>0.84061710304686654</v>
      </c>
    </row>
    <row r="65" spans="1:13" x14ac:dyDescent="0.2">
      <c r="A65" s="5" t="s">
        <v>56</v>
      </c>
      <c r="B65" s="5" t="s">
        <v>54</v>
      </c>
      <c r="C65" s="24">
        <v>4.24</v>
      </c>
      <c r="D65">
        <v>0.98197942717287801</v>
      </c>
      <c r="E65">
        <v>1.1450079984156203</v>
      </c>
      <c r="G65">
        <f t="shared" si="0"/>
        <v>0.6273658565927327</v>
      </c>
      <c r="H65">
        <f t="shared" si="1"/>
        <v>-7.8976107455226603E-3</v>
      </c>
      <c r="I65">
        <f t="shared" si="2"/>
        <v>5.8808520436286919E-2</v>
      </c>
      <c r="K65" s="5" t="s">
        <v>56</v>
      </c>
      <c r="L65">
        <f t="shared" si="3"/>
        <v>0.63526346733825534</v>
      </c>
      <c r="M65">
        <f t="shared" si="4"/>
        <v>0.56855733615644577</v>
      </c>
    </row>
    <row r="66" spans="1:13" x14ac:dyDescent="0.2">
      <c r="A66" s="5" t="s">
        <v>58</v>
      </c>
      <c r="B66" s="5" t="s">
        <v>59</v>
      </c>
      <c r="C66" s="24">
        <v>13</v>
      </c>
      <c r="D66">
        <v>1.2176553797793401</v>
      </c>
      <c r="E66">
        <v>2.108168350996829</v>
      </c>
      <c r="G66">
        <f t="shared" si="0"/>
        <v>1.1139433523068367</v>
      </c>
      <c r="H66">
        <f t="shared" si="1"/>
        <v>8.5524391878565087E-2</v>
      </c>
      <c r="I66">
        <f t="shared" si="2"/>
        <v>0.32390528917312605</v>
      </c>
      <c r="K66" s="5" t="s">
        <v>58</v>
      </c>
      <c r="L66">
        <f t="shared" si="3"/>
        <v>1.0284189604282716</v>
      </c>
      <c r="M66">
        <f t="shared" si="4"/>
        <v>0.79003806313371072</v>
      </c>
    </row>
    <row r="67" spans="1:13" x14ac:dyDescent="0.2">
      <c r="A67" s="5" t="s">
        <v>60</v>
      </c>
      <c r="B67" s="5" t="s">
        <v>11</v>
      </c>
      <c r="C67" s="24">
        <v>8.5229999999999997</v>
      </c>
      <c r="D67">
        <v>0.4696813341661239</v>
      </c>
      <c r="E67">
        <v>0.10139405673136162</v>
      </c>
      <c r="G67">
        <f t="shared" ref="G67:G129" si="6">LOG10(C67)</f>
        <v>0.93059248844259823</v>
      </c>
      <c r="H67">
        <f t="shared" ref="H67:H129" si="7">LOG10(D67)</f>
        <v>-0.32819669898160514</v>
      </c>
      <c r="I67">
        <f t="shared" ref="I67:I129" si="8">LOG10(E67)</f>
        <v>-0.99398750066757224</v>
      </c>
      <c r="K67" s="5" t="s">
        <v>60</v>
      </c>
      <c r="L67">
        <f t="shared" ref="L67:L129" si="9">ABS(G67-H67)</f>
        <v>1.2587891874242034</v>
      </c>
      <c r="M67">
        <f t="shared" ref="M67:M129" si="10">ABS(G67-I67)</f>
        <v>1.9245799891101705</v>
      </c>
    </row>
    <row r="68" spans="1:13" x14ac:dyDescent="0.2">
      <c r="A68" s="5" t="s">
        <v>60</v>
      </c>
      <c r="B68" s="5" t="s">
        <v>33</v>
      </c>
      <c r="C68" s="24">
        <v>7.8680000000000003</v>
      </c>
      <c r="D68">
        <v>0.78465902994295433</v>
      </c>
      <c r="E68">
        <v>0.45982671487860566</v>
      </c>
      <c r="G68">
        <f t="shared" si="6"/>
        <v>0.89586435124729913</v>
      </c>
      <c r="H68">
        <f t="shared" si="7"/>
        <v>-0.10531902297916343</v>
      </c>
      <c r="I68">
        <f t="shared" si="8"/>
        <v>-0.33740580081939697</v>
      </c>
      <c r="K68" s="5" t="s">
        <v>60</v>
      </c>
      <c r="L68">
        <f t="shared" si="9"/>
        <v>1.0011833742264626</v>
      </c>
      <c r="M68">
        <f t="shared" si="10"/>
        <v>1.2332701520666962</v>
      </c>
    </row>
    <row r="69" spans="1:13" x14ac:dyDescent="0.2">
      <c r="A69" s="5" t="s">
        <v>60</v>
      </c>
      <c r="B69" s="5" t="s">
        <v>61</v>
      </c>
      <c r="C69" s="24">
        <v>23</v>
      </c>
      <c r="D69">
        <v>0.30533275794874615</v>
      </c>
      <c r="E69">
        <v>7.7148913963984364E-2</v>
      </c>
      <c r="G69">
        <f t="shared" si="6"/>
        <v>1.3617278360175928</v>
      </c>
      <c r="H69">
        <f t="shared" si="7"/>
        <v>-0.51522659945766347</v>
      </c>
      <c r="I69">
        <f t="shared" si="8"/>
        <v>-1.11267018318176</v>
      </c>
      <c r="K69" s="5" t="s">
        <v>60</v>
      </c>
      <c r="L69">
        <f t="shared" si="9"/>
        <v>1.8769544354752563</v>
      </c>
      <c r="M69">
        <f t="shared" si="10"/>
        <v>2.4743980191993531</v>
      </c>
    </row>
    <row r="70" spans="1:13" x14ac:dyDescent="0.2">
      <c r="A70" s="5" t="s">
        <v>62</v>
      </c>
      <c r="B70" s="5" t="s">
        <v>11</v>
      </c>
      <c r="C70" s="24">
        <v>3.1269999999999998</v>
      </c>
      <c r="D70">
        <v>1.2584219903384852</v>
      </c>
      <c r="E70">
        <v>0.49077211798805337</v>
      </c>
      <c r="G70">
        <f t="shared" si="6"/>
        <v>0.49512788124293322</v>
      </c>
      <c r="H70">
        <f t="shared" si="7"/>
        <v>9.9826298775446159E-2</v>
      </c>
      <c r="I70">
        <f t="shared" si="8"/>
        <v>-0.30912011861801203</v>
      </c>
      <c r="K70" s="5" t="s">
        <v>62</v>
      </c>
      <c r="L70">
        <f t="shared" si="9"/>
        <v>0.39530158246748703</v>
      </c>
      <c r="M70">
        <f t="shared" si="10"/>
        <v>0.80424799986094531</v>
      </c>
    </row>
    <row r="71" spans="1:13" x14ac:dyDescent="0.2">
      <c r="A71" s="5" t="s">
        <v>62</v>
      </c>
      <c r="B71" s="5" t="s">
        <v>61</v>
      </c>
      <c r="C71" s="24">
        <v>1.44</v>
      </c>
      <c r="D71">
        <v>0.87441534061923865</v>
      </c>
      <c r="E71">
        <v>0.69610334217757674</v>
      </c>
      <c r="G71">
        <f t="shared" si="6"/>
        <v>0.15836249209524964</v>
      </c>
      <c r="H71">
        <f t="shared" si="7"/>
        <v>-5.8282231790464385E-2</v>
      </c>
      <c r="I71">
        <f t="shared" si="8"/>
        <v>-0.15732628107070903</v>
      </c>
      <c r="K71" s="5" t="s">
        <v>62</v>
      </c>
      <c r="L71">
        <f t="shared" si="9"/>
        <v>0.21664472388571401</v>
      </c>
      <c r="M71">
        <f t="shared" si="10"/>
        <v>0.31568877316595867</v>
      </c>
    </row>
    <row r="72" spans="1:13" x14ac:dyDescent="0.2">
      <c r="A72" s="5" t="s">
        <v>63</v>
      </c>
      <c r="B72" s="5" t="s">
        <v>64</v>
      </c>
      <c r="C72" s="24">
        <v>3.0609999999999999</v>
      </c>
      <c r="D72">
        <v>0.22513651306463309</v>
      </c>
      <c r="E72">
        <v>6.5125415250049237E-2</v>
      </c>
      <c r="G72">
        <f t="shared" si="6"/>
        <v>0.48586332959733464</v>
      </c>
      <c r="H72">
        <f t="shared" si="7"/>
        <v>-0.647554064588442</v>
      </c>
      <c r="I72">
        <f t="shared" si="8"/>
        <v>-1.1862494945526103</v>
      </c>
      <c r="K72" s="5" t="s">
        <v>63</v>
      </c>
      <c r="L72">
        <f t="shared" si="9"/>
        <v>1.1334173941857766</v>
      </c>
      <c r="M72">
        <f t="shared" si="10"/>
        <v>1.672112824149945</v>
      </c>
    </row>
    <row r="73" spans="1:13" x14ac:dyDescent="0.2">
      <c r="A73" s="5" t="s">
        <v>63</v>
      </c>
      <c r="B73" s="5" t="s">
        <v>65</v>
      </c>
      <c r="C73" s="24">
        <v>3.778</v>
      </c>
      <c r="D73">
        <v>0.11137118088012379</v>
      </c>
      <c r="E73">
        <v>2.4065287168359298E-3</v>
      </c>
      <c r="G73">
        <f t="shared" si="6"/>
        <v>0.57726195358581478</v>
      </c>
      <c r="H73">
        <f t="shared" si="7"/>
        <v>-0.95322717544554003</v>
      </c>
      <c r="I73">
        <f t="shared" si="8"/>
        <v>-2.6186089515686004</v>
      </c>
      <c r="K73" s="5" t="s">
        <v>63</v>
      </c>
      <c r="L73">
        <f t="shared" si="9"/>
        <v>1.5304891290313547</v>
      </c>
      <c r="M73">
        <f t="shared" si="10"/>
        <v>3.1958709051544152</v>
      </c>
    </row>
    <row r="74" spans="1:13" x14ac:dyDescent="0.2">
      <c r="A74" s="5" t="s">
        <v>63</v>
      </c>
      <c r="B74" s="5" t="s">
        <v>11</v>
      </c>
      <c r="C74" s="24">
        <v>3.8889999999999998</v>
      </c>
      <c r="D74">
        <v>0.36406930755707129</v>
      </c>
      <c r="E74">
        <v>6.4775519382893817E-2</v>
      </c>
      <c r="G74">
        <f t="shared" si="6"/>
        <v>0.58983794314745974</v>
      </c>
      <c r="H74">
        <f t="shared" si="7"/>
        <v>-0.43881593221807713</v>
      </c>
      <c r="I74">
        <f t="shared" si="8"/>
        <v>-1.1885890960693399</v>
      </c>
      <c r="K74" s="5" t="s">
        <v>63</v>
      </c>
      <c r="L74">
        <f t="shared" si="9"/>
        <v>1.0286538753655368</v>
      </c>
      <c r="M74">
        <f t="shared" si="10"/>
        <v>1.7784270392167998</v>
      </c>
    </row>
    <row r="75" spans="1:13" x14ac:dyDescent="0.2">
      <c r="A75" s="5" t="s">
        <v>66</v>
      </c>
      <c r="B75" s="5" t="s">
        <v>20</v>
      </c>
      <c r="C75" s="24">
        <v>3.3820000000000001</v>
      </c>
      <c r="D75">
        <v>0.36394563730254903</v>
      </c>
      <c r="E75">
        <v>0.2403091931434127</v>
      </c>
      <c r="G75">
        <f t="shared" si="6"/>
        <v>0.52917360326172291</v>
      </c>
      <c r="H75">
        <f t="shared" si="7"/>
        <v>-0.43896348223751136</v>
      </c>
      <c r="I75">
        <f t="shared" si="8"/>
        <v>-0.61922961473464999</v>
      </c>
      <c r="K75" s="5" t="s">
        <v>66</v>
      </c>
      <c r="L75">
        <f t="shared" si="9"/>
        <v>0.96813708549923427</v>
      </c>
      <c r="M75">
        <f t="shared" si="10"/>
        <v>1.148403217996373</v>
      </c>
    </row>
    <row r="76" spans="1:13" x14ac:dyDescent="0.2">
      <c r="A76" s="5" t="s">
        <v>66</v>
      </c>
      <c r="B76" s="5" t="s">
        <v>10</v>
      </c>
      <c r="C76" s="24">
        <v>7.22</v>
      </c>
      <c r="D76">
        <v>0.70957362958220704</v>
      </c>
      <c r="E76">
        <v>0.29276963514401488</v>
      </c>
      <c r="G76">
        <f t="shared" si="6"/>
        <v>0.85853719756963909</v>
      </c>
      <c r="H76">
        <f t="shared" si="7"/>
        <v>-0.14900253288847737</v>
      </c>
      <c r="I76">
        <f t="shared" si="8"/>
        <v>-0.53347396850585904</v>
      </c>
      <c r="K76" s="5" t="s">
        <v>66</v>
      </c>
      <c r="L76">
        <f t="shared" si="9"/>
        <v>1.0075397304581164</v>
      </c>
      <c r="M76">
        <f t="shared" si="10"/>
        <v>1.3920111660754981</v>
      </c>
    </row>
    <row r="77" spans="1:13" x14ac:dyDescent="0.2">
      <c r="A77" s="5" t="s">
        <v>66</v>
      </c>
      <c r="B77" s="5" t="s">
        <v>59</v>
      </c>
      <c r="C77" s="24">
        <v>0.14299999999999999</v>
      </c>
      <c r="D77">
        <v>0.18598358925911632</v>
      </c>
      <c r="E77">
        <v>2.1098491894752536E-3</v>
      </c>
      <c r="G77">
        <f t="shared" si="6"/>
        <v>-0.84466396253493825</v>
      </c>
      <c r="H77">
        <f t="shared" si="7"/>
        <v>-0.73052537518336991</v>
      </c>
      <c r="I77">
        <f t="shared" si="8"/>
        <v>-2.6757485866546604</v>
      </c>
      <c r="K77" s="5" t="s">
        <v>66</v>
      </c>
      <c r="L77">
        <f t="shared" si="9"/>
        <v>0.11413858735156834</v>
      </c>
      <c r="M77">
        <f t="shared" si="10"/>
        <v>1.8310846241197223</v>
      </c>
    </row>
    <row r="78" spans="1:13" x14ac:dyDescent="0.2">
      <c r="A78" s="5" t="s">
        <v>67</v>
      </c>
      <c r="B78" s="5" t="s">
        <v>68</v>
      </c>
      <c r="C78" s="24">
        <v>1.625</v>
      </c>
      <c r="D78">
        <v>8.8073004873740626</v>
      </c>
      <c r="E78">
        <v>4608.8475038926126</v>
      </c>
      <c r="G78">
        <f t="shared" si="6"/>
        <v>0.21085336531489318</v>
      </c>
      <c r="H78">
        <f t="shared" si="7"/>
        <v>0.94484281384999635</v>
      </c>
      <c r="I78">
        <f t="shared" si="8"/>
        <v>3.6635923385620108</v>
      </c>
      <c r="K78" s="5" t="s">
        <v>67</v>
      </c>
      <c r="L78">
        <f t="shared" si="9"/>
        <v>0.73398944853510317</v>
      </c>
      <c r="M78">
        <f t="shared" si="10"/>
        <v>3.4527389732471176</v>
      </c>
    </row>
    <row r="79" spans="1:13" x14ac:dyDescent="0.2">
      <c r="A79" s="5" t="s">
        <v>67</v>
      </c>
      <c r="B79" s="5" t="s">
        <v>69</v>
      </c>
      <c r="C79" s="24">
        <v>1.625</v>
      </c>
      <c r="D79">
        <v>8.7097618343972272</v>
      </c>
      <c r="E79">
        <v>166.02823152958746</v>
      </c>
      <c r="G79">
        <f t="shared" si="6"/>
        <v>0.21085336531489318</v>
      </c>
      <c r="H79">
        <f t="shared" si="7"/>
        <v>0.94000627952876137</v>
      </c>
      <c r="I79">
        <f t="shared" si="8"/>
        <v>2.22018194198608</v>
      </c>
      <c r="K79" s="5" t="s">
        <v>67</v>
      </c>
      <c r="L79">
        <f t="shared" si="9"/>
        <v>0.72915291421386819</v>
      </c>
      <c r="M79">
        <f t="shared" si="10"/>
        <v>2.0093285766711868</v>
      </c>
    </row>
    <row r="80" spans="1:13" x14ac:dyDescent="0.2">
      <c r="A80" s="5" t="s">
        <v>70</v>
      </c>
      <c r="B80" s="5" t="s">
        <v>71</v>
      </c>
      <c r="C80" s="24">
        <v>1.7999999999999999E-2</v>
      </c>
      <c r="D80">
        <v>0.32087653947921585</v>
      </c>
      <c r="E80">
        <v>0.10032303210468389</v>
      </c>
      <c r="G80">
        <f t="shared" si="6"/>
        <v>-1.744727494896694</v>
      </c>
      <c r="H80">
        <f t="shared" si="7"/>
        <v>-0.49366203468754472</v>
      </c>
      <c r="I80">
        <f t="shared" si="8"/>
        <v>-0.9985993504524231</v>
      </c>
      <c r="K80" s="5" t="s">
        <v>70</v>
      </c>
      <c r="L80">
        <f t="shared" si="9"/>
        <v>1.2510654602091493</v>
      </c>
      <c r="M80">
        <f t="shared" si="10"/>
        <v>0.74612814444427089</v>
      </c>
    </row>
    <row r="81" spans="1:13" x14ac:dyDescent="0.2">
      <c r="A81" s="5" t="s">
        <v>70</v>
      </c>
      <c r="B81" s="5" t="s">
        <v>72</v>
      </c>
      <c r="C81" s="24">
        <v>13.96</v>
      </c>
      <c r="D81">
        <v>0.33538872622999444</v>
      </c>
      <c r="E81">
        <v>6.6123545271382783E-2</v>
      </c>
      <c r="G81">
        <f t="shared" si="6"/>
        <v>1.1448854182871424</v>
      </c>
      <c r="H81">
        <f t="shared" si="7"/>
        <v>-0.47445153987660033</v>
      </c>
      <c r="I81">
        <f t="shared" si="8"/>
        <v>-1.17964386940002</v>
      </c>
      <c r="K81" s="5" t="s">
        <v>70</v>
      </c>
      <c r="L81">
        <f t="shared" si="9"/>
        <v>1.6193369581637427</v>
      </c>
      <c r="M81">
        <f t="shared" si="10"/>
        <v>2.3245292876871622</v>
      </c>
    </row>
    <row r="82" spans="1:13" x14ac:dyDescent="0.2">
      <c r="A82" s="5" t="s">
        <v>70</v>
      </c>
      <c r="B82" s="5" t="s">
        <v>57</v>
      </c>
      <c r="C82" s="24">
        <v>8.2059999999999995</v>
      </c>
      <c r="D82">
        <v>2.0626765745395534</v>
      </c>
      <c r="E82">
        <v>5.5687619417048788</v>
      </c>
      <c r="G82">
        <f t="shared" si="6"/>
        <v>0.91413151263089376</v>
      </c>
      <c r="H82">
        <f t="shared" si="7"/>
        <v>0.3144311364053668</v>
      </c>
      <c r="I82">
        <f t="shared" si="8"/>
        <v>0.74575865268707309</v>
      </c>
      <c r="K82" s="5" t="s">
        <v>70</v>
      </c>
      <c r="L82">
        <f t="shared" si="9"/>
        <v>0.59970037622552697</v>
      </c>
      <c r="M82">
        <f t="shared" si="10"/>
        <v>0.16837285994382067</v>
      </c>
    </row>
    <row r="83" spans="1:13" x14ac:dyDescent="0.2">
      <c r="A83" s="5" t="s">
        <v>70</v>
      </c>
      <c r="B83" s="5" t="s">
        <v>73</v>
      </c>
      <c r="C83" s="24">
        <v>7.38</v>
      </c>
      <c r="D83">
        <v>1.1414930441374775</v>
      </c>
      <c r="E83">
        <v>1.3711756179036954</v>
      </c>
      <c r="G83">
        <f t="shared" si="6"/>
        <v>0.86805636182304158</v>
      </c>
      <c r="H83">
        <f t="shared" si="7"/>
        <v>5.7473269394441105E-2</v>
      </c>
      <c r="I83">
        <f t="shared" si="8"/>
        <v>0.13709308207035101</v>
      </c>
      <c r="K83" s="5" t="s">
        <v>70</v>
      </c>
      <c r="L83">
        <f t="shared" si="9"/>
        <v>0.81058309242860049</v>
      </c>
      <c r="M83">
        <f t="shared" si="10"/>
        <v>0.7309632797526906</v>
      </c>
    </row>
    <row r="84" spans="1:13" x14ac:dyDescent="0.2">
      <c r="A84" s="5" t="s">
        <v>70</v>
      </c>
      <c r="B84" s="5" t="s">
        <v>74</v>
      </c>
      <c r="C84" s="24">
        <v>14</v>
      </c>
      <c r="D84">
        <v>0.63448980446265202</v>
      </c>
      <c r="E84">
        <v>0.17108856924826396</v>
      </c>
      <c r="G84">
        <f t="shared" si="6"/>
        <v>1.146128035678238</v>
      </c>
      <c r="H84">
        <f t="shared" si="7"/>
        <v>-0.19757535213694463</v>
      </c>
      <c r="I84">
        <f t="shared" si="8"/>
        <v>-0.76677900552749612</v>
      </c>
      <c r="K84" s="5" t="s">
        <v>70</v>
      </c>
      <c r="L84">
        <f t="shared" si="9"/>
        <v>1.3437033878151825</v>
      </c>
      <c r="M84">
        <f t="shared" si="10"/>
        <v>1.9129070412057341</v>
      </c>
    </row>
    <row r="85" spans="1:13" x14ac:dyDescent="0.2">
      <c r="A85" s="5" t="s">
        <v>70</v>
      </c>
      <c r="B85" s="5" t="s">
        <v>49</v>
      </c>
      <c r="C85" s="24">
        <v>0.66500000000000004</v>
      </c>
      <c r="D85">
        <v>0.40161205315634679</v>
      </c>
      <c r="E85">
        <v>0.14847752558254129</v>
      </c>
      <c r="G85">
        <f t="shared" si="6"/>
        <v>-0.17717835469689538</v>
      </c>
      <c r="H85">
        <f t="shared" si="7"/>
        <v>-0.39619326164804802</v>
      </c>
      <c r="I85">
        <f t="shared" si="8"/>
        <v>-0.82833927869796808</v>
      </c>
      <c r="K85" s="5" t="s">
        <v>70</v>
      </c>
      <c r="L85">
        <f t="shared" si="9"/>
        <v>0.21901490695115264</v>
      </c>
      <c r="M85">
        <f t="shared" si="10"/>
        <v>0.65116092400107273</v>
      </c>
    </row>
    <row r="86" spans="1:13" x14ac:dyDescent="0.2">
      <c r="A86" s="5" t="s">
        <v>75</v>
      </c>
      <c r="B86" s="5" t="s">
        <v>71</v>
      </c>
      <c r="C86" s="24">
        <v>6.8319999999999999</v>
      </c>
      <c r="D86">
        <v>0.5376073878386729</v>
      </c>
      <c r="E86">
        <v>0.25334252825660675</v>
      </c>
      <c r="G86">
        <f t="shared" si="6"/>
        <v>0.83454785768094863</v>
      </c>
      <c r="H86">
        <f t="shared" si="7"/>
        <v>-0.26953477180779695</v>
      </c>
      <c r="I86">
        <f t="shared" si="8"/>
        <v>-0.59629189968109109</v>
      </c>
      <c r="K86" s="5" t="s">
        <v>75</v>
      </c>
      <c r="L86">
        <f t="shared" si="9"/>
        <v>1.1040826294887456</v>
      </c>
      <c r="M86">
        <f t="shared" si="10"/>
        <v>1.4308397573620397</v>
      </c>
    </row>
    <row r="87" spans="1:13" x14ac:dyDescent="0.2">
      <c r="A87" s="5" t="s">
        <v>75</v>
      </c>
      <c r="B87" s="5" t="s">
        <v>59</v>
      </c>
      <c r="C87" s="24">
        <v>0.19700000000000001</v>
      </c>
      <c r="D87">
        <v>0.13300972532349431</v>
      </c>
      <c r="E87">
        <v>1.6993539932727991E-2</v>
      </c>
      <c r="G87">
        <f t="shared" si="6"/>
        <v>-0.7055337738384071</v>
      </c>
      <c r="H87">
        <f t="shared" si="7"/>
        <v>-0.87611660339446862</v>
      </c>
      <c r="I87">
        <f t="shared" si="8"/>
        <v>-1.7697161436080902</v>
      </c>
      <c r="K87" s="5" t="s">
        <v>75</v>
      </c>
      <c r="L87">
        <f t="shared" si="9"/>
        <v>0.17058282955606152</v>
      </c>
      <c r="M87">
        <f t="shared" si="10"/>
        <v>1.0641823697696831</v>
      </c>
    </row>
    <row r="88" spans="1:13" x14ac:dyDescent="0.2">
      <c r="A88" s="5" t="s">
        <v>75</v>
      </c>
      <c r="B88" s="5" t="s">
        <v>49</v>
      </c>
      <c r="C88" s="24">
        <v>8.4580000000000002</v>
      </c>
      <c r="D88">
        <v>0.27224738932167392</v>
      </c>
      <c r="E88">
        <v>6.3617079462695986E-2</v>
      </c>
      <c r="G88">
        <f t="shared" si="6"/>
        <v>0.92726768081088162</v>
      </c>
      <c r="H88">
        <f t="shared" si="7"/>
        <v>-0.56503627615851337</v>
      </c>
      <c r="I88">
        <f t="shared" si="8"/>
        <v>-1.1964262723922701</v>
      </c>
      <c r="K88" s="5" t="s">
        <v>75</v>
      </c>
      <c r="L88">
        <f t="shared" si="9"/>
        <v>1.492303956969395</v>
      </c>
      <c r="M88">
        <f t="shared" si="10"/>
        <v>2.1236939532031518</v>
      </c>
    </row>
    <row r="89" spans="1:13" x14ac:dyDescent="0.2">
      <c r="A89" s="5" t="s">
        <v>76</v>
      </c>
      <c r="B89" s="5" t="s">
        <v>45</v>
      </c>
      <c r="C89" s="24">
        <v>0.377</v>
      </c>
      <c r="D89">
        <v>8.7459019010757325E-2</v>
      </c>
      <c r="E89">
        <v>0.25318162933763627</v>
      </c>
      <c r="G89">
        <f t="shared" si="6"/>
        <v>-0.42365864979420714</v>
      </c>
      <c r="H89">
        <f t="shared" si="7"/>
        <v>-1.0581953982535015</v>
      </c>
      <c r="I89">
        <f t="shared" si="8"/>
        <v>-0.59656780958175704</v>
      </c>
      <c r="K89" s="5" t="s">
        <v>76</v>
      </c>
      <c r="L89">
        <f t="shared" si="9"/>
        <v>0.63453674845929431</v>
      </c>
      <c r="M89">
        <f t="shared" si="10"/>
        <v>0.17290915978754989</v>
      </c>
    </row>
    <row r="90" spans="1:13" x14ac:dyDescent="0.2">
      <c r="A90" s="5" t="s">
        <v>77</v>
      </c>
      <c r="B90" s="5" t="s">
        <v>11</v>
      </c>
      <c r="C90" s="24">
        <v>3.3</v>
      </c>
      <c r="D90">
        <v>0.94057370661382544</v>
      </c>
      <c r="E90">
        <v>16.95016842451059</v>
      </c>
      <c r="G90">
        <f t="shared" si="6"/>
        <v>0.51851393987788741</v>
      </c>
      <c r="H90">
        <f t="shared" si="7"/>
        <v>-2.6607165960056928E-2</v>
      </c>
      <c r="I90">
        <f t="shared" si="8"/>
        <v>1.2291740179061901</v>
      </c>
      <c r="K90" s="5" t="s">
        <v>77</v>
      </c>
      <c r="L90">
        <f t="shared" si="9"/>
        <v>0.54512110583794438</v>
      </c>
      <c r="M90">
        <f t="shared" si="10"/>
        <v>0.71066007802830267</v>
      </c>
    </row>
    <row r="91" spans="1:13" x14ac:dyDescent="0.2">
      <c r="A91" s="5" t="s">
        <v>78</v>
      </c>
      <c r="B91" s="5" t="s">
        <v>79</v>
      </c>
      <c r="C91" s="24">
        <v>1.7</v>
      </c>
      <c r="D91">
        <v>0.14084526831374181</v>
      </c>
      <c r="E91">
        <v>6.1710290339377907E-3</v>
      </c>
      <c r="G91">
        <f t="shared" si="6"/>
        <v>0.23044892137827391</v>
      </c>
      <c r="H91">
        <f t="shared" si="7"/>
        <v>-0.85125773852378472</v>
      </c>
      <c r="I91">
        <f t="shared" si="8"/>
        <v>-2.2096424102783203</v>
      </c>
      <c r="K91" s="5" t="s">
        <v>78</v>
      </c>
      <c r="L91">
        <f t="shared" si="9"/>
        <v>1.0817066599020586</v>
      </c>
      <c r="M91">
        <f t="shared" si="10"/>
        <v>2.4400913316565944</v>
      </c>
    </row>
    <row r="92" spans="1:13" x14ac:dyDescent="0.2">
      <c r="A92" s="5" t="s">
        <v>78</v>
      </c>
      <c r="B92" s="5" t="s">
        <v>80</v>
      </c>
      <c r="C92" s="24">
        <v>0.12</v>
      </c>
      <c r="D92">
        <v>0.10966957698071242</v>
      </c>
      <c r="E92">
        <v>6.5928500820254749E-3</v>
      </c>
      <c r="G92">
        <f t="shared" si="6"/>
        <v>-0.92081875395237522</v>
      </c>
      <c r="H92">
        <f t="shared" si="7"/>
        <v>-0.95991383169467337</v>
      </c>
      <c r="I92">
        <f t="shared" si="8"/>
        <v>-2.1809267997741704</v>
      </c>
      <c r="K92" s="5" t="s">
        <v>78</v>
      </c>
      <c r="L92">
        <f t="shared" si="9"/>
        <v>3.9095077742298145E-2</v>
      </c>
      <c r="M92">
        <f t="shared" si="10"/>
        <v>1.260108045821795</v>
      </c>
    </row>
    <row r="93" spans="1:13" x14ac:dyDescent="0.2">
      <c r="A93" s="5" t="s">
        <v>78</v>
      </c>
      <c r="B93" s="5" t="s">
        <v>81</v>
      </c>
      <c r="C93" s="24">
        <v>6.76</v>
      </c>
      <c r="D93">
        <v>0.13268722544935455</v>
      </c>
      <c r="E93">
        <v>1.2156304069222823E-2</v>
      </c>
      <c r="G93">
        <f t="shared" si="6"/>
        <v>0.82994669594163595</v>
      </c>
      <c r="H93">
        <f t="shared" si="7"/>
        <v>-0.87717088711228064</v>
      </c>
      <c r="I93">
        <f t="shared" si="8"/>
        <v>-1.9151984453201301</v>
      </c>
      <c r="K93" s="5" t="s">
        <v>78</v>
      </c>
      <c r="L93">
        <f t="shared" si="9"/>
        <v>1.7071175830539165</v>
      </c>
      <c r="M93">
        <f t="shared" si="10"/>
        <v>2.7451451412617658</v>
      </c>
    </row>
    <row r="94" spans="1:13" x14ac:dyDescent="0.2">
      <c r="A94" s="5" t="s">
        <v>78</v>
      </c>
      <c r="B94" s="5" t="s">
        <v>82</v>
      </c>
      <c r="C94" s="24">
        <v>1E-3</v>
      </c>
      <c r="D94">
        <v>0.13351114670827369</v>
      </c>
      <c r="E94">
        <v>1.5625663846454994E-2</v>
      </c>
      <c r="G94">
        <f t="shared" si="6"/>
        <v>-3</v>
      </c>
      <c r="H94">
        <f t="shared" si="7"/>
        <v>-0.87448247398625323</v>
      </c>
      <c r="I94">
        <f t="shared" si="8"/>
        <v>-1.8061615228653001</v>
      </c>
      <c r="K94" s="5" t="s">
        <v>78</v>
      </c>
      <c r="L94">
        <f t="shared" si="9"/>
        <v>2.1255175260137467</v>
      </c>
      <c r="M94">
        <f t="shared" si="10"/>
        <v>1.1938384771346999</v>
      </c>
    </row>
    <row r="95" spans="1:13" x14ac:dyDescent="0.2">
      <c r="A95" s="5" t="s">
        <v>78</v>
      </c>
      <c r="B95" s="5" t="s">
        <v>83</v>
      </c>
      <c r="C95" s="24">
        <v>0.51600000000000001</v>
      </c>
      <c r="D95">
        <v>0.39193387583752104</v>
      </c>
      <c r="E95">
        <v>0.18075644328151202</v>
      </c>
      <c r="G95">
        <f t="shared" si="6"/>
        <v>-0.28735029837278864</v>
      </c>
      <c r="H95">
        <f t="shared" si="7"/>
        <v>-0.40678719772759953</v>
      </c>
      <c r="I95">
        <f t="shared" si="8"/>
        <v>-0.74290621280670199</v>
      </c>
      <c r="K95" s="5" t="s">
        <v>78</v>
      </c>
      <c r="L95">
        <f t="shared" si="9"/>
        <v>0.11943689935481089</v>
      </c>
      <c r="M95">
        <f t="shared" si="10"/>
        <v>0.45555591443391336</v>
      </c>
    </row>
    <row r="96" spans="1:13" x14ac:dyDescent="0.2">
      <c r="A96" s="5" t="s">
        <v>78</v>
      </c>
      <c r="B96" s="5" t="s">
        <v>84</v>
      </c>
      <c r="C96" s="24">
        <v>8.2000000000000003E-2</v>
      </c>
      <c r="D96">
        <v>0.25604572927703073</v>
      </c>
      <c r="E96">
        <v>3.0608117867963726E-2</v>
      </c>
      <c r="G96">
        <f t="shared" si="6"/>
        <v>-1.0861861476162833</v>
      </c>
      <c r="H96">
        <f t="shared" si="7"/>
        <v>-0.59168246359794052</v>
      </c>
      <c r="I96">
        <f t="shared" si="8"/>
        <v>-1.5141633749008203</v>
      </c>
      <c r="K96" s="5" t="s">
        <v>78</v>
      </c>
      <c r="L96">
        <f t="shared" si="9"/>
        <v>0.49450368401834277</v>
      </c>
      <c r="M96">
        <f t="shared" si="10"/>
        <v>0.42797722728453702</v>
      </c>
    </row>
    <row r="97" spans="1:13" x14ac:dyDescent="0.2">
      <c r="A97" s="5" t="s">
        <v>78</v>
      </c>
      <c r="B97" s="5" t="s">
        <v>85</v>
      </c>
      <c r="C97" s="24">
        <v>9.7000000000000003E-2</v>
      </c>
      <c r="D97">
        <v>0.19487051535695343</v>
      </c>
      <c r="E97">
        <v>0.13736647143000302</v>
      </c>
      <c r="G97">
        <f t="shared" si="6"/>
        <v>-1.0132282657337552</v>
      </c>
      <c r="H97">
        <f t="shared" si="7"/>
        <v>-0.71025386630285503</v>
      </c>
      <c r="I97">
        <f t="shared" si="8"/>
        <v>-0.86211925745010409</v>
      </c>
      <c r="K97" s="5" t="s">
        <v>78</v>
      </c>
      <c r="L97">
        <f t="shared" si="9"/>
        <v>0.30297439943090021</v>
      </c>
      <c r="M97">
        <f t="shared" si="10"/>
        <v>0.15110900828365115</v>
      </c>
    </row>
    <row r="98" spans="1:13" x14ac:dyDescent="0.2">
      <c r="A98" s="5" t="s">
        <v>86</v>
      </c>
      <c r="B98" s="5" t="s">
        <v>87</v>
      </c>
      <c r="C98" s="24">
        <v>24</v>
      </c>
      <c r="D98">
        <v>3.662937195280175</v>
      </c>
      <c r="E98">
        <v>3.9723415956693886</v>
      </c>
      <c r="G98">
        <f t="shared" si="6"/>
        <v>1.3802112417116059</v>
      </c>
      <c r="H98">
        <f t="shared" si="7"/>
        <v>0.56382947231535274</v>
      </c>
      <c r="I98">
        <f t="shared" si="8"/>
        <v>0.59904658794403109</v>
      </c>
      <c r="K98" s="5" t="s">
        <v>86</v>
      </c>
      <c r="L98">
        <f t="shared" si="9"/>
        <v>0.81638176939625318</v>
      </c>
      <c r="M98">
        <f t="shared" si="10"/>
        <v>0.78116465376757482</v>
      </c>
    </row>
    <row r="99" spans="1:13" x14ac:dyDescent="0.2">
      <c r="A99" s="5" t="s">
        <v>88</v>
      </c>
      <c r="B99" s="5" t="s">
        <v>20</v>
      </c>
      <c r="C99" s="24">
        <v>4.9779999999999998</v>
      </c>
      <c r="D99">
        <v>0.4267649145184983</v>
      </c>
      <c r="E99">
        <v>0.13600733360036787</v>
      </c>
      <c r="G99">
        <f t="shared" si="6"/>
        <v>0.69705489227257444</v>
      </c>
      <c r="H99">
        <f t="shared" si="7"/>
        <v>-0.36981129228727921</v>
      </c>
      <c r="I99">
        <f t="shared" si="8"/>
        <v>-0.86643767356872603</v>
      </c>
      <c r="K99" s="5" t="s">
        <v>88</v>
      </c>
      <c r="L99">
        <f t="shared" si="9"/>
        <v>1.0668661845598537</v>
      </c>
      <c r="M99">
        <f t="shared" si="10"/>
        <v>1.5634925658413006</v>
      </c>
    </row>
    <row r="100" spans="1:13" x14ac:dyDescent="0.2">
      <c r="A100" s="5" t="s">
        <v>88</v>
      </c>
      <c r="B100" s="5" t="s">
        <v>89</v>
      </c>
      <c r="C100" s="24">
        <v>1.423</v>
      </c>
      <c r="D100">
        <v>2.3219131766111398</v>
      </c>
      <c r="E100">
        <v>6.020181995544883</v>
      </c>
      <c r="G100">
        <f t="shared" si="6"/>
        <v>0.15320490008428433</v>
      </c>
      <c r="H100">
        <f t="shared" si="7"/>
        <v>0.3658459761158791</v>
      </c>
      <c r="I100">
        <f t="shared" si="8"/>
        <v>0.77960962057113703</v>
      </c>
      <c r="K100" s="5" t="s">
        <v>88</v>
      </c>
      <c r="L100">
        <f t="shared" si="9"/>
        <v>0.21264107603159477</v>
      </c>
      <c r="M100">
        <f t="shared" si="10"/>
        <v>0.6264047204868527</v>
      </c>
    </row>
    <row r="101" spans="1:13" x14ac:dyDescent="0.2">
      <c r="A101" s="5" t="s">
        <v>88</v>
      </c>
      <c r="B101" s="5" t="s">
        <v>22</v>
      </c>
      <c r="C101" s="24">
        <v>5.3</v>
      </c>
      <c r="D101">
        <v>0.33553957017760633</v>
      </c>
      <c r="E101">
        <v>0.28758187652274114</v>
      </c>
      <c r="G101">
        <f t="shared" si="6"/>
        <v>0.72427586960078905</v>
      </c>
      <c r="H101">
        <f t="shared" si="7"/>
        <v>-0.4742562561315834</v>
      </c>
      <c r="I101">
        <f t="shared" si="8"/>
        <v>-0.54123848676681496</v>
      </c>
      <c r="K101" s="5" t="s">
        <v>88</v>
      </c>
      <c r="L101">
        <f t="shared" si="9"/>
        <v>1.1985321257323724</v>
      </c>
      <c r="M101">
        <f t="shared" si="10"/>
        <v>1.2655143563676039</v>
      </c>
    </row>
    <row r="102" spans="1:13" x14ac:dyDescent="0.2">
      <c r="A102" s="5" t="s">
        <v>88</v>
      </c>
      <c r="B102" s="5" t="s">
        <v>90</v>
      </c>
      <c r="C102" s="24">
        <v>3.6030000000000002</v>
      </c>
      <c r="D102">
        <v>4.9973007887820344</v>
      </c>
      <c r="E102">
        <v>27.899977144592892</v>
      </c>
      <c r="G102">
        <f t="shared" si="6"/>
        <v>0.55666426212256848</v>
      </c>
      <c r="H102">
        <f t="shared" si="7"/>
        <v>0.69873549052259953</v>
      </c>
      <c r="I102">
        <f t="shared" si="8"/>
        <v>1.4456038475036601</v>
      </c>
      <c r="K102" s="5" t="s">
        <v>88</v>
      </c>
      <c r="L102">
        <f t="shared" si="9"/>
        <v>0.14207122840003106</v>
      </c>
      <c r="M102">
        <f t="shared" si="10"/>
        <v>0.88893958538109163</v>
      </c>
    </row>
    <row r="103" spans="1:13" x14ac:dyDescent="0.2">
      <c r="A103" s="5" t="s">
        <v>88</v>
      </c>
      <c r="B103" s="5" t="s">
        <v>91</v>
      </c>
      <c r="C103" s="24">
        <v>6.9039999999999999</v>
      </c>
      <c r="D103">
        <v>4.6601631574909934</v>
      </c>
      <c r="E103">
        <v>9.1476113452613248</v>
      </c>
      <c r="G103">
        <f t="shared" si="6"/>
        <v>0.83910078270715316</v>
      </c>
      <c r="H103">
        <f t="shared" si="7"/>
        <v>0.66840112208862457</v>
      </c>
      <c r="I103">
        <f t="shared" si="8"/>
        <v>0.96130770444870017</v>
      </c>
      <c r="K103" s="5" t="s">
        <v>88</v>
      </c>
      <c r="L103">
        <f t="shared" si="9"/>
        <v>0.17069966061852859</v>
      </c>
      <c r="M103">
        <f t="shared" si="10"/>
        <v>0.12220692174154701</v>
      </c>
    </row>
    <row r="104" spans="1:13" x14ac:dyDescent="0.2">
      <c r="A104" s="5" t="s">
        <v>88</v>
      </c>
      <c r="B104" s="5" t="s">
        <v>49</v>
      </c>
      <c r="C104" s="24">
        <v>10.263</v>
      </c>
      <c r="D104">
        <v>0.81292669554984143</v>
      </c>
      <c r="E104">
        <v>0.6681555649804366</v>
      </c>
      <c r="G104">
        <f t="shared" si="6"/>
        <v>1.011274328904725</v>
      </c>
      <c r="H104">
        <f t="shared" si="7"/>
        <v>-8.9948614496373216E-2</v>
      </c>
      <c r="I104">
        <f t="shared" si="8"/>
        <v>-0.17512241005897503</v>
      </c>
      <c r="K104" s="5" t="s">
        <v>88</v>
      </c>
      <c r="L104">
        <f t="shared" si="9"/>
        <v>1.1012229434010983</v>
      </c>
      <c r="M104">
        <f t="shared" si="10"/>
        <v>1.1863967389637</v>
      </c>
    </row>
    <row r="105" spans="1:13" x14ac:dyDescent="0.2">
      <c r="A105" s="5" t="s">
        <v>88</v>
      </c>
      <c r="B105" s="5" t="s">
        <v>92</v>
      </c>
      <c r="C105" s="24">
        <v>6.7110000000000003</v>
      </c>
      <c r="D105">
        <v>0.18659073247880387</v>
      </c>
      <c r="E105">
        <v>0.44547773522543249</v>
      </c>
      <c r="G105">
        <f t="shared" si="6"/>
        <v>0.82678723881629212</v>
      </c>
      <c r="H105">
        <f t="shared" si="7"/>
        <v>-0.72910993043553562</v>
      </c>
      <c r="I105">
        <f t="shared" si="8"/>
        <v>-0.35117399692535395</v>
      </c>
      <c r="K105" s="5" t="s">
        <v>88</v>
      </c>
      <c r="L105">
        <f t="shared" si="9"/>
        <v>1.5558971692518277</v>
      </c>
      <c r="M105">
        <f t="shared" si="10"/>
        <v>1.177961235741646</v>
      </c>
    </row>
    <row r="106" spans="1:13" x14ac:dyDescent="0.2">
      <c r="A106" s="5" t="s">
        <v>93</v>
      </c>
      <c r="B106" s="5" t="s">
        <v>10</v>
      </c>
      <c r="C106" s="24">
        <v>4.3849999999999998</v>
      </c>
      <c r="D106">
        <v>0.64155818031973777</v>
      </c>
      <c r="E106">
        <v>0.43735355658320824</v>
      </c>
      <c r="G106">
        <f t="shared" si="6"/>
        <v>0.6419695977020593</v>
      </c>
      <c r="H106">
        <f t="shared" si="7"/>
        <v>-0.19276395309094824</v>
      </c>
      <c r="I106">
        <f t="shared" si="8"/>
        <v>-0.35916733741760309</v>
      </c>
      <c r="K106" s="5" t="s">
        <v>93</v>
      </c>
      <c r="L106">
        <f t="shared" si="9"/>
        <v>0.83473355079300759</v>
      </c>
      <c r="M106">
        <f t="shared" si="10"/>
        <v>1.0011369351196624</v>
      </c>
    </row>
    <row r="107" spans="1:13" x14ac:dyDescent="0.2">
      <c r="A107" s="5" t="s">
        <v>93</v>
      </c>
      <c r="B107" s="5" t="s">
        <v>33</v>
      </c>
      <c r="C107" s="24">
        <v>1.794</v>
      </c>
      <c r="D107">
        <v>0.93622643709700304</v>
      </c>
      <c r="E107">
        <v>0.83771144985459256</v>
      </c>
      <c r="G107">
        <f t="shared" si="6"/>
        <v>0.25382243870807331</v>
      </c>
      <c r="H107">
        <f t="shared" si="7"/>
        <v>-2.8619099458055706E-2</v>
      </c>
      <c r="I107">
        <f t="shared" si="8"/>
        <v>-7.6905548572540297E-2</v>
      </c>
      <c r="K107" s="5" t="s">
        <v>93</v>
      </c>
      <c r="L107">
        <f t="shared" si="9"/>
        <v>0.28244153816612899</v>
      </c>
      <c r="M107">
        <f t="shared" si="10"/>
        <v>0.33072798728061359</v>
      </c>
    </row>
    <row r="108" spans="1:13" x14ac:dyDescent="0.2">
      <c r="A108" s="5" t="s">
        <v>94</v>
      </c>
      <c r="B108" s="5" t="s">
        <v>11</v>
      </c>
      <c r="C108" s="24">
        <v>11.302</v>
      </c>
      <c r="D108">
        <v>1.9988212522244853</v>
      </c>
      <c r="E108">
        <v>1.968916786494687</v>
      </c>
      <c r="G108">
        <f t="shared" si="6"/>
        <v>1.0531553029618794</v>
      </c>
      <c r="H108">
        <f t="shared" si="7"/>
        <v>0.30077395837849147</v>
      </c>
      <c r="I108">
        <f t="shared" si="8"/>
        <v>0.29422736167907704</v>
      </c>
      <c r="K108" s="5" t="s">
        <v>94</v>
      </c>
      <c r="L108">
        <f t="shared" si="9"/>
        <v>0.75238134458338801</v>
      </c>
      <c r="M108">
        <f t="shared" si="10"/>
        <v>0.75892794128280239</v>
      </c>
    </row>
    <row r="109" spans="1:13" x14ac:dyDescent="0.2">
      <c r="A109" s="5" t="s">
        <v>94</v>
      </c>
      <c r="B109" s="5" t="s">
        <v>95</v>
      </c>
      <c r="C109" s="24">
        <v>5.3840000000000003</v>
      </c>
      <c r="D109">
        <v>0.22447934371135844</v>
      </c>
      <c r="E109">
        <v>2.6329057284440887E-2</v>
      </c>
      <c r="G109">
        <f t="shared" si="6"/>
        <v>0.73110505121592051</v>
      </c>
      <c r="H109">
        <f t="shared" si="7"/>
        <v>-0.64882361601881677</v>
      </c>
      <c r="I109">
        <f t="shared" si="8"/>
        <v>-1.5795646905898999</v>
      </c>
      <c r="K109" s="5" t="s">
        <v>94</v>
      </c>
      <c r="L109">
        <f t="shared" si="9"/>
        <v>1.3799286672347373</v>
      </c>
      <c r="M109">
        <f t="shared" si="10"/>
        <v>2.3106697418058202</v>
      </c>
    </row>
    <row r="110" spans="1:13" x14ac:dyDescent="0.2">
      <c r="A110" s="5" t="s">
        <v>96</v>
      </c>
      <c r="B110" s="5" t="s">
        <v>97</v>
      </c>
      <c r="C110" s="24">
        <v>3.0000000000000001E-3</v>
      </c>
      <c r="D110">
        <v>0.19131021248954441</v>
      </c>
      <c r="E110">
        <v>1.3892874279355368E-2</v>
      </c>
      <c r="G110">
        <f t="shared" si="6"/>
        <v>-2.5228787452803374</v>
      </c>
      <c r="H110">
        <f t="shared" si="7"/>
        <v>-0.71826184591900188</v>
      </c>
      <c r="I110">
        <f t="shared" si="8"/>
        <v>-1.8572078943252601</v>
      </c>
      <c r="K110" s="5" t="s">
        <v>96</v>
      </c>
      <c r="L110">
        <f t="shared" si="9"/>
        <v>1.8046168993613354</v>
      </c>
      <c r="M110">
        <f t="shared" si="10"/>
        <v>0.66567085095507728</v>
      </c>
    </row>
    <row r="111" spans="1:13" x14ac:dyDescent="0.2">
      <c r="A111" s="5" t="s">
        <v>96</v>
      </c>
      <c r="B111" s="5" t="s">
        <v>81</v>
      </c>
      <c r="C111" s="24">
        <v>29.26</v>
      </c>
      <c r="D111">
        <v>0.1602311950007749</v>
      </c>
      <c r="E111">
        <v>1.5571825902215133E-2</v>
      </c>
      <c r="G111">
        <f t="shared" si="6"/>
        <v>1.466274321789292</v>
      </c>
      <c r="H111">
        <f t="shared" si="7"/>
        <v>-0.79525292834030137</v>
      </c>
      <c r="I111">
        <f t="shared" si="8"/>
        <v>-1.8076604604721103</v>
      </c>
      <c r="K111" s="5" t="s">
        <v>96</v>
      </c>
      <c r="L111">
        <f t="shared" si="9"/>
        <v>2.2615272501295935</v>
      </c>
      <c r="M111">
        <f t="shared" si="10"/>
        <v>3.273934782261402</v>
      </c>
    </row>
    <row r="112" spans="1:13" x14ac:dyDescent="0.2">
      <c r="A112" s="5" t="s">
        <v>96</v>
      </c>
      <c r="B112" s="5" t="s">
        <v>36</v>
      </c>
      <c r="C112" s="24">
        <v>7.3999999999999996E-2</v>
      </c>
      <c r="D112">
        <v>8.4436620939698892E-2</v>
      </c>
      <c r="E112">
        <v>8.5382304844165025E-3</v>
      </c>
      <c r="G112">
        <f t="shared" si="6"/>
        <v>-1.1307682802690238</v>
      </c>
      <c r="H112">
        <f t="shared" si="7"/>
        <v>-1.0734691550020696</v>
      </c>
      <c r="I112">
        <f t="shared" si="8"/>
        <v>-2.06863212585449</v>
      </c>
      <c r="K112" s="5" t="s">
        <v>96</v>
      </c>
      <c r="L112">
        <f t="shared" si="9"/>
        <v>5.7299125266954132E-2</v>
      </c>
      <c r="M112">
        <f t="shared" si="10"/>
        <v>0.9378638455854662</v>
      </c>
    </row>
    <row r="113" spans="1:13" x14ac:dyDescent="0.2">
      <c r="A113" s="5" t="s">
        <v>96</v>
      </c>
      <c r="B113" s="5" t="s">
        <v>98</v>
      </c>
      <c r="C113" s="24">
        <v>7.61</v>
      </c>
      <c r="D113">
        <v>0.74526638569802139</v>
      </c>
      <c r="E113">
        <v>0.83410191433599634</v>
      </c>
      <c r="G113">
        <f t="shared" si="6"/>
        <v>0.88138465677057287</v>
      </c>
      <c r="H113">
        <f t="shared" si="7"/>
        <v>-0.12768846663380545</v>
      </c>
      <c r="I113">
        <f t="shared" si="8"/>
        <v>-7.8780882060527829E-2</v>
      </c>
      <c r="K113" s="5" t="s">
        <v>96</v>
      </c>
      <c r="L113">
        <f t="shared" si="9"/>
        <v>1.0090731234043784</v>
      </c>
      <c r="M113">
        <f t="shared" si="10"/>
        <v>0.96016553883110067</v>
      </c>
    </row>
    <row r="114" spans="1:13" x14ac:dyDescent="0.2">
      <c r="A114" s="5" t="s">
        <v>96</v>
      </c>
      <c r="B114" s="5" t="s">
        <v>37</v>
      </c>
      <c r="C114" s="24">
        <v>3.0000000000000001E-3</v>
      </c>
      <c r="D114">
        <v>0.11330673706417502</v>
      </c>
      <c r="E114">
        <v>1.8723422594697538E-2</v>
      </c>
      <c r="G114">
        <f t="shared" si="6"/>
        <v>-2.5228787452803374</v>
      </c>
      <c r="H114">
        <f t="shared" si="7"/>
        <v>-0.94574426681083401</v>
      </c>
      <c r="I114">
        <f t="shared" si="8"/>
        <v>-1.7276147603988603</v>
      </c>
      <c r="K114" s="5" t="s">
        <v>96</v>
      </c>
      <c r="L114">
        <f t="shared" si="9"/>
        <v>1.5771344784695034</v>
      </c>
      <c r="M114">
        <f t="shared" si="10"/>
        <v>0.79526398488147709</v>
      </c>
    </row>
    <row r="115" spans="1:13" x14ac:dyDescent="0.2">
      <c r="A115" s="5" t="s">
        <v>96</v>
      </c>
      <c r="B115" s="5" t="s">
        <v>99</v>
      </c>
      <c r="C115" s="24">
        <v>1.3</v>
      </c>
      <c r="D115">
        <v>0.24026916359398273</v>
      </c>
      <c r="E115">
        <v>5.6351628012389444E-2</v>
      </c>
      <c r="G115">
        <f t="shared" si="6"/>
        <v>0.11394335230683679</v>
      </c>
      <c r="H115">
        <f t="shared" si="7"/>
        <v>-0.61930196344626798</v>
      </c>
      <c r="I115">
        <f t="shared" si="8"/>
        <v>-1.2490935325622603</v>
      </c>
      <c r="K115" s="5" t="s">
        <v>96</v>
      </c>
      <c r="L115">
        <f t="shared" si="9"/>
        <v>0.73324531575310481</v>
      </c>
      <c r="M115">
        <f t="shared" si="10"/>
        <v>1.363036884869097</v>
      </c>
    </row>
    <row r="116" spans="1:13" x14ac:dyDescent="0.2">
      <c r="A116" s="5" t="s">
        <v>96</v>
      </c>
      <c r="B116" s="5" t="s">
        <v>100</v>
      </c>
      <c r="C116" s="24">
        <v>23.283999999999999</v>
      </c>
      <c r="D116">
        <v>0.24560960754689806</v>
      </c>
      <c r="E116">
        <v>3.3758647836827312E-2</v>
      </c>
      <c r="G116">
        <f t="shared" si="6"/>
        <v>1.367057590612843</v>
      </c>
      <c r="H116">
        <f t="shared" si="7"/>
        <v>-0.60975464883790109</v>
      </c>
      <c r="I116">
        <f t="shared" si="8"/>
        <v>-1.4716149568557699</v>
      </c>
      <c r="K116" s="5" t="s">
        <v>96</v>
      </c>
      <c r="L116">
        <f t="shared" si="9"/>
        <v>1.9768122394507441</v>
      </c>
      <c r="M116">
        <f t="shared" si="10"/>
        <v>2.838672547468613</v>
      </c>
    </row>
    <row r="117" spans="1:13" x14ac:dyDescent="0.2">
      <c r="A117" s="5" t="s">
        <v>96</v>
      </c>
      <c r="B117" s="5" t="s">
        <v>101</v>
      </c>
      <c r="C117" s="24">
        <v>3.0000000000000001E-3</v>
      </c>
      <c r="D117">
        <v>0.10217250755240334</v>
      </c>
      <c r="E117">
        <v>2.4245547266539508E-2</v>
      </c>
      <c r="G117">
        <f t="shared" si="6"/>
        <v>-2.5228787452803374</v>
      </c>
      <c r="H117">
        <f t="shared" si="7"/>
        <v>-0.9906659478854225</v>
      </c>
      <c r="I117">
        <f t="shared" si="8"/>
        <v>-1.6153680086135902</v>
      </c>
      <c r="K117" s="5" t="s">
        <v>96</v>
      </c>
      <c r="L117">
        <f t="shared" si="9"/>
        <v>1.5322127973949149</v>
      </c>
      <c r="M117">
        <f t="shared" si="10"/>
        <v>0.9075107366667472</v>
      </c>
    </row>
    <row r="118" spans="1:13" x14ac:dyDescent="0.2">
      <c r="A118" s="5" t="s">
        <v>96</v>
      </c>
      <c r="B118" s="5" t="s">
        <v>102</v>
      </c>
      <c r="C118" s="24">
        <v>0.32800000000000001</v>
      </c>
      <c r="D118">
        <v>0.61293350485479769</v>
      </c>
      <c r="E118">
        <v>4.8867074729647318E-2</v>
      </c>
      <c r="G118">
        <f t="shared" si="6"/>
        <v>-0.4841261562883209</v>
      </c>
      <c r="H118">
        <f t="shared" si="7"/>
        <v>-0.21258663810971476</v>
      </c>
      <c r="I118">
        <f t="shared" si="8"/>
        <v>-1.3109836578369101</v>
      </c>
      <c r="K118" s="5" t="s">
        <v>96</v>
      </c>
      <c r="L118">
        <f t="shared" si="9"/>
        <v>0.27153951817860611</v>
      </c>
      <c r="M118">
        <f t="shared" si="10"/>
        <v>0.82685750154858917</v>
      </c>
    </row>
    <row r="119" spans="1:13" x14ac:dyDescent="0.2">
      <c r="A119" s="5" t="s">
        <v>103</v>
      </c>
      <c r="B119" s="5" t="s">
        <v>104</v>
      </c>
      <c r="C119" s="24">
        <v>0.16</v>
      </c>
      <c r="D119">
        <v>3.4373396641761231</v>
      </c>
      <c r="E119">
        <v>9.2523774239143624</v>
      </c>
      <c r="G119">
        <f t="shared" si="6"/>
        <v>-0.79588001734407521</v>
      </c>
      <c r="H119">
        <f t="shared" si="7"/>
        <v>0.53622244950375553</v>
      </c>
      <c r="I119">
        <f t="shared" si="8"/>
        <v>0.96625334024429299</v>
      </c>
      <c r="K119" s="5" t="s">
        <v>103</v>
      </c>
      <c r="L119">
        <f t="shared" si="9"/>
        <v>1.3321024668478307</v>
      </c>
      <c r="M119">
        <f t="shared" si="10"/>
        <v>1.7621333575883682</v>
      </c>
    </row>
    <row r="120" spans="1:13" x14ac:dyDescent="0.2">
      <c r="A120" s="5" t="s">
        <v>103</v>
      </c>
      <c r="B120" s="5" t="s">
        <v>105</v>
      </c>
      <c r="C120" s="24">
        <v>25</v>
      </c>
      <c r="D120">
        <v>0.84436599733729134</v>
      </c>
      <c r="E120">
        <v>1.1964593379272332</v>
      </c>
      <c r="G120">
        <f t="shared" si="6"/>
        <v>1.3979400086720377</v>
      </c>
      <c r="H120">
        <f t="shared" si="7"/>
        <v>-7.3469264073663235E-2</v>
      </c>
      <c r="I120">
        <f t="shared" si="8"/>
        <v>7.7897943556308802E-2</v>
      </c>
      <c r="K120" s="5" t="s">
        <v>103</v>
      </c>
      <c r="L120">
        <f t="shared" si="9"/>
        <v>1.4714092727457009</v>
      </c>
      <c r="M120">
        <f t="shared" si="10"/>
        <v>1.320042065115729</v>
      </c>
    </row>
    <row r="121" spans="1:13" x14ac:dyDescent="0.2">
      <c r="A121" s="5" t="s">
        <v>106</v>
      </c>
      <c r="B121" s="5" t="s">
        <v>20</v>
      </c>
      <c r="C121" s="24">
        <v>11</v>
      </c>
      <c r="D121">
        <v>1.1559020558159592</v>
      </c>
      <c r="E121">
        <v>0.8298828284661357</v>
      </c>
      <c r="G121">
        <f t="shared" si="6"/>
        <v>1.0413926851582251</v>
      </c>
      <c r="H121">
        <f t="shared" si="7"/>
        <v>6.2921036142675399E-2</v>
      </c>
      <c r="I121">
        <f t="shared" si="8"/>
        <v>-8.0983221530914279E-2</v>
      </c>
      <c r="K121" s="5" t="s">
        <v>106</v>
      </c>
      <c r="L121">
        <f t="shared" si="9"/>
        <v>0.97847164901554973</v>
      </c>
      <c r="M121">
        <f t="shared" si="10"/>
        <v>1.1223759066891394</v>
      </c>
    </row>
    <row r="122" spans="1:13" x14ac:dyDescent="0.2">
      <c r="A122" s="5" t="s">
        <v>107</v>
      </c>
      <c r="B122" s="5" t="s">
        <v>108</v>
      </c>
      <c r="C122" s="24">
        <v>4.8</v>
      </c>
      <c r="D122">
        <v>1.1021281703472667</v>
      </c>
      <c r="E122">
        <v>0.42359477238012239</v>
      </c>
      <c r="G122">
        <f t="shared" si="6"/>
        <v>0.68124123737558717</v>
      </c>
      <c r="H122">
        <f t="shared" si="7"/>
        <v>4.2232103079989654E-2</v>
      </c>
      <c r="I122">
        <f t="shared" si="8"/>
        <v>-0.37304940819740301</v>
      </c>
      <c r="K122" s="5" t="s">
        <v>107</v>
      </c>
      <c r="L122">
        <f t="shared" si="9"/>
        <v>0.63900913429559747</v>
      </c>
      <c r="M122">
        <f t="shared" si="10"/>
        <v>1.0542906455729901</v>
      </c>
    </row>
    <row r="123" spans="1:13" x14ac:dyDescent="0.2">
      <c r="A123" s="5" t="s">
        <v>107</v>
      </c>
      <c r="B123" s="5" t="s">
        <v>109</v>
      </c>
      <c r="C123" s="24">
        <v>3</v>
      </c>
      <c r="D123">
        <v>1.241802927829375</v>
      </c>
      <c r="E123">
        <v>0.82684702956049771</v>
      </c>
      <c r="G123">
        <f t="shared" si="6"/>
        <v>0.47712125471966244</v>
      </c>
      <c r="H123">
        <f t="shared" si="7"/>
        <v>9.4052679457977406E-2</v>
      </c>
      <c r="I123">
        <f t="shared" si="8"/>
        <v>-8.2574829459190424E-2</v>
      </c>
      <c r="K123" s="5" t="s">
        <v>107</v>
      </c>
      <c r="L123">
        <f t="shared" si="9"/>
        <v>0.38306857526168503</v>
      </c>
      <c r="M123">
        <f t="shared" si="10"/>
        <v>0.55969608417885286</v>
      </c>
    </row>
    <row r="124" spans="1:13" x14ac:dyDescent="0.2">
      <c r="A124" s="5" t="s">
        <v>107</v>
      </c>
      <c r="B124" s="5" t="s">
        <v>16</v>
      </c>
      <c r="C124" s="24">
        <v>13</v>
      </c>
      <c r="D124">
        <v>0.57021015519593921</v>
      </c>
      <c r="E124">
        <v>1.220099875704187</v>
      </c>
      <c r="G124">
        <f t="shared" si="6"/>
        <v>1.1139433523068367</v>
      </c>
      <c r="H124">
        <f t="shared" si="7"/>
        <v>-0.24396505236102806</v>
      </c>
      <c r="I124">
        <f t="shared" si="8"/>
        <v>8.6395382881164634E-2</v>
      </c>
      <c r="K124" s="5" t="s">
        <v>107</v>
      </c>
      <c r="L124">
        <f t="shared" si="9"/>
        <v>1.3579084046678647</v>
      </c>
      <c r="M124">
        <f t="shared" si="10"/>
        <v>1.0275479694256722</v>
      </c>
    </row>
    <row r="125" spans="1:13" x14ac:dyDescent="0.2">
      <c r="A125" s="5" t="s">
        <v>107</v>
      </c>
      <c r="B125" s="5" t="s">
        <v>49</v>
      </c>
      <c r="C125" s="24">
        <v>3.62</v>
      </c>
      <c r="D125">
        <v>0.69182640583069299</v>
      </c>
      <c r="E125">
        <v>0.63779967888345679</v>
      </c>
      <c r="G125">
        <f t="shared" si="6"/>
        <v>0.55870857053316569</v>
      </c>
      <c r="H125">
        <f t="shared" si="7"/>
        <v>-0.16000286572769656</v>
      </c>
      <c r="I125">
        <f t="shared" si="8"/>
        <v>-0.19531570374965709</v>
      </c>
      <c r="K125" s="5" t="s">
        <v>107</v>
      </c>
      <c r="L125">
        <f t="shared" si="9"/>
        <v>0.7187114362608622</v>
      </c>
      <c r="M125">
        <f t="shared" si="10"/>
        <v>0.75402427428282282</v>
      </c>
    </row>
    <row r="126" spans="1:13" x14ac:dyDescent="0.2">
      <c r="A126" s="5" t="s">
        <v>110</v>
      </c>
      <c r="B126" s="5" t="s">
        <v>72</v>
      </c>
      <c r="C126" s="24">
        <v>3</v>
      </c>
      <c r="D126">
        <v>0.60049923536738847</v>
      </c>
      <c r="E126">
        <v>0.15436380154154353</v>
      </c>
      <c r="G126">
        <f t="shared" si="6"/>
        <v>0.47712125471966244</v>
      </c>
      <c r="H126">
        <f t="shared" si="7"/>
        <v>-0.22148754126013476</v>
      </c>
      <c r="I126">
        <f t="shared" si="8"/>
        <v>-0.81145453453064009</v>
      </c>
      <c r="K126" s="5" t="s">
        <v>110</v>
      </c>
      <c r="L126">
        <f t="shared" si="9"/>
        <v>0.69860879597979719</v>
      </c>
      <c r="M126">
        <f t="shared" si="10"/>
        <v>1.2885757892503025</v>
      </c>
    </row>
    <row r="127" spans="1:13" x14ac:dyDescent="0.2">
      <c r="A127" s="5" t="s">
        <v>110</v>
      </c>
      <c r="B127" s="5" t="s">
        <v>40</v>
      </c>
      <c r="C127" s="24">
        <v>0.41899999999999998</v>
      </c>
      <c r="D127">
        <v>1.5680665707695571</v>
      </c>
      <c r="E127">
        <v>1.7826780349409905</v>
      </c>
      <c r="G127">
        <f t="shared" si="6"/>
        <v>-0.3777859770337047</v>
      </c>
      <c r="H127">
        <f t="shared" si="7"/>
        <v>0.19536449629750435</v>
      </c>
      <c r="I127">
        <f t="shared" si="8"/>
        <v>0.25107291340827903</v>
      </c>
      <c r="K127" s="5" t="s">
        <v>110</v>
      </c>
      <c r="L127">
        <f t="shared" si="9"/>
        <v>0.57315047333120905</v>
      </c>
      <c r="M127">
        <f t="shared" si="10"/>
        <v>0.62885889044198373</v>
      </c>
    </row>
    <row r="128" spans="1:13" x14ac:dyDescent="0.2">
      <c r="A128" s="5" t="s">
        <v>110</v>
      </c>
      <c r="B128" s="5" t="s">
        <v>111</v>
      </c>
      <c r="C128" s="24">
        <v>17.8</v>
      </c>
      <c r="D128">
        <v>1.2210579144376921</v>
      </c>
      <c r="E128">
        <v>1.5582828638303305</v>
      </c>
      <c r="G128">
        <f t="shared" si="6"/>
        <v>1.2504200023088941</v>
      </c>
      <c r="H128">
        <f t="shared" si="7"/>
        <v>8.6736262900024536E-2</v>
      </c>
      <c r="I128">
        <f t="shared" si="8"/>
        <v>0.19264629483223</v>
      </c>
      <c r="K128" s="5" t="s">
        <v>110</v>
      </c>
      <c r="L128">
        <f t="shared" si="9"/>
        <v>1.1636837394088695</v>
      </c>
      <c r="M128">
        <f t="shared" si="10"/>
        <v>1.057773707476664</v>
      </c>
    </row>
    <row r="129" spans="1:13" x14ac:dyDescent="0.2">
      <c r="A129" s="5" t="s">
        <v>112</v>
      </c>
      <c r="B129" s="5" t="s">
        <v>113</v>
      </c>
      <c r="C129" s="25">
        <v>8.1620000000000008</v>
      </c>
      <c r="D129">
        <v>0.4250155326424313</v>
      </c>
      <c r="E129">
        <v>0.62096383549500533</v>
      </c>
      <c r="G129">
        <f t="shared" si="6"/>
        <v>0.91179659043725214</v>
      </c>
      <c r="H129">
        <f t="shared" si="7"/>
        <v>-0.37159519790820456</v>
      </c>
      <c r="I129">
        <f t="shared" si="8"/>
        <v>-0.20693369209766405</v>
      </c>
      <c r="K129" s="5" t="s">
        <v>112</v>
      </c>
      <c r="L129">
        <f t="shared" si="9"/>
        <v>1.2833917883454566</v>
      </c>
      <c r="M129">
        <f t="shared" si="10"/>
        <v>1.1187302825349161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962D-7B6B-3A4C-9E46-049E3B476FD5}">
  <dimension ref="A1:C36"/>
  <sheetViews>
    <sheetView topLeftCell="A25" workbookViewId="0">
      <selection activeCell="J53" sqref="J53"/>
    </sheetView>
  </sheetViews>
  <sheetFormatPr baseColWidth="10" defaultRowHeight="16" x14ac:dyDescent="0.2"/>
  <sheetData>
    <row r="1" spans="1:3" x14ac:dyDescent="0.2">
      <c r="B1" t="s">
        <v>790</v>
      </c>
      <c r="C1" t="s">
        <v>789</v>
      </c>
    </row>
    <row r="2" spans="1:3" x14ac:dyDescent="0.2">
      <c r="A2" t="s">
        <v>7</v>
      </c>
      <c r="B2">
        <v>0.88904619224046755</v>
      </c>
      <c r="C2">
        <v>1.3529479456351667</v>
      </c>
    </row>
    <row r="3" spans="1:3" x14ac:dyDescent="0.2">
      <c r="A3" t="s">
        <v>18</v>
      </c>
      <c r="B3">
        <v>1.0322993316004558</v>
      </c>
      <c r="C3">
        <v>0.7394272071153819</v>
      </c>
    </row>
    <row r="4" spans="1:3" x14ac:dyDescent="0.2">
      <c r="A4" t="s">
        <v>25</v>
      </c>
      <c r="B4">
        <v>0.61878499991842184</v>
      </c>
      <c r="C4">
        <v>0.93567136707031118</v>
      </c>
    </row>
    <row r="5" spans="1:3" x14ac:dyDescent="0.2">
      <c r="A5" t="s">
        <v>115</v>
      </c>
      <c r="B5">
        <v>0.52107379781841701</v>
      </c>
    </row>
    <row r="6" spans="1:3" x14ac:dyDescent="0.2">
      <c r="A6" t="s">
        <v>28</v>
      </c>
      <c r="B6">
        <v>1.0538820588915887</v>
      </c>
      <c r="C6">
        <v>2.8260363030751177</v>
      </c>
    </row>
    <row r="7" spans="1:3" x14ac:dyDescent="0.2">
      <c r="A7" t="s">
        <v>30</v>
      </c>
      <c r="B7">
        <v>1.1923121352303501</v>
      </c>
      <c r="C7">
        <v>1.8493740855523328</v>
      </c>
    </row>
    <row r="8" spans="1:3" x14ac:dyDescent="0.2">
      <c r="A8" t="s">
        <v>34</v>
      </c>
      <c r="B8">
        <v>0.68660949045791242</v>
      </c>
      <c r="C8">
        <v>1.2127476609006227</v>
      </c>
    </row>
    <row r="9" spans="1:3" x14ac:dyDescent="0.2">
      <c r="A9" t="s">
        <v>39</v>
      </c>
      <c r="B9">
        <v>0.73193461094063117</v>
      </c>
      <c r="C9">
        <v>1.044500610962783</v>
      </c>
    </row>
    <row r="10" spans="1:3" x14ac:dyDescent="0.2">
      <c r="A10" t="s">
        <v>43</v>
      </c>
      <c r="B10">
        <v>0.79686948606040042</v>
      </c>
      <c r="C10">
        <v>1.1308736437127322</v>
      </c>
    </row>
    <row r="11" spans="1:3" x14ac:dyDescent="0.2">
      <c r="A11" t="s">
        <v>46</v>
      </c>
      <c r="B11">
        <v>0.96776884057828561</v>
      </c>
      <c r="C11">
        <v>1.2405309881122484</v>
      </c>
    </row>
    <row r="12" spans="1:3" x14ac:dyDescent="0.2">
      <c r="A12" t="s">
        <v>50</v>
      </c>
      <c r="B12">
        <v>1.248048731282601</v>
      </c>
      <c r="C12">
        <v>1.6336816779793826</v>
      </c>
    </row>
    <row r="13" spans="1:3" x14ac:dyDescent="0.2">
      <c r="A13" t="s">
        <v>52</v>
      </c>
      <c r="B13">
        <v>0.67071427548802609</v>
      </c>
      <c r="C13">
        <v>1.0744419534358443</v>
      </c>
    </row>
    <row r="14" spans="1:3" x14ac:dyDescent="0.2">
      <c r="A14" t="s">
        <v>56</v>
      </c>
      <c r="B14">
        <v>0.66305919421489423</v>
      </c>
      <c r="C14">
        <v>0.91650538549957794</v>
      </c>
    </row>
    <row r="15" spans="1:3" x14ac:dyDescent="0.2">
      <c r="A15" t="s">
        <v>58</v>
      </c>
      <c r="B15">
        <v>1.0284189604282716</v>
      </c>
      <c r="C15">
        <v>0.79003806313371072</v>
      </c>
    </row>
    <row r="16" spans="1:3" x14ac:dyDescent="0.2">
      <c r="A16" t="s">
        <v>60</v>
      </c>
      <c r="B16">
        <v>1.3789756657086407</v>
      </c>
      <c r="C16">
        <v>1.8774160534587399</v>
      </c>
    </row>
    <row r="17" spans="1:3" x14ac:dyDescent="0.2">
      <c r="A17" t="s">
        <v>62</v>
      </c>
      <c r="B17">
        <v>0.30597315317660051</v>
      </c>
      <c r="C17">
        <v>0.55996838651345193</v>
      </c>
    </row>
    <row r="18" spans="1:3" x14ac:dyDescent="0.2">
      <c r="A18" t="s">
        <v>63</v>
      </c>
      <c r="B18">
        <v>1.2308534661942228</v>
      </c>
      <c r="C18">
        <v>2.2154702561737198</v>
      </c>
    </row>
    <row r="19" spans="1:3" x14ac:dyDescent="0.2">
      <c r="A19" t="s">
        <v>66</v>
      </c>
      <c r="B19">
        <v>0.69660513443630634</v>
      </c>
      <c r="C19">
        <v>1.4571663360638645</v>
      </c>
    </row>
    <row r="20" spans="1:3" x14ac:dyDescent="0.2">
      <c r="A20" t="s">
        <v>67</v>
      </c>
      <c r="B20">
        <v>0.73157118137448562</v>
      </c>
      <c r="C20">
        <v>2.731033774959152</v>
      </c>
    </row>
    <row r="21" spans="1:3" x14ac:dyDescent="0.2">
      <c r="A21" t="s">
        <v>70</v>
      </c>
      <c r="B21">
        <v>0.97390069696555914</v>
      </c>
      <c r="C21">
        <v>1.0890102561724586</v>
      </c>
    </row>
    <row r="22" spans="1:3" x14ac:dyDescent="0.2">
      <c r="A22" t="s">
        <v>75</v>
      </c>
      <c r="B22">
        <v>0.9223231386714007</v>
      </c>
      <c r="C22">
        <v>1.5395720267782913</v>
      </c>
    </row>
    <row r="23" spans="1:3" x14ac:dyDescent="0.2">
      <c r="A23" t="s">
        <v>76</v>
      </c>
      <c r="B23">
        <v>0.63453674845929431</v>
      </c>
      <c r="C23">
        <v>0.17290915978754989</v>
      </c>
    </row>
    <row r="24" spans="1:3" x14ac:dyDescent="0.2">
      <c r="A24" t="s">
        <v>77</v>
      </c>
      <c r="B24">
        <v>0.54512110583794438</v>
      </c>
      <c r="C24">
        <v>0.71066007802830267</v>
      </c>
    </row>
    <row r="25" spans="1:3" x14ac:dyDescent="0.2">
      <c r="A25" t="s">
        <v>78</v>
      </c>
      <c r="B25">
        <v>0.83862168993086761</v>
      </c>
      <c r="C25">
        <v>1.2391178779824223</v>
      </c>
    </row>
    <row r="26" spans="1:3" x14ac:dyDescent="0.2">
      <c r="A26" t="s">
        <v>86</v>
      </c>
      <c r="B26">
        <v>0.81638176939625318</v>
      </c>
      <c r="C26">
        <v>0.78116465376757482</v>
      </c>
    </row>
    <row r="27" spans="1:3" x14ac:dyDescent="0.2">
      <c r="A27" t="s">
        <v>88</v>
      </c>
      <c r="B27">
        <v>0.77827576971361523</v>
      </c>
      <c r="C27">
        <v>0.97584516064624893</v>
      </c>
    </row>
    <row r="28" spans="1:3" x14ac:dyDescent="0.2">
      <c r="A28" t="s">
        <v>93</v>
      </c>
      <c r="B28">
        <v>0.55858754447956827</v>
      </c>
      <c r="C28">
        <v>0.66593246120013805</v>
      </c>
    </row>
    <row r="29" spans="1:3" x14ac:dyDescent="0.2">
      <c r="A29" t="s">
        <v>94</v>
      </c>
      <c r="B29">
        <v>1.0661550059090628</v>
      </c>
      <c r="C29">
        <v>1.5347988415443112</v>
      </c>
    </row>
    <row r="30" spans="1:3" x14ac:dyDescent="0.2">
      <c r="A30" t="s">
        <v>96</v>
      </c>
      <c r="B30">
        <v>1.2470511941565705</v>
      </c>
      <c r="C30">
        <v>1.3965529636741745</v>
      </c>
    </row>
    <row r="31" spans="1:3" x14ac:dyDescent="0.2">
      <c r="A31" t="s">
        <v>103</v>
      </c>
      <c r="B31">
        <v>1.4017558697967658</v>
      </c>
      <c r="C31">
        <v>1.5410877113520485</v>
      </c>
    </row>
    <row r="32" spans="1:3" x14ac:dyDescent="0.2">
      <c r="A32" t="s">
        <v>106</v>
      </c>
      <c r="B32">
        <v>0.97847164901554973</v>
      </c>
      <c r="C32">
        <v>1.1223759066891394</v>
      </c>
    </row>
    <row r="33" spans="1:3" x14ac:dyDescent="0.2">
      <c r="A33" t="s">
        <v>107</v>
      </c>
      <c r="B33">
        <v>0.77467438762150231</v>
      </c>
      <c r="C33">
        <v>0.84888974336508449</v>
      </c>
    </row>
    <row r="34" spans="1:3" x14ac:dyDescent="0.2">
      <c r="A34" t="s">
        <v>110</v>
      </c>
      <c r="B34">
        <v>0.81181433623995858</v>
      </c>
      <c r="C34">
        <v>0.9917361290563167</v>
      </c>
    </row>
    <row r="35" spans="1:3" x14ac:dyDescent="0.2">
      <c r="A35" t="s">
        <v>112</v>
      </c>
      <c r="B35">
        <v>1.2833917883454566</v>
      </c>
      <c r="C35">
        <v>1.1187302825349161</v>
      </c>
    </row>
    <row r="36" spans="1:3" x14ac:dyDescent="0.2">
      <c r="B36">
        <f>AVERAGE(B2:B35)</f>
        <v>0.88458421766412776</v>
      </c>
      <c r="C36">
        <f>AVERAGE(C2:C35)</f>
        <v>1.2520065136949425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TruePDB</vt:lpstr>
      <vt:lpstr>TrueUni</vt:lpstr>
      <vt:lpstr>TrueSea</vt:lpstr>
      <vt:lpstr>FalsePDB</vt:lpstr>
      <vt:lpstr>FalseUni</vt:lpstr>
      <vt:lpstr>FalseSea</vt:lpstr>
      <vt:lpstr>Below_0.8</vt:lpstr>
      <vt:lpstr>Confidence Score Cutoff</vt:lpstr>
      <vt:lpstr>cutoff results</vt:lpstr>
      <vt:lpstr>True_affinity</vt:lpstr>
      <vt:lpstr>UnivsConf</vt:lpstr>
      <vt:lpstr>average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Fenn, Jack</dc:creator>
  <cp:lastModifiedBy>Fenn, Jack</cp:lastModifiedBy>
  <dcterms:created xsi:type="dcterms:W3CDTF">2025-11-29T18:07:52Z</dcterms:created>
  <dcterms:modified xsi:type="dcterms:W3CDTF">2025-12-02T01:37:58Z</dcterms:modified>
</cp:coreProperties>
</file>